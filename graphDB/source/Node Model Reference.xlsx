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evelopment\personal\GitHub.alexbchalmers\SpecAtlas\graphDB\source\"/>
    </mc:Choice>
  </mc:AlternateContent>
  <xr:revisionPtr revIDLastSave="0" documentId="13_ncr:1_{9DC4EE77-08F8-4494-8A99-0486FCD3787B}" xr6:coauthVersionLast="47" xr6:coauthVersionMax="47" xr10:uidLastSave="{00000000-0000-0000-0000-000000000000}"/>
  <bookViews>
    <workbookView xWindow="-110" yWindow="-110" windowWidth="38620" windowHeight="25100" activeTab="2" xr2:uid="{EC53F706-CCD4-4F71-B9E3-FB088B259C26}"/>
    <workbookView xWindow="-38510" yWindow="-110" windowWidth="38620" windowHeight="25820" firstSheet="1" activeTab="1" xr2:uid="{C65AA453-8D7A-43DA-8BC6-18CD37B19559}"/>
  </bookViews>
  <sheets>
    <sheet name="RelationshipStats" sheetId="16" r:id="rId1"/>
    <sheet name="Relationships" sheetId="2" r:id="rId2"/>
    <sheet name="ControllingOrg" sheetId="5" r:id="rId3"/>
    <sheet name="AuthorityGroup" sheetId="14" r:id="rId4"/>
    <sheet name="Authority" sheetId="11" r:id="rId5"/>
    <sheet name="Format" sheetId="26" r:id="rId6"/>
    <sheet name="AuthorityDraft" sheetId="3" r:id="rId7"/>
    <sheet name="Revision" sheetId="4" r:id="rId8"/>
    <sheet name="Protocol" sheetId="6" r:id="rId9"/>
    <sheet name="ProtocolVersion" sheetId="7" r:id="rId10"/>
    <sheet name="ProtocolFeature" sheetId="8" r:id="rId11"/>
    <sheet name="Definitions" sheetId="15" r:id="rId12"/>
    <sheet name="_Validation" sheetId="12" r:id="rId13"/>
    <sheet name="Validation" sheetId="10" r:id="rId14"/>
  </sheets>
  <definedNames>
    <definedName name="__fn_val_dateFormat">_xlfn.LAMBDA(_xlpm.cellRef,_xlfn.LET(_xlpm.rawDate, CELL("contents", _xlpm.cellRef), _xlpm.dateParts, _xlfn.TEXTSPLIT(_xlpm.cellRef, "-"), _xlpm.datePartCount, COUNTA(_xlpm.dateParts), _xlpm.isDatePartCountValid, AND((_xlpm.datePartCount &gt;= 1), (_xlpm.datePartCount &lt;= 3)), _xlpm.lenYear, IFERROR(LEN(INDEX(_xlpm.dateParts, 1)), FALSE), _xlpm.lenMonth, IFERROR(LEN(INDEX(_xlpm.dateParts, 2)), FALSE), _xlpm.lenDay, IFERROR(LEN(INDEX(_xlpm.dateParts, 3)), FALSE), _xlpm.isDateLengthValid, _xlfn.SWITCH(_xlpm.datePartCount, 1, _xlpm.lenYear = 4, 2, AND((_xlpm.lenYear = 4), (_xlpm.lenMonth = 2)), 3, AND((_xlpm.lenYear = 4), (_xlpm.lenMonth = 2), (_xlpm.lenDay = 2)), FALSE), _xlpm.year, IFERROR(VALUE(INDEX(_xlpm.dateParts, 1)), 0), _xlpm.month, IFERROR(VALUE(INDEX(_xlpm.dateParts, 2)), 0), _xlpm.day, IFERROR(VALUE(INDEX(_xlpm.dateParts, 3)), 0), _xlpm.isDateValid, _xlfn.SWITCH(_xlpm.datePartCount, 1, IFERROR(DATEVALUE(_xlfn.CONCAT(_xlpm.year, "-01-01")), FALSE), 2, IFERROR(DATEVALUE(_xlfn.CONCAT(_xlpm.year, "-", _xlpm.month, "-01")), FALSE), 3, IFERROR(DATEVALUE(_xlfn.CONCAT(_xlpm.year, "-", _xlpm.month, "-", _xlpm.day)), FALSE), FALSE), AND(_xlpm.isDatePartCountValid, _xlpm.isDateLengthValid, _xlpm.isDateValid)))</definedName>
    <definedName name="__fn_val_dateFormat2" comment="Format: YYYY[-MM[-DD]]">_xlfn.LAMBDA(_xlpm.cellRef,_xlfn.LET(_xlpm.rawDate, CELL("contents", _xlpm.cellRef), _xlpm.dateParts, _xlfn.TEXTSPLIT(_xlpm.cellRef, "-"), _xlpm.datePartCount, COUNTA(_xlpm.dateParts), _xlpm.isDatePartCountValid, AND((_xlpm.datePartCount &gt;= 1), (_xlpm.datePartCount &lt;= 3)), _xlpm.lenYear, IFERROR(LEN(INDEX(_xlpm.dateParts, 1)), FALSE), _xlpm.lenMonth, IFERROR(LEN(INDEX(_xlpm.dateParts, 2)), FALSE), _xlpm.lenDay, IFERROR(LEN(INDEX(_xlpm.dateParts, 3)), FALSE), _xlpm.isDateLengthValid, _xlfn.SWITCH(_xlpm.datePartCount, 1, _xlpm.lenYear = 4, 2, AND((_xlpm.lenYear = 4), (_xlpm.lenMonth = 2)), 3, AND((_xlpm.lenYear = 4), (_xlpm.lenMonth = 2), (_xlpm.lenDay = 2)), FALSE), _xlpm.year, IFERROR(VALUE(INDEX(_xlpm.dateParts, 1)), 0), _xlpm.month, IFERROR(VALUE(INDEX(_xlpm.dateParts, 2)), 0), _xlpm.day, IFERROR(VALUE(INDEX(_xlpm.dateParts, 3)), 0), _xlpm.isDateValid, _xlfn.SWITCH(_xlpm.datePartCount, 1, IFERROR(DATEVALUE(_xlfn.CONCAT(_xlpm.year, "-01-01")), FALSE), 2, IFERROR(DATEVALUE(_xlfn.CONCAT(_xlpm.year, "-", _xlpm.month, "-01")), FALSE), 3, IFERROR(DATEVALUE(_xlfn.CONCAT(_xlpm.year, "-", _xlpm.month, "-", _xlpm.day)), FALSE), FALSE), AND(_xlpm.isDatePartCountValid, _xlpm.isDateLengthValid, _xlpm.isDateValid)))</definedName>
    <definedName name="__fn_val_nodeAttr" xml:space="preserve"> _xlfn.LAMBDA(_xlpm.cellRef,     _xlfn.LET(       _xlpm.comment, "nodeTypeAttrRow = 2; nodeTypeColStart = E(5); addrType = relative(4); matchType = exact(0)", _xlpm.nodeTypeAttrRow, 2, _xlpm.nodeTypeColStart, 5, _xlpm.nodeTypeValRef, _xlpm.cellRef, _xlpm.nodeTypeLookupRange,_xlfn.ANCHORARRAY( _Validation!$F$1), _xlpm.matchType, 0, _xlpm.addrType, 4, _xlpm.addrSheet, "_Validation", INDIRECT(ADDRESS(_xlpm.nodeTypeAttrRow, _xlpm.nodeTypeColStart + MATCH(_xlpm.nodeTypeValRef, _xlpm.nodeTypeLookupRange, _xlpm.matchType), _xlpm.addrType,, _xlpm.addrSheet) &amp; "#")     ) )</definedName>
    <definedName name="__Validation_Relationships">Validation!$A:$A</definedName>
  </definedNames>
  <calcPr calcId="191029"/>
  <pivotCaches>
    <pivotCache cacheId="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0" l="1" a="1"/>
  <c r="N53" i="10" s="1"/>
  <c r="U2" i="12" a="1"/>
  <c r="U2" i="12" s="1"/>
  <c r="V2" i="12" a="1"/>
  <c r="V2" i="12" s="1"/>
  <c r="W2" i="12" a="1"/>
  <c r="W2" i="12" s="1"/>
  <c r="X2" i="12" a="1"/>
  <c r="X2" i="12" s="1"/>
  <c r="Y2" i="12" a="1"/>
  <c r="Y2" i="12" s="1"/>
  <c r="J2" i="12" a="1"/>
  <c r="J2" i="12" s="1"/>
  <c r="K2" i="12" a="1"/>
  <c r="K2" i="12" s="1"/>
  <c r="L2" i="12" a="1"/>
  <c r="L2" i="12" s="1"/>
  <c r="M2" i="12" a="1"/>
  <c r="M2" i="12" s="1"/>
  <c r="N2" i="12" a="1"/>
  <c r="N2" i="12" s="1"/>
  <c r="O2" i="12" a="1"/>
  <c r="O2" i="12" s="1"/>
  <c r="P2" i="12" a="1"/>
  <c r="P2" i="12" s="1"/>
  <c r="Q2" i="12" a="1"/>
  <c r="Q2" i="12" s="1"/>
  <c r="R2" i="12" a="1"/>
  <c r="R2" i="12" s="1"/>
  <c r="S2" i="12" a="1"/>
  <c r="S2" i="12" s="1"/>
  <c r="T2" i="12" a="1"/>
  <c r="T2" i="12" s="1"/>
  <c r="U5" i="10" a="1"/>
  <c r="U5" i="10" s="1"/>
  <c r="U6" i="10" a="1"/>
  <c r="U6" i="10" s="1"/>
  <c r="U7" i="10" a="1"/>
  <c r="U7" i="10" s="1"/>
  <c r="U8" i="10" a="1"/>
  <c r="U8" i="10" s="1"/>
  <c r="U9" i="10" a="1"/>
  <c r="U9" i="10" s="1"/>
  <c r="U10" i="10" a="1"/>
  <c r="U10" i="10" s="1"/>
  <c r="U11" i="10" a="1"/>
  <c r="U11" i="10" s="1"/>
  <c r="U12" i="10" a="1"/>
  <c r="U12" i="10" s="1"/>
  <c r="U13" i="10" a="1"/>
  <c r="U13" i="10" s="1"/>
  <c r="U4" i="10" a="1"/>
  <c r="U4" i="10" s="1"/>
  <c r="Z6" i="10"/>
  <c r="Z5" i="10"/>
  <c r="V16" i="10" a="1"/>
  <c r="V16" i="10" s="1"/>
  <c r="W4" i="10" a="1"/>
  <c r="W4" i="10" s="1"/>
  <c r="V12" i="10" a="1"/>
  <c r="V12" i="10" s="1"/>
  <c r="V4" i="10" a="1"/>
  <c r="V4" i="10" s="1"/>
  <c r="V5" i="10" a="1"/>
  <c r="V5" i="10" s="1"/>
  <c r="V6" i="10" a="1"/>
  <c r="V6" i="10" s="1"/>
  <c r="W6" i="10" s="1"/>
  <c r="V7" i="10" a="1"/>
  <c r="V7" i="10" s="1"/>
  <c r="V8" i="10" a="1"/>
  <c r="V8" i="10" s="1"/>
  <c r="V9" i="10" a="1"/>
  <c r="V9" i="10" s="1"/>
  <c r="V10" i="10" a="1"/>
  <c r="V10" i="10" s="1"/>
  <c r="V11" i="10" a="1"/>
  <c r="V11" i="10" s="1"/>
  <c r="F1" i="12" a="1"/>
  <c r="A1" i="10" a="1"/>
  <c r="F1" i="12" l="1"/>
  <c r="F2" i="12" s="1" a="1"/>
  <c r="F2" i="12" s="1"/>
  <c r="I2" i="12" a="1"/>
  <c r="I2" i="12" s="1"/>
  <c r="A1" i="10"/>
  <c r="H2" i="12" a="1"/>
  <c r="H2" i="12" s="1"/>
  <c r="G2" i="12" a="1"/>
  <c r="G2" i="12" s="1"/>
  <c r="N38" i="10" a="1"/>
  <c r="N38" i="10" s="1"/>
  <c r="N35" i="10" a="1"/>
  <c r="N35" i="10" s="1"/>
  <c r="N41" i="10" a="1"/>
  <c r="N41" i="10" s="1"/>
  <c r="N34" i="10" a="1"/>
  <c r="N34" i="10" s="1"/>
  <c r="P1" i="10" a="1"/>
  <c r="N1" i="10" a="1"/>
  <c r="N1" i="10" l="1"/>
  <c r="P1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<sst xmlns="http://schemas.openxmlformats.org/spreadsheetml/2006/main" count="20632" uniqueCount="3668">
  <si>
    <t>RFC6749</t>
  </si>
  <si>
    <t>Proposed Standard</t>
  </si>
  <si>
    <t>The OAuth 2.0 Authorization Framework</t>
  </si>
  <si>
    <t>IETF</t>
  </si>
  <si>
    <t>RFC9700</t>
  </si>
  <si>
    <t>Best Current Practice for OAuth 2.0 Security</t>
  </si>
  <si>
    <t>Best Current Practice</t>
  </si>
  <si>
    <t>https://www.rfc-editor.org/rfc/rfc9700.xml</t>
  </si>
  <si>
    <t>RFCXML</t>
  </si>
  <si>
    <t>https://www.rfc-editor.org/rfc/rfc9700.txt</t>
  </si>
  <si>
    <t>https://www.rfc-editor.org/rfc/rfc9700.html</t>
  </si>
  <si>
    <t>https://www.rfc-editor.org/rfc/rfc6749.txt</t>
  </si>
  <si>
    <t>TXT-ASCII</t>
  </si>
  <si>
    <t>https://www.rfc-editor.org/rfc/rfc6749.html</t>
  </si>
  <si>
    <t>RFC2119</t>
  </si>
  <si>
    <t>Key words for use in RFCs to Indicate Requirement Levels</t>
  </si>
  <si>
    <t>https://www.rfc-editor.org/rfc/rfc2119.txt</t>
  </si>
  <si>
    <t>https://www.rfc-editor.org/rfc/rfc2119.html</t>
  </si>
  <si>
    <t>BCP14</t>
  </si>
  <si>
    <t>BCP 14</t>
  </si>
  <si>
    <t>https://www.rfc-editor.org/info/bcp14</t>
  </si>
  <si>
    <t>RFCINFO</t>
  </si>
  <si>
    <t>RFC8174</t>
  </si>
  <si>
    <t>Ambiguity of Uppercase vs Lowercase in RFC 2119 Key Words</t>
  </si>
  <si>
    <t>https://www.rfc-editor.org/rfc/rfc8174.txt</t>
  </si>
  <si>
    <t>https://www.rfc-editor.org/rfc/rfc8174.html</t>
  </si>
  <si>
    <t>CONTAINS</t>
  </si>
  <si>
    <t>REFERENCES</t>
  </si>
  <si>
    <t>Normative</t>
  </si>
  <si>
    <t>RFC2246</t>
  </si>
  <si>
    <t>The TLS Protocol Version 1.0</t>
  </si>
  <si>
    <t>Historic</t>
  </si>
  <si>
    <t>https://www.rfc-editor.org/rfc/rfc2246.txt</t>
  </si>
  <si>
    <t>https://www.rfc-editor.org/rfc/rfc2246.html</t>
  </si>
  <si>
    <t>RFC2616</t>
  </si>
  <si>
    <t>Hypertext Transfer Protocol -- HTTP/1.1</t>
  </si>
  <si>
    <t>Draft Standard</t>
  </si>
  <si>
    <t>https://www.rfc-editor.org/rfc/rfc2616.txt</t>
  </si>
  <si>
    <t>https://www.rfc-editor.org/rfc/rfc2616.html</t>
  </si>
  <si>
    <t>RFC2617</t>
  </si>
  <si>
    <t>HTTP Authentication: Basic and Digest Access Authentication</t>
  </si>
  <si>
    <t>https://www.rfc-editor.org/rfc/rfc2617.txt</t>
  </si>
  <si>
    <t>https://www.rfc-editor.org/rfc/rfc2617.html</t>
  </si>
  <si>
    <t>RFC2818</t>
  </si>
  <si>
    <t>HTTP Over TLS</t>
  </si>
  <si>
    <t>Informational</t>
  </si>
  <si>
    <t>https://www.rfc-editor.org/rfc/rfc2818.txt</t>
  </si>
  <si>
    <t>https://www.rfc-editor.org/rfc/rfc2818.html</t>
  </si>
  <si>
    <t>RFC3629</t>
  </si>
  <si>
    <t>Internet Standard</t>
  </si>
  <si>
    <t>https://www.rfc-editor.org/rfc/rfc3629.txt</t>
  </si>
  <si>
    <t>https://www.rfc-editor.org/rfc/rfc3629.html</t>
  </si>
  <si>
    <t>STD63</t>
  </si>
  <si>
    <t>STD 63</t>
  </si>
  <si>
    <t>https://www.rfc-editor.org/info/std63</t>
  </si>
  <si>
    <t>STD66</t>
  </si>
  <si>
    <t>STD 66</t>
  </si>
  <si>
    <t>https://www.rfc-editor.org/info/std66</t>
  </si>
  <si>
    <t>RFC3986</t>
  </si>
  <si>
    <t>Uniform Resource Identifier (URI): Generic Syntax</t>
  </si>
  <si>
    <t>https://www.rfc-editor.org/rfc/rfc3986.txt</t>
  </si>
  <si>
    <t>https://www.rfc-editor.org/rfc/rfc3986.html</t>
  </si>
  <si>
    <t>RFC4627</t>
  </si>
  <si>
    <t>The application/json Media Type for JavaScript Object Notation (JSON)</t>
  </si>
  <si>
    <t>https://www.rfc-editor.org/rfc/rfc4627.txt</t>
  </si>
  <si>
    <t>https://www.rfc-editor.org/rfc/rfc4627.html</t>
  </si>
  <si>
    <t>RFC4949</t>
  </si>
  <si>
    <t>Independent</t>
  </si>
  <si>
    <t>FYI36</t>
  </si>
  <si>
    <t>FYI 36</t>
  </si>
  <si>
    <t>For Your Information</t>
  </si>
  <si>
    <t>https://www.rfc-editor.org/rfc/rfc4949.txt</t>
  </si>
  <si>
    <t>https://www.rfc-editor.org/rfc/rfc4949.html</t>
  </si>
  <si>
    <t>https://www.rfc-editor.org/info/fyi36</t>
  </si>
  <si>
    <t>RFC5226</t>
  </si>
  <si>
    <t>Guidelines for Writing an IANA Considerations Section in RFCs</t>
  </si>
  <si>
    <t>https://www.rfc-editor.org/rfc/rfc5226.txt</t>
  </si>
  <si>
    <t>https://www.rfc-editor.org/rfc/rfc5226.html</t>
  </si>
  <si>
    <t>STD68</t>
  </si>
  <si>
    <t>STD 68</t>
  </si>
  <si>
    <t>RFC5234</t>
  </si>
  <si>
    <t>Augmented BNF for Syntax Specifications: ABNF</t>
  </si>
  <si>
    <t>https://www.rfc-editor.org/info/std68</t>
  </si>
  <si>
    <t>https://www.rfc-editor.org/rfc/rfc5234.txt</t>
  </si>
  <si>
    <t>https://www.rfc-editor.org/rfc/rfc5234.html</t>
  </si>
  <si>
    <t>RFC5246</t>
  </si>
  <si>
    <t>The Transport Layer Security (TLS) Protocol Version 1.2</t>
  </si>
  <si>
    <t>https://www.rfc-editor.org/rfc/rfc5246.txt</t>
  </si>
  <si>
    <t>https://www.rfc-editor.org/rfc/rfc5246.html</t>
  </si>
  <si>
    <t>RFC6125</t>
  </si>
  <si>
    <t>Representation and Verification of Domain-Based Application Service Identity within Internet Public Key Infrastructure Using X.509 (PKIX) Certificates in the Context of Transport Layer Security (TLS)</t>
  </si>
  <si>
    <t>https://www.rfc-editor.org/rfc/rfc6125.txt</t>
  </si>
  <si>
    <t>https://www.rfc-editor.org/rfc/rfc6125.html</t>
  </si>
  <si>
    <t>USASCII</t>
  </si>
  <si>
    <t>Coded Character Set -- 7-bit American Standard Code for Information Interchange</t>
  </si>
  <si>
    <t>W3C.REC-html401-19991224</t>
  </si>
  <si>
    <t>HTML 4.01 Specification</t>
  </si>
  <si>
    <t>https://www.w3.org/TR/1999/REC-html401-19991224/</t>
  </si>
  <si>
    <t>HTML</t>
  </si>
  <si>
    <t>W3C.REC-xml-20081126</t>
  </si>
  <si>
    <t>Extensible Markup Language (XML) 1.0 (Fifth Edition)</t>
  </si>
  <si>
    <t>https://www.w3.org/TR/2008/REC-xml-20081126/</t>
  </si>
  <si>
    <t>draft-ietf-oauth-v2-http-mac</t>
  </si>
  <si>
    <t>HTTP Authentication: MAC Access Authentication</t>
  </si>
  <si>
    <t>Expired</t>
  </si>
  <si>
    <t>Internet-Draft</t>
  </si>
  <si>
    <t>Informative</t>
  </si>
  <si>
    <t>draft-ietf-oauth-v2-http-mac-01</t>
  </si>
  <si>
    <t>01</t>
  </si>
  <si>
    <t>https://www.ietf.org/archive/id/draft-ietf-oauth-v2-http-mac-01.txt</t>
  </si>
  <si>
    <t>HAS_REVISION</t>
  </si>
  <si>
    <t>OAuth 2.0 Message Authentication Code (MAC) Tokens</t>
  </si>
  <si>
    <t>RFC7522</t>
  </si>
  <si>
    <t>Security Assertion Markup Language (SAML) 2.0 Profile for OAuth 2.0 Client Authentication and Authorization Grants</t>
  </si>
  <si>
    <t>https://www.rfc-editor.org/rfc/rfc7522.txt</t>
  </si>
  <si>
    <t>https://www.rfc-editor.org/rfc/rfc7522.html</t>
  </si>
  <si>
    <t>draft-ietf-oauth-saml2-bearer</t>
  </si>
  <si>
    <t>Became RFC</t>
  </si>
  <si>
    <t>DRAFTED_BY</t>
  </si>
  <si>
    <t>draft-ietf-oauth-saml2-bearer-14</t>
  </si>
  <si>
    <t>14</t>
  </si>
  <si>
    <t>SAML 2.0 Bearer Assertion Profiles for OAuth 2.0</t>
  </si>
  <si>
    <t>Replaced</t>
  </si>
  <si>
    <t>Updated</t>
  </si>
  <si>
    <t>https://www.ietf.org/archive/id/draft-ietf-oauth-saml2-bearer-14.txt</t>
  </si>
  <si>
    <t>RFC6819</t>
  </si>
  <si>
    <t>OAuth 2.0 Threat Model and Security Considerations</t>
  </si>
  <si>
    <t>https://www.rfc-editor.org/rfc/rfc6819.txt</t>
  </si>
  <si>
    <t>https://www.rfc-editor.org/rfc/rfc6819.html</t>
  </si>
  <si>
    <t>draft-ietf-oauth-v2-threatmodel</t>
  </si>
  <si>
    <t>draft-ietf-oauth-v2-threatmodel-08</t>
  </si>
  <si>
    <t>08</t>
  </si>
  <si>
    <t>https://www.ietf.org/archive/id/draft-ietf-oauth-v2-threatmodel-08.txt</t>
  </si>
  <si>
    <t>draft-hardt-oauth</t>
  </si>
  <si>
    <t>OAuth Web Resource Authorization Profiles</t>
  </si>
  <si>
    <t>draft-hardt-oauth-00</t>
  </si>
  <si>
    <t>00</t>
  </si>
  <si>
    <t>https://datatracker.ietf.org/doc/id/draft-hardt-oauth-00.txt</t>
  </si>
  <si>
    <t>RFC5849</t>
  </si>
  <si>
    <t>The OAuth 1.0 Protocol</t>
  </si>
  <si>
    <t>https://www.rfc-editor.org/rfc/rfc5849.txt</t>
  </si>
  <si>
    <t>https://www.rfc-editor.org/rfc/rfc5849.html</t>
  </si>
  <si>
    <t>RFC6750</t>
  </si>
  <si>
    <t>The OAuth 2.0 Authorization Framework: Bearer Token Usage</t>
  </si>
  <si>
    <t>https://www.rfc-editor.org/rfc/rfc6750.txt</t>
  </si>
  <si>
    <t>https://www.rfc-editor.org/rfc/rfc6750.html</t>
  </si>
  <si>
    <t>OBSOLETES</t>
  </si>
  <si>
    <t>RFC8252</t>
  </si>
  <si>
    <t>RFC8996</t>
  </si>
  <si>
    <t>UPDATES</t>
  </si>
  <si>
    <t>BCP212</t>
  </si>
  <si>
    <t>BCP 212</t>
  </si>
  <si>
    <t>OAuth 2.0 for Native Apps</t>
  </si>
  <si>
    <t>https://www.rfc-editor.org/rfc/rfc8252.txt</t>
  </si>
  <si>
    <t>https://www.rfc-editor.org/rfc/rfc8252.html</t>
  </si>
  <si>
    <t>https://www.rfc-editor.org/info/bcp212</t>
  </si>
  <si>
    <t>BCP195</t>
  </si>
  <si>
    <t>BCP 195</t>
  </si>
  <si>
    <t>RFC9325</t>
  </si>
  <si>
    <t>Deprecating TLS 1.0 and TLS 1.1</t>
  </si>
  <si>
    <t>https://www.rfc-editor.org/rfc/rfc8996.xml</t>
  </si>
  <si>
    <t>https://www.rfc-editor.org/rfc/rfc8996.txt</t>
  </si>
  <si>
    <t>https://www.rfc-editor.org/rfc/rfc8996.html</t>
  </si>
  <si>
    <t>https://www.rfc-editor.org/info/bcp195</t>
  </si>
  <si>
    <t>Recommendations for Secure Use of Transport Layer Security (TLS) and Datagram Transport Layer Security (DTLS)</t>
  </si>
  <si>
    <t>https://www.rfc-editor.org/rfc/rfc9325.xml</t>
  </si>
  <si>
    <t>https://www.rfc-editor.org/rfc/rfc9325.txt</t>
  </si>
  <si>
    <t>https://www.rfc-editor.org/rfc/rfc9325.html</t>
  </si>
  <si>
    <t>BCP240</t>
  </si>
  <si>
    <t>BCP 240</t>
  </si>
  <si>
    <t>https://www.rfc-editor.org/info/bcp240</t>
  </si>
  <si>
    <t>oauth WG</t>
  </si>
  <si>
    <t>Web Authorization Protocol working group</t>
  </si>
  <si>
    <t>Internet Engineering Task Force</t>
  </si>
  <si>
    <t>https://datatracker.ietf.org/wg/oauth/about/</t>
  </si>
  <si>
    <t>https://www.ietf.org/</t>
  </si>
  <si>
    <t>HAS_CHILD_ORG</t>
  </si>
  <si>
    <t>CONTROLS</t>
  </si>
  <si>
    <t>OAuth</t>
  </si>
  <si>
    <t>OAuth 2.0</t>
  </si>
  <si>
    <t>IMPLEMENTS</t>
  </si>
  <si>
    <t>DEFINES</t>
  </si>
  <si>
    <t>Resource Owner</t>
  </si>
  <si>
    <t>Resource Server</t>
  </si>
  <si>
    <t>Client</t>
  </si>
  <si>
    <t>Authorization Server</t>
  </si>
  <si>
    <t>Role</t>
  </si>
  <si>
    <t>Authorization Grant</t>
  </si>
  <si>
    <t>Authorization Code</t>
  </si>
  <si>
    <t>Implicit</t>
  </si>
  <si>
    <t>Resource Owner Password Credentials</t>
  </si>
  <si>
    <t>Client Credentials</t>
  </si>
  <si>
    <t>Access Token</t>
  </si>
  <si>
    <t>Token Type</t>
  </si>
  <si>
    <t>Refresh Token</t>
  </si>
  <si>
    <t>Client Registration</t>
  </si>
  <si>
    <t>Core Capability</t>
  </si>
  <si>
    <t>Confidential Client</t>
  </si>
  <si>
    <t>Client Type</t>
  </si>
  <si>
    <t>Public Client</t>
  </si>
  <si>
    <t>Client Identifier</t>
  </si>
  <si>
    <t>Client Secret</t>
  </si>
  <si>
    <t>Authorization Endpoint</t>
  </si>
  <si>
    <t>Protocol Endpoint</t>
  </si>
  <si>
    <t>Token Endpoint</t>
  </si>
  <si>
    <t>Client Authentication</t>
  </si>
  <si>
    <t>Scope</t>
  </si>
  <si>
    <t>1.1</t>
  </si>
  <si>
    <t>2.1</t>
  </si>
  <si>
    <t>2.2</t>
  </si>
  <si>
    <t>2.3</t>
  </si>
  <si>
    <t>2.3.1</t>
  </si>
  <si>
    <t>3.1</t>
  </si>
  <si>
    <t>3.2</t>
  </si>
  <si>
    <t>Protocol Data</t>
  </si>
  <si>
    <t>Authorization Code (data)</t>
  </si>
  <si>
    <t>3.3</t>
  </si>
  <si>
    <t>4.1</t>
  </si>
  <si>
    <t>State</t>
  </si>
  <si>
    <t>Extension Grants</t>
  </si>
  <si>
    <t>2</t>
  </si>
  <si>
    <t>iana.oauth-param-token-types</t>
  </si>
  <si>
    <t>Protocol Registry</t>
  </si>
  <si>
    <t>IANA</t>
  </si>
  <si>
    <t>https://www.iana.org/assignments/oauth-parameters/oauth-parameters.xhtml#token-types</t>
  </si>
  <si>
    <t>https://www.iana.org/assignments/oauth-parameters/token-types.csv</t>
  </si>
  <si>
    <t>OAuth Access Token Types registry</t>
  </si>
  <si>
    <t>11.1</t>
  </si>
  <si>
    <t>iana.oauth-param-parameters</t>
  </si>
  <si>
    <t>https://www.iana.org/assignments/oauth-parameters/oauth-parameters.xhtml#parameters</t>
  </si>
  <si>
    <t>https://www.iana.org/assignments/oauth-parameters/parameters.csv</t>
  </si>
  <si>
    <t>11.2</t>
  </si>
  <si>
    <t>11.2.2</t>
  </si>
  <si>
    <t>OAuth Authorization Endpoint Response Types registry</t>
  </si>
  <si>
    <t>OAuth Parameters registry</t>
  </si>
  <si>
    <t>iana.oauth-param-endpoint-response-types</t>
  </si>
  <si>
    <t>https://www.iana.org/assignments/oauth-parameters/oauth-parameters.xhtml#endpoint</t>
  </si>
  <si>
    <t>https://www.iana.org/assignments/oauth-parameters/endpoint.csv</t>
  </si>
  <si>
    <t>11.3</t>
  </si>
  <si>
    <t>11.3.2</t>
  </si>
  <si>
    <t>iana.oauth-param-extensions-error</t>
  </si>
  <si>
    <t>OAuth Extensions Error registry</t>
  </si>
  <si>
    <t>https://www.iana.org/assignments/oauth-parameters/oauth-parameters.xhtml#extensions-error</t>
  </si>
  <si>
    <t>https://www.iana.org/assignments/oauth-parameters/extensions-error.csv</t>
  </si>
  <si>
    <t>11.4</t>
  </si>
  <si>
    <t>RFC5280</t>
  </si>
  <si>
    <t>Internet X.509 Public Key Infrastructure Certificate and Certificate Revocation List (CRL) Profile</t>
  </si>
  <si>
    <t>https://www.rfc-editor.org/rfc/rfc5280.txt</t>
  </si>
  <si>
    <t>https://www.rfc-editor.org/rfc/rfc5280.html</t>
  </si>
  <si>
    <t>RFC6265</t>
  </si>
  <si>
    <t>HTTP State Management Mechanism</t>
  </si>
  <si>
    <t>https://www.rfc-editor.org/rfc/rfc6265.txt</t>
  </si>
  <si>
    <t>https://www.rfc-editor.org/rfc/rfc6265.html</t>
  </si>
  <si>
    <t>W3C.REC-webarch-20041215</t>
  </si>
  <si>
    <t>https://www.w3.org/TR/2004/REC-webarch-20041215/</t>
  </si>
  <si>
    <t>RFC7235</t>
  </si>
  <si>
    <t>Hypertext Transfer Protocol (HTTP/1.1): Authentication</t>
  </si>
  <si>
    <t>https://www.rfc-editor.org/rfc/rfc7235.txt</t>
  </si>
  <si>
    <t>https://www.rfc-editor.org/rfc/rfc7235.html</t>
  </si>
  <si>
    <t>draft-ietf-httpbis-p7-auth</t>
  </si>
  <si>
    <t>draft-ietf-httpbis-p7-auth-21</t>
  </si>
  <si>
    <t>21</t>
  </si>
  <si>
    <t>https://www.ietf.org/archive/id/draft-ietf-httpbis-p7-auth-21.txt</t>
  </si>
  <si>
    <t>NIST.SP800-63</t>
  </si>
  <si>
    <t>NIST.SP800-63-1</t>
  </si>
  <si>
    <t>NIST.SP800-63-2</t>
  </si>
  <si>
    <t>NIST.SP800-63-3</t>
  </si>
  <si>
    <t>Electronic Authentication Guideline</t>
  </si>
  <si>
    <t>CSRC Special Publication</t>
  </si>
  <si>
    <t>NIST</t>
  </si>
  <si>
    <t>https://doi.org/10.6028/NIST.SP.800-63v1.0.2</t>
  </si>
  <si>
    <t>PDF</t>
  </si>
  <si>
    <t>https://doi.org/10.6028/NIST.SP.800-63-1</t>
  </si>
  <si>
    <t>https://doi.org/10.6028/NIST.SP.800-63-2</t>
  </si>
  <si>
    <t>NIST.SP800-63A</t>
  </si>
  <si>
    <t>NIST.SP800-63B</t>
  </si>
  <si>
    <t>NIST.SP800-63C</t>
  </si>
  <si>
    <t>Digital Identity Guidelines</t>
  </si>
  <si>
    <t>https://doi.org/10.6028/NIST.SP.800-63-3</t>
  </si>
  <si>
    <t>Digital Identity Guidelines: Enrollment and Identity Proofing</t>
  </si>
  <si>
    <t>https://doi.org/10.6028/NIST.SP.800-63a</t>
  </si>
  <si>
    <t>Digital Identity Guidelines: Authentication and Lifecycle Management</t>
  </si>
  <si>
    <t>https://doi.org/10.6028/NIST.SP.800-63b</t>
  </si>
  <si>
    <t>NIST.SP800-63Bsup1</t>
  </si>
  <si>
    <t>Incorporating Syncable Authenticators into NIST SP 800-63B: Digital Identity Guidelines — Authentication and Lifecycle Management</t>
  </si>
  <si>
    <t>https://doi.org/10.6028/NIST.SP.800-63Bsup1</t>
  </si>
  <si>
    <t>Digital Identity Guidelines: Federation and Assertions</t>
  </si>
  <si>
    <t>https://doi.org/10.6028/NIST.SP.800-63c</t>
  </si>
  <si>
    <t>OpenID.Connect-Core-1.0</t>
  </si>
  <si>
    <t>OpenID Connect Core 1.0</t>
  </si>
  <si>
    <t>Specification</t>
  </si>
  <si>
    <t>OIDF</t>
  </si>
  <si>
    <t>https://openid.net/specs/openid-connect-core-1_0-final.xml</t>
  </si>
  <si>
    <t>https://openid.net/specs/openid-connect-core-1_0-final.txt</t>
  </si>
  <si>
    <t>https://openid.net/specs/openid-connect-core-1_0-final.html</t>
  </si>
  <si>
    <t>openid-connect-core-1_0</t>
  </si>
  <si>
    <t>OpenID Connect Standard 1.0</t>
  </si>
  <si>
    <t>openid-connect-standard-1_0</t>
  </si>
  <si>
    <t>OpenID Connect Messages 1.0</t>
  </si>
  <si>
    <t>openid-connect-messages-1_0</t>
  </si>
  <si>
    <t>openid-connect-core-1_0-18</t>
  </si>
  <si>
    <t>18</t>
  </si>
  <si>
    <t>https://openid.net/specs/openid-connect-core-1_0-18.xml</t>
  </si>
  <si>
    <t>https://openid.net/specs/openid-connect-core-1_0-18.txt</t>
  </si>
  <si>
    <t>https://openid.net/specs/openid-connect-core-1_0-18.html</t>
  </si>
  <si>
    <t>openid-connect-core-1_0-12</t>
  </si>
  <si>
    <t>12</t>
  </si>
  <si>
    <t>https://openid.net/specs/openid-connect-core-1_0-12.xml</t>
  </si>
  <si>
    <t>https://openid.net/specs/openid-connect-core-1_0-12.txt</t>
  </si>
  <si>
    <t>https://openid.net/specs/openid-connect-core-1_0-12.html</t>
  </si>
  <si>
    <t>openid-connect-standard-1_0-21</t>
  </si>
  <si>
    <t>https://openid.net/specs/openid-connect-standard-1_0-21.xml</t>
  </si>
  <si>
    <t>https://openid.net/specs/openid-connect-standard-1_0-21.txt</t>
  </si>
  <si>
    <t>https://openid.net/specs/openid-connect-standard-1_0-21.html</t>
  </si>
  <si>
    <t>openid-connect-messages-1_0-20</t>
  </si>
  <si>
    <t>20</t>
  </si>
  <si>
    <t>https://openid.net/specs/openid-connect-messages-1_0-20.xml</t>
  </si>
  <si>
    <t>https://openid.net/specs/openid-connect-messages-1_0-20.txt</t>
  </si>
  <si>
    <t>https://openid.net/specs/openid-connect-messages-1_0-20.html</t>
  </si>
  <si>
    <t>openid-connect-messages-1_0-12</t>
  </si>
  <si>
    <t>https://openid.net/specs/openid-connect-messages-1_0-12.txt</t>
  </si>
  <si>
    <t>https://openid.net/specs/openid-connect-messages-1_0-12.html</t>
  </si>
  <si>
    <t>OpenID Foundation</t>
  </si>
  <si>
    <t>https://openid.net/</t>
  </si>
  <si>
    <t>OATC</t>
  </si>
  <si>
    <t>Open Authentication Technology Committee</t>
  </si>
  <si>
    <t>https://oatc.svta.org/</t>
  </si>
  <si>
    <t>Active</t>
  </si>
  <si>
    <t>Dissolved</t>
  </si>
  <si>
    <t>SVTA</t>
  </si>
  <si>
    <t>Streaming Video Technology Alliance</t>
  </si>
  <si>
    <t>https://www.svta.org/</t>
  </si>
  <si>
    <t>OATC.OMAP</t>
  </si>
  <si>
    <t>https://www.svta.org/product/online-multimedia-authorization-protocol/</t>
  </si>
  <si>
    <t>Online Multimedia Authorization Protocol</t>
  </si>
  <si>
    <t>draft-ietf-oauth-v2</t>
  </si>
  <si>
    <t>draft-ietf-oauth-v2-31</t>
  </si>
  <si>
    <t>31</t>
  </si>
  <si>
    <t>https://www.ietf.org/archive/id/draft-ietf-oauth-v2-31.xml</t>
  </si>
  <si>
    <t>https://www.ietf.org/archive/id/draft-ietf-oauth-v2-31.txt</t>
  </si>
  <si>
    <t>RFC2141</t>
  </si>
  <si>
    <t>URN Syntax</t>
  </si>
  <si>
    <t>1997-05</t>
  </si>
  <si>
    <t>https://www.rfc-editor.org/rfc/rfc2141.txt</t>
  </si>
  <si>
    <t>https://www.rfc-editor.org/rfc/rfc2141.html</t>
  </si>
  <si>
    <t>jose WG</t>
  </si>
  <si>
    <t>Javascript Object Signing and Encryption working group</t>
  </si>
  <si>
    <t>https://datatracker.ietf.org/wg/jose/about/</t>
  </si>
  <si>
    <t>RFC7518</t>
  </si>
  <si>
    <t>JSON Web Algorithms (JWA)</t>
  </si>
  <si>
    <t>2015-05</t>
  </si>
  <si>
    <t>https://www.rfc-editor.org/rfc/rfc7518.txt</t>
  </si>
  <si>
    <t>https://www.rfc-editor.org/rfc/rfc7518.html</t>
  </si>
  <si>
    <t>draft-ietf-jose-json-web-algorithms</t>
  </si>
  <si>
    <t>draft-ietf-jose-json-web-algorithms-40</t>
  </si>
  <si>
    <t>40</t>
  </si>
  <si>
    <t>https://www.ietf.org/archive/id/draft-ietf-jose-json-web-algorithms-40.xml</t>
  </si>
  <si>
    <t>https://www.ietf.org/archive/id/draft-ietf-jose-json-web-algorithms-40.txt</t>
  </si>
  <si>
    <t>RFC7515</t>
  </si>
  <si>
    <t>RFC7516</t>
  </si>
  <si>
    <t>RFC7517</t>
  </si>
  <si>
    <t>RFC7519</t>
  </si>
  <si>
    <t>JSON Web Signature (JWS)</t>
  </si>
  <si>
    <t>https://www.rfc-editor.org/rfc/rfc7515.txt</t>
  </si>
  <si>
    <t>https://www.rfc-editor.org/rfc/rfc7515.html</t>
  </si>
  <si>
    <t>JSON Web Encryption (JWE)</t>
  </si>
  <si>
    <t>https://www.rfc-editor.org/rfc/rfc7516.txt</t>
  </si>
  <si>
    <t>https://www.rfc-editor.org/rfc/rfc7516.html</t>
  </si>
  <si>
    <t>JSON Web Key (JWK)</t>
  </si>
  <si>
    <t>https://www.rfc-editor.org/rfc/rfc7517.txt</t>
  </si>
  <si>
    <t>https://www.rfc-editor.org/rfc/rfc7517.html</t>
  </si>
  <si>
    <t>JSON Web Token (JWT)</t>
  </si>
  <si>
    <t>https://www.rfc-editor.org/rfc/rfc7519.txt</t>
  </si>
  <si>
    <t>https://www.rfc-editor.org/rfc/rfc7519.html</t>
  </si>
  <si>
    <t>draft-ietf-jose-json-web-signature</t>
  </si>
  <si>
    <t>draft-ietf-jose-json-web-signature-41</t>
  </si>
  <si>
    <t>41</t>
  </si>
  <si>
    <t>https://www.ietf.org/archive/id/draft-ietf-jose-json-web-signature-41.xml</t>
  </si>
  <si>
    <t>https://www.ietf.org/archive/id/draft-ietf-jose-json-web-signature-41.txt</t>
  </si>
  <si>
    <t>draft-ietf-jose-json-web-encryption</t>
  </si>
  <si>
    <t>draft-ietf-jose-json-web-encryption-40</t>
  </si>
  <si>
    <t>https://www.ietf.org/archive/id/draft-ietf-jose-json-web-encryption-40.xml</t>
  </si>
  <si>
    <t>https://www.ietf.org/archive/id/draft-ietf-jose-json-web-encryption-40.txt</t>
  </si>
  <si>
    <t>draft-ietf-jose-json-web-key</t>
  </si>
  <si>
    <t>draft-ietf-jose-json-web-key-41</t>
  </si>
  <si>
    <t>https://www.ietf.org/archive/id/draft-ietf-jose-json-web-key-41.xml</t>
  </si>
  <si>
    <t>https://www.ietf.org/archive/id/draft-ietf-jose-json-web-key-41.txt</t>
  </si>
  <si>
    <t>draft-ietf-oauth-json-web-token</t>
  </si>
  <si>
    <t>draft-ietf-oauth-json-web-token-32</t>
  </si>
  <si>
    <t>32</t>
  </si>
  <si>
    <t>https://www.ietf.org/archive/id/draft-ietf-oauth-json-web-token-32.xml</t>
  </si>
  <si>
    <t>https://www.ietf.org/archive/id/draft-ietf-oauth-json-web-token-32.txt</t>
  </si>
  <si>
    <t>draft-recordon-oauth-v2-device</t>
  </si>
  <si>
    <t>OAuth 2.0 Device Profile</t>
  </si>
  <si>
    <t>Individual</t>
  </si>
  <si>
    <t>draft-recordon-oauth-v2-device-00</t>
  </si>
  <si>
    <t>https://www.ietf.org/archive/id/draft-recordon-oauth-v2-device-00.txt</t>
  </si>
  <si>
    <t>AB/Connect WG</t>
  </si>
  <si>
    <t>OpenID AB/Connect working group</t>
  </si>
  <si>
    <t>https://openid.net/wg/connect/</t>
  </si>
  <si>
    <t>ISO</t>
  </si>
  <si>
    <t>International Organization for Standardization</t>
  </si>
  <si>
    <t>https://www.iso.org/</t>
  </si>
  <si>
    <t>IEC</t>
  </si>
  <si>
    <t>International Electrotechnical Commission</t>
  </si>
  <si>
    <t>https://iec.ch/</t>
  </si>
  <si>
    <t>ITU</t>
  </si>
  <si>
    <t>International Telecommunication Union</t>
  </si>
  <si>
    <t>https://www.itu.int/</t>
  </si>
  <si>
    <t>ISO/IEC JTC 1</t>
  </si>
  <si>
    <t>ISO/IEC Joint Technical Committee for Information Technology (JTC 1)</t>
  </si>
  <si>
    <t>https://jtc1info.org/</t>
  </si>
  <si>
    <t>OpenID Connect</t>
  </si>
  <si>
    <t>OpenID Connect 1.0</t>
  </si>
  <si>
    <t>OpenID.Connect-Core-1.0-es1</t>
  </si>
  <si>
    <t>OpenID Connect Core 1.0 incorporating errata set 1</t>
  </si>
  <si>
    <t>Final Specification</t>
  </si>
  <si>
    <t>https://openid.net/specs/openid-connect-core-1_0-errata1.xml</t>
  </si>
  <si>
    <t>https://openid.net/specs/openid-connect-core-1_0-errata1.txt</t>
  </si>
  <si>
    <t>https://openid.net/specs/openid-connect-core-1_0-errata1.html</t>
  </si>
  <si>
    <t>OpenID.Connect-Core-1.0-es2</t>
  </si>
  <si>
    <t>OpenID Connect Core 1.0 incorporating errata set 2</t>
  </si>
  <si>
    <t>https://openid.net/specs/openid-connect-core-1_0-errata2.xml</t>
  </si>
  <si>
    <t>JTC1.26131:2024</t>
  </si>
  <si>
    <t>International Standard</t>
  </si>
  <si>
    <t>JTC1</t>
  </si>
  <si>
    <t>2024-10</t>
  </si>
  <si>
    <t>https://www.iso.org/standard/89056.html</t>
  </si>
  <si>
    <t>ALSO_PUBLISHED_AS</t>
  </si>
  <si>
    <t>openid-connect-core-1_0-35</t>
  </si>
  <si>
    <t>35</t>
  </si>
  <si>
    <t>Work Group Draft</t>
  </si>
  <si>
    <t>https://openid.net/specs/openid-connect-core-1_0-35.xml</t>
  </si>
  <si>
    <t>https://openid.net/specs/openid-connect-core-1_0-35.txt</t>
  </si>
  <si>
    <t>https://openid.net/specs/openid-connect-core-1_0-35.html</t>
  </si>
  <si>
    <t>openid-connect-core-1_0-22</t>
  </si>
  <si>
    <t>22</t>
  </si>
  <si>
    <t>https://openid.net/specs/openid-connect-core-1_0-22.xml</t>
  </si>
  <si>
    <t>https://openid.net/specs/openid-connect-core-1_0-22.txt</t>
  </si>
  <si>
    <t>https://openid.net/specs/openid-connect-core-1_0-22.html</t>
  </si>
  <si>
    <t>Became Final Spec</t>
  </si>
  <si>
    <t>OpenID.Connect-Discovery-1.0</t>
  </si>
  <si>
    <t>OpenID.Connect-Discovery-1.0-es1</t>
  </si>
  <si>
    <t>OpenID.Connect-Discovery-1.0-es2</t>
  </si>
  <si>
    <t>OpenID Connect Discovery 1.0 incorporating errata set 1</t>
  </si>
  <si>
    <t>OpenID Connect Discovery 1.0</t>
  </si>
  <si>
    <t>OpenID Connect Discovery 1.0 incorporating errata set 2</t>
  </si>
  <si>
    <t>openid-connect-discovery-1_0</t>
  </si>
  <si>
    <t>openid-connect-discovery-1_0-37</t>
  </si>
  <si>
    <t>37</t>
  </si>
  <si>
    <t>openid-connect-discovery-1_0-25</t>
  </si>
  <si>
    <t>25</t>
  </si>
  <si>
    <t>openid-connect-discovery-1_0-22</t>
  </si>
  <si>
    <t>https://openid.net/specs/openid-connect-discovery-1_0-37.xml</t>
  </si>
  <si>
    <t>https://openid.net/specs/openid-connect-discovery-1_0-37.txt</t>
  </si>
  <si>
    <t>https://openid.net/specs/openid-connect-discovery-1_0-37.html</t>
  </si>
  <si>
    <t>https://openid.net/specs/openid-connect-discovery-1_0-25.xml</t>
  </si>
  <si>
    <t>https://openid.net/specs/openid-connect-discovery-1_0-25.txt</t>
  </si>
  <si>
    <t>https://openid.net/specs/openid-connect-discovery-1_0-25.html</t>
  </si>
  <si>
    <t>https://openid.net/specs/openid-connect-discovery-1_0-22.xml</t>
  </si>
  <si>
    <t>https://openid.net/specs/openid-connect-discovery-1_0-22.txt</t>
  </si>
  <si>
    <t>https://openid.net/specs/openid-connect-discovery-1_0-22.html</t>
  </si>
  <si>
    <t>https://openid.net/specs/openid-connect-discovery-1_0-final.xml</t>
  </si>
  <si>
    <t>https://openid.net/specs/openid-connect-discovery-1_0-final.txt</t>
  </si>
  <si>
    <t>https://openid.net/specs/openid-connect-discovery-1_0-final.html</t>
  </si>
  <si>
    <t>https://openid.net/specs/openid-connect-core-1_0-errata2.txt</t>
  </si>
  <si>
    <t>https://openid.net/specs/openid-connect-core-1_0-errata2.html</t>
  </si>
  <si>
    <t>https://openid.net/specs/openid-connect-discovery-1_0-errata1.xml</t>
  </si>
  <si>
    <t>https://openid.net/specs/openid-connect-discovery-1_0-errata1.txt</t>
  </si>
  <si>
    <t>https://openid.net/specs/openid-connect-discovery-1_0-errata1.html</t>
  </si>
  <si>
    <t>https://openid.net/specs/openid-connect-discovery-1_0-errata2.xml</t>
  </si>
  <si>
    <t>https://openid.net/specs/openid-connect-discovery-1_0-errata2.txt</t>
  </si>
  <si>
    <t>https://openid.net/specs/openid-connect-discovery-1_0-errata2.html</t>
  </si>
  <si>
    <t>JTC1.26132:2024</t>
  </si>
  <si>
    <t>https://www.iso.org/standard/89057.html</t>
  </si>
  <si>
    <t>OpenID.Connect-Registration-1.0</t>
  </si>
  <si>
    <t>OpenID.Connect-Registration-1.0-es1</t>
  </si>
  <si>
    <t>OpenID.Connect-Registration-1.0-es2</t>
  </si>
  <si>
    <t>OpenID Connect Dynamic Client Registration 1.0 incorporating errata set 2</t>
  </si>
  <si>
    <t>OpenID Connect Dynamic Client Registration 1.0 incorporating errata set 1</t>
  </si>
  <si>
    <t>OpenID Connect Dynamic Client Registration 1.0</t>
  </si>
  <si>
    <t>openid-connect-registration-1_0</t>
  </si>
  <si>
    <t>39</t>
  </si>
  <si>
    <t>https://openid.net/specs/openid-connect-registration-1_0-39.xml</t>
  </si>
  <si>
    <t>https://openid.net/specs/openid-connect-registration-1_0-39.txt</t>
  </si>
  <si>
    <t>https://openid.net/specs/openid-connect-registration-1_0-39.html</t>
  </si>
  <si>
    <t>openid-connect-registration-1_0-39</t>
  </si>
  <si>
    <t>openid-connect-registration-1_0-28</t>
  </si>
  <si>
    <t>28</t>
  </si>
  <si>
    <t>https://openid.net/specs/openid-connect-registration-1_0-28.xml</t>
  </si>
  <si>
    <t>https://openid.net/specs/openid-connect-registration-1_0-28.txt</t>
  </si>
  <si>
    <t>https://openid.net/specs/openid-connect-registration-1_0-28.html</t>
  </si>
  <si>
    <t>openid-connect-registration-1_0-24</t>
  </si>
  <si>
    <t>24</t>
  </si>
  <si>
    <t>https://openid.net/specs/openid-connect-registration-1_0-24.xml</t>
  </si>
  <si>
    <t>https://openid.net/specs/openid-connect-registration-1_0-24.txt</t>
  </si>
  <si>
    <t>https://openid.net/specs/openid-connect-registration-1_0-24.html</t>
  </si>
  <si>
    <t>https://openid.net/specs/openid-connect-registration-1_0-errata2.xml</t>
  </si>
  <si>
    <t>https://openid.net/specs/openid-connect-registration-1_0-errata2.txt</t>
  </si>
  <si>
    <t>https://openid.net/specs/openid-connect-registration-1_0-errata2.html</t>
  </si>
  <si>
    <t>https://openid.net/specs/openid-connect-registration-1_0-errata1.xml</t>
  </si>
  <si>
    <t>https://openid.net/specs/openid-connect-registration-1_0-errata1.txt</t>
  </si>
  <si>
    <t>https://openid.net/specs/openid-connect-registration-1_0-errata1.html</t>
  </si>
  <si>
    <t>https://openid.net/specs/openid-connect-registration-1_0-final.xml</t>
  </si>
  <si>
    <t>https://openid.net/specs/openid-connect-registration-1_0-final.txt</t>
  </si>
  <si>
    <t>https://openid.net/specs/openid-connect-registration-1_0-final.html</t>
  </si>
  <si>
    <t>JTC1.26133:2024</t>
  </si>
  <si>
    <t>https://www.iso.org/standard/89059.html</t>
  </si>
  <si>
    <t>OpenID.Connect-RPLogout-1.0</t>
  </si>
  <si>
    <t>OpenID Connect RP-Initiated Logout 1.0</t>
  </si>
  <si>
    <t>https://openid.net/specs/openid-connect-rpinitiated-1_0-final.xml</t>
  </si>
  <si>
    <t>https://openid.net/specs/openid-connect-rpinitiated-1_0-final.txt</t>
  </si>
  <si>
    <t>https://openid.net/specs/openid-connect-rpinitiated-1_0-final.html</t>
  </si>
  <si>
    <t>openid-connect-rpinitiated-1_0</t>
  </si>
  <si>
    <t>04</t>
  </si>
  <si>
    <t>openid-connect-rpinitiated-1_0-04</t>
  </si>
  <si>
    <t>https://openid.net/specs/openid-connect-rpinitiated-1_0-04.xml</t>
  </si>
  <si>
    <t>https://openid.net/specs/openid-connect-rpinitiated-1_0-04.txt</t>
  </si>
  <si>
    <t>https://openid.net/specs/openid-connect-rpinitiated-1_0-04.html</t>
  </si>
  <si>
    <t>JTC1.26134:2024</t>
  </si>
  <si>
    <t>https://www.iso.org/standard/89060.html</t>
  </si>
  <si>
    <t>OpenID.Connect-Session-1.0</t>
  </si>
  <si>
    <t>OpenID Connect Session Management 1.0</t>
  </si>
  <si>
    <t>https://openid.net/specs/openid-connect-session-1_0-final.xml</t>
  </si>
  <si>
    <t>https://openid.net/specs/openid-connect-session-1_0-final.txt</t>
  </si>
  <si>
    <t>https://openid.net/specs/openid-connect-session-1_0-final.html</t>
  </si>
  <si>
    <t>openid-connect-session-1_0</t>
  </si>
  <si>
    <t>openid-connect-session-1_0-32</t>
  </si>
  <si>
    <t>https://openid.net/specs/openid-connect-session-1_0-32.xml</t>
  </si>
  <si>
    <t>https://openid.net/specs/openid-connect-session-1_0-32.txt</t>
  </si>
  <si>
    <t>https://openid.net/specs/openid-connect-session-1_0-32.html</t>
  </si>
  <si>
    <t>JTC1.26135:2024</t>
  </si>
  <si>
    <t>https://www.iso.org/standard/89061.html</t>
  </si>
  <si>
    <t>OpenID.Connect-FrontChannel-1.0</t>
  </si>
  <si>
    <t>OpenID Connect Front-Channel Logout 1.0</t>
  </si>
  <si>
    <t>https://openid.net/specs/openid-connect-frontchannel-1_0-final.xml</t>
  </si>
  <si>
    <t>https://openid.net/specs/openid-connect-frontchannel-1_0-final.txt</t>
  </si>
  <si>
    <t>https://openid.net/specs/openid-connect-frontchannel-1_0-final.html</t>
  </si>
  <si>
    <t>JTC1.26136:2024</t>
  </si>
  <si>
    <t>https://www.iso.org/standard/89062.html</t>
  </si>
  <si>
    <t>openid-connect-frontchannel-1_0</t>
  </si>
  <si>
    <t>07</t>
  </si>
  <si>
    <t>openid-connect-frontchannel-1_0-07</t>
  </si>
  <si>
    <t>https://openid.net/specs/openid-connect-frontchannel-1_0-07.xml</t>
  </si>
  <si>
    <t>https://openid.net/specs/openid-connect-frontchannel-1_0-07.txt</t>
  </si>
  <si>
    <t>https://openid.net/specs/openid-connect-frontchannel-1_0-07.html</t>
  </si>
  <si>
    <t>OpenID.Connect-BackChannel-1.0</t>
  </si>
  <si>
    <t>OpenID.Connect-BackChannel-1.0-es1</t>
  </si>
  <si>
    <t>OpenID Connect Back-Channel Logout 1.0 incorporating errata set 1</t>
  </si>
  <si>
    <t>OpenID Connect Back-Channel Logout 1.0</t>
  </si>
  <si>
    <t>https://openid.net/specs/openid-connect-backchannel-1_0-final.xml</t>
  </si>
  <si>
    <t>https://openid.net/specs/openid-connect-backchannel-1_0-final.txt</t>
  </si>
  <si>
    <t>https://openid.net/specs/openid-connect-backchannel-1_0-final.html</t>
  </si>
  <si>
    <t>https://openid.net/specs/openid-connect-backchannel-1_0-errata1.xml</t>
  </si>
  <si>
    <t>https://openid.net/specs/openid-connect-backchannel-1_0-errata1.txt</t>
  </si>
  <si>
    <t>https://openid.net/specs/openid-connect-backchannel-1_0-errata1.html</t>
  </si>
  <si>
    <t>JTC1.26137:2024</t>
  </si>
  <si>
    <t>https://www.iso.org/standard/89063.html</t>
  </si>
  <si>
    <t>openid-connect-backchannel-1_0</t>
  </si>
  <si>
    <t>13</t>
  </si>
  <si>
    <t>openid-connect-backchannel-1_0-13</t>
  </si>
  <si>
    <t>https://openid.net/specs/openid-connect-backchannel-1_0-13.xml</t>
  </si>
  <si>
    <t>https://openid.net/specs/openid-connect-backchannel-1_0-13.txt</t>
  </si>
  <si>
    <t>https://openid.net/specs/openid-connect-backchannel-1_0-13.html</t>
  </si>
  <si>
    <t>10</t>
  </si>
  <si>
    <t>openid-connect-backchannel-1_0-10</t>
  </si>
  <si>
    <t>https://openid.net/specs/openid-connect-backchannel-1_0-10.xml</t>
  </si>
  <si>
    <t>https://openid.net/specs/openid-connect-backchannel-1_0-10.txt</t>
  </si>
  <si>
    <t>https://openid.net/specs/openid-connect-backchannel-1_0-10.html</t>
  </si>
  <si>
    <t>EXTENDS</t>
  </si>
  <si>
    <t>OpenID.OAuth2-Multiple-Response-Types-1.0</t>
  </si>
  <si>
    <t>OAuth 2.0 Multiple Response Type Encoding Practices</t>
  </si>
  <si>
    <t>https://openid.net/specs/oauth-v2-multiple-response-types-1_0-final.xml</t>
  </si>
  <si>
    <t>https://openid.net/specs/oauth-v2-multiple-response-types-1_0-final.txt</t>
  </si>
  <si>
    <t>https://openid.net/specs/oauth-v2-multiple-response-types-1_0-final.html</t>
  </si>
  <si>
    <t>JTC1.26138:2024</t>
  </si>
  <si>
    <t>https://www.iso.org/standard/89064.html</t>
  </si>
  <si>
    <t>oauth-v2-multiple-response-types-1_0</t>
  </si>
  <si>
    <t>oauth-v2-multiple-response-types-1_0-12</t>
  </si>
  <si>
    <t>https://openid.net/specs/oauth-v2-multiple-response-types-1_0-12.xml</t>
  </si>
  <si>
    <t>https://openid.net/specs/oauth-v2-multiple-response-types-1_0-12.txt</t>
  </si>
  <si>
    <t>https://openid.net/specs/oauth-v2-multiple-response-types-1_0-12.html</t>
  </si>
  <si>
    <t>OAuth 2.0 Form Post Response Mode</t>
  </si>
  <si>
    <t>OpenID.OAuth2-Form-Post-Response-1.0</t>
  </si>
  <si>
    <t>https://openid.net/specs/oauth-v2-form-post-response-mode-1_0-final.xml</t>
  </si>
  <si>
    <t>https://openid.net/specs/oauth-v2-form-post-response-mode-1_0-final.txt</t>
  </si>
  <si>
    <t>https://openid.net/specs/oauth-v2-form-post-response-mode-1_0-final.html</t>
  </si>
  <si>
    <t>JTC1.26139:2024</t>
  </si>
  <si>
    <t>https://www.iso.org/standard/89065.html</t>
  </si>
  <si>
    <t>oauth-v2-form-post-response-mode-1_0</t>
  </si>
  <si>
    <t>05</t>
  </si>
  <si>
    <t>oauth-v2-form-post-response-mode-1_0-05</t>
  </si>
  <si>
    <t>https://openid.net/specs/oauth-v2-form-post-response-mode-1_0-05.xml</t>
  </si>
  <si>
    <t>https://openid.net/specs/oauth-v2-form-post-response-mode-1_0-05.txt</t>
  </si>
  <si>
    <t>https://openid.net/specs/oauth-v2-form-post-response-mode-1_0-05.html</t>
  </si>
  <si>
    <t>OpenID</t>
  </si>
  <si>
    <t>OpenID 2.0</t>
  </si>
  <si>
    <t>OpenID 1.1</t>
  </si>
  <si>
    <t>OpenID 1.0</t>
  </si>
  <si>
    <t>OpenID 2.0 to OpenID Connect Migration 1.0</t>
  </si>
  <si>
    <t>OpenID.Connect-Migration-1.0</t>
  </si>
  <si>
    <t>https://openid.net/specs/openid-connect-migration-1_0-final.xml</t>
  </si>
  <si>
    <t>https://openid.net/specs/openid-connect-migration-1_0-final.txt</t>
  </si>
  <si>
    <t>https://openid.net/specs/openid-connect-migration-1_0-final.html</t>
  </si>
  <si>
    <t>openid-connect-migration-1_0</t>
  </si>
  <si>
    <t>openid-connect-migration-1_0-09</t>
  </si>
  <si>
    <t>09</t>
  </si>
  <si>
    <t>https://openid.net/specs/openid-connect-migration-1_0-09.xml</t>
  </si>
  <si>
    <t>https://openid.net/specs/openid-connect-migration-1_0-09.txt</t>
  </si>
  <si>
    <t>https://openid.net/specs/openid-connect-migration-1_0-09.html</t>
  </si>
  <si>
    <t>OpenID.Connect-UnmetAuthn-1.0</t>
  </si>
  <si>
    <t>OpenID Connect Core Error Code unmet_authentication_requirements</t>
  </si>
  <si>
    <t>https://openid.net/specs/openid-connect-unmet-authentication-requirements-1_0-final.xml</t>
  </si>
  <si>
    <t>https://openid.net/specs/openid-connect-unmet-authentication-requirements-1_0-final.txt</t>
  </si>
  <si>
    <t>https://openid.net/specs/openid-connect-unmet-authentication-requirements-1_0-final.html</t>
  </si>
  <si>
    <t>openid-connect-unmet-authentication-requirements-1_0</t>
  </si>
  <si>
    <t>openid-connect-unmet-authentication-requirements-1_0-02</t>
  </si>
  <si>
    <t>02</t>
  </si>
  <si>
    <t>https://openid.net/specs/openid-connect-unmet-authentication-requirements-1_0-02.xml</t>
  </si>
  <si>
    <t>https://openid.net/specs/openid-connect-unmet-authentication-requirements-1_0-02.txt</t>
  </si>
  <si>
    <t>https://openid.net/specs/openid-connect-unmet-authentication-requirements-1_0-02.html</t>
  </si>
  <si>
    <t>Initiating User Registration via OpenID Connect 1.0</t>
  </si>
  <si>
    <t>OpenID.Connect-UserRegistration-1.0</t>
  </si>
  <si>
    <t>https://openid.net/specs/openid-connect-prompt-create-1_0-final.xml</t>
  </si>
  <si>
    <t>https://openid.net/specs/openid-connect-prompt-create-1_0-final.txt</t>
  </si>
  <si>
    <t>https://openid.net/specs/openid-connect-prompt-create-1_0-final.html</t>
  </si>
  <si>
    <t>openid-connect-prompt-create-1_0</t>
  </si>
  <si>
    <t xml:space="preserve">openid-connect-prompt-create-1_0-07 </t>
  </si>
  <si>
    <t>https://openid.net/specs/openid-connect-prompt-create-1_0-07.xml</t>
  </si>
  <si>
    <t>https://openid.net/specs/openid-connect-prompt-create-1_0-07.txt</t>
  </si>
  <si>
    <t>https://openid.net/specs/openid-connect-prompt-create-1_0-07.html</t>
  </si>
  <si>
    <t>FAPI WG</t>
  </si>
  <si>
    <t>FAPI working group</t>
  </si>
  <si>
    <t>https://openid.net/wg/fapi/</t>
  </si>
  <si>
    <t>OASIS Open</t>
  </si>
  <si>
    <t>https://www.oasis-open.org/</t>
  </si>
  <si>
    <t>SS TC</t>
  </si>
  <si>
    <t>OASIS Security Services technical committee</t>
  </si>
  <si>
    <t>MODRNA WG</t>
  </si>
  <si>
    <t>Mobile Operator Discovery, Registration &amp; Authentication working group</t>
  </si>
  <si>
    <t>https://openid.net/wg/modrna/</t>
  </si>
  <si>
    <t>eKYC-IDA WG</t>
  </si>
  <si>
    <t>eKYC and Identity Assurance working group</t>
  </si>
  <si>
    <t>https://openid.net/wg/ekyc-ida/</t>
  </si>
  <si>
    <t>OpenID.AuthN-1.0</t>
  </si>
  <si>
    <t>OpenID Authentication 1.0</t>
  </si>
  <si>
    <t>2005-05</t>
  </si>
  <si>
    <t>https://openid.net/specs/specs-1.0.bml</t>
  </si>
  <si>
    <t>BML</t>
  </si>
  <si>
    <t>OpenID.AuthN-1.1</t>
  </si>
  <si>
    <t>OpenID Authentication 1.1</t>
  </si>
  <si>
    <t>2006-05</t>
  </si>
  <si>
    <t>https://openid.net/specs/specs-1.1.bml</t>
  </si>
  <si>
    <t>https://openid.net/specs/openid-authentication-1_1.txt</t>
  </si>
  <si>
    <t>https://openid.net/specs/openid-authentication-1_1.html</t>
  </si>
  <si>
    <t>OpenID.AuthN-2.0</t>
  </si>
  <si>
    <t>OpenID Authentication 2.0</t>
  </si>
  <si>
    <t>https://openid.net/specs/openid-authentication-2_0.txt</t>
  </si>
  <si>
    <t>https://openid.net/specs/openid-authentication-2_0.html</t>
  </si>
  <si>
    <t>Implementers Draft</t>
  </si>
  <si>
    <t>https://openid.net/specs/openid-authentication-2_0-12.txt</t>
  </si>
  <si>
    <t>https://openid.net/specs/openid-authentication-2_0-12.html</t>
  </si>
  <si>
    <t>openid-authentication-2_0</t>
  </si>
  <si>
    <t>openid-authentication-2_0-12</t>
  </si>
  <si>
    <t>OpenID.Attribute-Exchange-1.0</t>
  </si>
  <si>
    <t>OpenID Attribute Exchange 1.0</t>
  </si>
  <si>
    <t>https://openid.net/specs/openid-attribute-exchange-1_0.txt</t>
  </si>
  <si>
    <t>https://openid.net/specs/openid-attribute-exchange-1_0.html</t>
  </si>
  <si>
    <t>openid-attribute-exchange-1_0</t>
  </si>
  <si>
    <t>OpenID Attribute Exchange</t>
  </si>
  <si>
    <t>openid-attribute-exchange-1_0-08</t>
  </si>
  <si>
    <t>https://openid.net/specs/openid-attribute-exchange-1_0-08.txt</t>
  </si>
  <si>
    <t>https://openid.net/specs/openid-attribute-exchange-1_0-08.html</t>
  </si>
  <si>
    <t>OpenID.AuthnPolicy-Ext-1.0</t>
  </si>
  <si>
    <t>OpenID Provider Authentication Policy Extension 1.0</t>
  </si>
  <si>
    <t>https://openid.net/specs/openid-provider-authentication-policy-extension-1_0.txt</t>
  </si>
  <si>
    <t>https://openid.net/specs/openid-provider-authentication-policy-extension-1_0.html</t>
  </si>
  <si>
    <t>openid-provider-authentication-policy-extension-1_0</t>
  </si>
  <si>
    <t>openid-provider-authentication-policy-extension-1_0-07</t>
  </si>
  <si>
    <t>https://openid.net/specs/openid-provider-authentication-policy-extension-1_0-07.xml</t>
  </si>
  <si>
    <t>https://openid.net/specs/openid-provider-authentication-policy-extension-1_0-07.txt</t>
  </si>
  <si>
    <t>https://openid.net/specs/openid-provider-authentication-policy-extension-1_0-07.html</t>
  </si>
  <si>
    <t>OpenID Simple Registration Extension 1.0</t>
  </si>
  <si>
    <t>OpenID.SimpleRegistration-1.0</t>
  </si>
  <si>
    <t>https://openid.net/specs/openid-simple-registration-extension-1_0.txt</t>
  </si>
  <si>
    <t>https://openid.net/specs/openid-simple-registration-extension-1_0.html</t>
  </si>
  <si>
    <t>Yadis-1.0</t>
  </si>
  <si>
    <t>Yadis Specification 1.0</t>
  </si>
  <si>
    <t>Published</t>
  </si>
  <si>
    <t>https://openid.net/specs/yadis-v1.0.pdf</t>
  </si>
  <si>
    <t>https://yadis.org/papers/yadis-v1.0.pdf</t>
  </si>
  <si>
    <t>https://yadis.org/wiki/Yadis_1.0_%28HTML%29</t>
  </si>
  <si>
    <t>Financial-grade API Security Profile 1.0 - Part 1: Baseline</t>
  </si>
  <si>
    <t>OpenID.FAPI-Profile-Baseline-1.0</t>
  </si>
  <si>
    <t>https://openid.net/specs/openid-financial-api-part-1-1_0-final.xml</t>
  </si>
  <si>
    <t>https://openid.net/specs/openid-financial-api-part-1-1_0-final.md</t>
  </si>
  <si>
    <t>https://openid.net/specs/openid-financial-api-part-1-1_0-final.html</t>
  </si>
  <si>
    <t>openid-financial-api-part-1-1_0</t>
  </si>
  <si>
    <t>openid-financial-api-part-1-1_0-wd-08</t>
  </si>
  <si>
    <t>wd-08</t>
  </si>
  <si>
    <t>https://openid.net/specs/openid-financial-api-part-1-wd-08.xml</t>
  </si>
  <si>
    <t>https://openid.net/specs/openid-financial-api-part-1-wd-08.md</t>
  </si>
  <si>
    <t>https://openid.net/specs/openid-financial-api-part-1-wd-08.html</t>
  </si>
  <si>
    <t>PROFILES</t>
  </si>
  <si>
    <t>OpenID.FAPI-Profile-Advanced-1.0</t>
  </si>
  <si>
    <t>Financial-grade API Security Profile 1.0 - Part 2: Advanced</t>
  </si>
  <si>
    <t>https://openid.net/specs/openid-financial-api-part-2-1_0-final.xml</t>
  </si>
  <si>
    <t>https://openid.net/specs/openid-financial-api-part-2-1_0-final.md</t>
  </si>
  <si>
    <t>https://openid.net/specs/openid-financial-api-part-2-1_0-final.html</t>
  </si>
  <si>
    <t>openid-financial-api-part-2-1_0</t>
  </si>
  <si>
    <t>https://openid.net/specs/openid-financial-api-part-2-wd-08.xml</t>
  </si>
  <si>
    <t>https://openid.net/specs/openid-financial-api-part-2-wd-08.md</t>
  </si>
  <si>
    <t>openid-financial-api-part-2-1_0-wd-08</t>
  </si>
  <si>
    <t>OpenID.FAPI-Security-Profile-2.0</t>
  </si>
  <si>
    <t>FAPI 2.0 Security Profile</t>
  </si>
  <si>
    <t>https://openid.net/specs/fapi-security-profile-2_0-final.xml</t>
  </si>
  <si>
    <t>https://openid.net/specs/fapi-security-profile-2_0-final.md</t>
  </si>
  <si>
    <t>https://openid.net/specs/fapi-security-profile-2_0-final.html</t>
  </si>
  <si>
    <t>fapi-security-profile-2_0</t>
  </si>
  <si>
    <t>fapi-security-profile-2_0-05</t>
  </si>
  <si>
    <t>https://openid.net/specs/fapi-security-profile-2_0-05.md</t>
  </si>
  <si>
    <t>https://openid.net/specs/fapi-security-profile-2_0-05.xml</t>
  </si>
  <si>
    <t>OpenID.FAPI-AttackerModel-2.0</t>
  </si>
  <si>
    <t>FAPI 2.0 Attacker Model</t>
  </si>
  <si>
    <t>https://openid.net/specs/fapi-attacker-model-2_0-final.xml</t>
  </si>
  <si>
    <t>https://openid.net/specs/fapi-attacker-model-2_0-final.md</t>
  </si>
  <si>
    <t>https://openid.net/specs/fapi-attacker-model-2_0-final.html</t>
  </si>
  <si>
    <t>fapi-attacker-model-2_0</t>
  </si>
  <si>
    <t>fapi-attacker-model-2_0-05</t>
  </si>
  <si>
    <t>https://openid.net/specs/fapi-attacker-model-2_0-05.xml</t>
  </si>
  <si>
    <t>https://openid.net/specs/fapi-attacker-model-2_0-05.md</t>
  </si>
  <si>
    <t>https://openid.net/specs/fapi-attacker-model-2_0-05.html</t>
  </si>
  <si>
    <t>JWT Secured Authorization Response Mode for OAuth 2.0 (JARM)</t>
  </si>
  <si>
    <t>OpenID.JARM</t>
  </si>
  <si>
    <t>https://openid.net/specs/oauth-v2-jarm-final.xml</t>
  </si>
  <si>
    <t>https://openid.net/specs/oauth-v2-jarm-final.md</t>
  </si>
  <si>
    <t>https://openid.net/specs/oauth-v2-jarm-final.html</t>
  </si>
  <si>
    <t>oauth-v2-jarm</t>
  </si>
  <si>
    <t>oauth-v2-jarm-04</t>
  </si>
  <si>
    <t>https://openid.net/specs/oauth-v2-jarm-04.html</t>
  </si>
  <si>
    <t>OpenID.CIBA-1.0</t>
  </si>
  <si>
    <t>OpenID Connect Client-Initiated Backchannel Authentication Flow - Core 1.0</t>
  </si>
  <si>
    <t>https://openid.net/specs/openid-client-initiated-backchannel-authentication-core-1_0-final.xml</t>
  </si>
  <si>
    <t>https://openid.net/specs/openid-client-initiated-backchannel-authentication-core-1_0-final.txt</t>
  </si>
  <si>
    <t>https://openid.net/specs/openid-client-initiated-backchannel-authentication-core-1_0-final.html</t>
  </si>
  <si>
    <t>openid-ciba-core-1_0</t>
  </si>
  <si>
    <t>openid-ciba-core-1_0-04</t>
  </si>
  <si>
    <t>https://openid.net/specs/openid-client-initiated-backchannel-authentication-core-1_0-04.xml</t>
  </si>
  <si>
    <t>https://openid.net/specs/openid-client-initiated-backchannel-authentication-core-1_0-04.txt</t>
  </si>
  <si>
    <t>https://openid.net/specs/openid-client-initiated-backchannel-authentication-core-1_0-04.html</t>
  </si>
  <si>
    <t>OASIS.SAML-Core-2.0</t>
  </si>
  <si>
    <t>Assertions and Protocols for the OASIS Security Assertion Markup Language (SAML) V2.0</t>
  </si>
  <si>
    <t>OASIS Standard</t>
  </si>
  <si>
    <t>SSTC</t>
  </si>
  <si>
    <t>https://docs.oasis-open.org/security/saml/v2.0/saml-core-2.0-os.pdf</t>
  </si>
  <si>
    <t>OASIS.SAML-AuthnContext-2.0</t>
  </si>
  <si>
    <t>Authentication Context for the OASIS Security Assertion Markup Language (SAML) V2.0</t>
  </si>
  <si>
    <t>https://docs.oasis-open.org/security/saml/v2.0/saml-authn-context-2.0-os.pdf</t>
  </si>
  <si>
    <t>OASIS.SAML-Bindings-2.0</t>
  </si>
  <si>
    <t>Bindings for the OASIS Security Assertion Markup Language (SAML) V2.0</t>
  </si>
  <si>
    <t>https://docs.oasis-open.org/security/saml/v2.0/saml-bindings-2.0-os.pdf</t>
  </si>
  <si>
    <t>OASIS.SAML-Profiles-2.0</t>
  </si>
  <si>
    <t>Profiles for the OASIS Security Assertion Markup Language (SAML) V2.0</t>
  </si>
  <si>
    <t>https://docs.oasis-open.org/security/saml/v2.0/saml-profiles-2.0-os.pdf</t>
  </si>
  <si>
    <t>OASIS.SAML-Metadata-2.0</t>
  </si>
  <si>
    <t>https://docs.oasis-open.org/security/saml/v2.0/saml-metadata-2.0-os.pdf</t>
  </si>
  <si>
    <t>Metadata for the OASIS Security Assertion Markup Language (SAML) V2.0</t>
  </si>
  <si>
    <t>OASIS.SAML-Conformance-2.0</t>
  </si>
  <si>
    <t>Conformance Requirements for the OASIS Security Assertion Markup Language (SAML) V2.0</t>
  </si>
  <si>
    <t>https://docs.oasis-open.org/security/saml/v2.0/saml-conformance-2.0-os.pdf</t>
  </si>
  <si>
    <t>OASIS.SAML-SecConsider-2.0</t>
  </si>
  <si>
    <t>Security and Privacy Considerations for the OASIS Security Assertion Markup Language (SAML) V2.0</t>
  </si>
  <si>
    <t>https://docs.oasis-open.org/security/saml/v2.0/saml-sec-consider-2.0-os.pdf</t>
  </si>
  <si>
    <t>OASIS.SAML-Glossary-2.0</t>
  </si>
  <si>
    <t>Glossary for the OASIS Security Assertion Markup Language (SAML) V2.0</t>
  </si>
  <si>
    <t>https://docs.oasis-open.org/security/saml/v2.0/saml-glossary-2.0-os.pdf</t>
  </si>
  <si>
    <t>OASIS.SAML-Schema-Assertion-2.0</t>
  </si>
  <si>
    <t>SAML 2.0 Schema - saml-schema-assertion-2.0</t>
  </si>
  <si>
    <t>Schema</t>
  </si>
  <si>
    <t>https://docs.oasis-open.org/security/saml/v2.0/saml-schema-assertion-2.0.xsd</t>
  </si>
  <si>
    <t>XSD</t>
  </si>
  <si>
    <t>OASIS.SAML-Schema-AuthnContext-2.0</t>
  </si>
  <si>
    <t>SAML 2.0 Schema - saml-schema-authn-context-2.0</t>
  </si>
  <si>
    <t>https://docs.oasis-open.org/security/saml/v2.0/saml-schema-authn-context-2.0.xsd</t>
  </si>
  <si>
    <t>OASIS.SAML-Schema-AuthnContext-AuthTelephony-2.0</t>
  </si>
  <si>
    <t>SAML 2.0 Schema - saml-schema-authn-context-auth-telephony-2.0</t>
  </si>
  <si>
    <t>https://docs.oasis-open.org/security/saml/v2.0/saml-schema-authn-context-auth-telephony-2.0.xsd</t>
  </si>
  <si>
    <t>OASIS.SAML-Schema-AuthnContext-IP-2.0</t>
  </si>
  <si>
    <t>SAML 2.0 Schema - saml-schema-authn-context-ip-2.0</t>
  </si>
  <si>
    <t>https://docs.oasis-open.org/security/saml/v2.0/saml-schema-authn-context-ip-2.0.xsd</t>
  </si>
  <si>
    <t>OASIS.SAML-Schema-AuthnContext-IP-Pwd-2.0</t>
  </si>
  <si>
    <t>SAML 2.0 Schema - saml-schema-authn-context-ippword-2.0</t>
  </si>
  <si>
    <t>https://docs.oasis-open.org/security/saml/v2.0/saml-schema-authn-context-ippword-2.0.xsd</t>
  </si>
  <si>
    <t>OASIS.SAML-Schema-AuthnContext-Kerberos-2.0</t>
  </si>
  <si>
    <t>SAML 2.0 Schema - saml-schema-authn-context-kerberos-2.0</t>
  </si>
  <si>
    <t>https://docs.oasis-open.org/security/saml/v2.0/saml-schema-authn-context-kerberos-2.0.xsd</t>
  </si>
  <si>
    <t>OASIS.SAML-Schema-AuthnContext-Mobile1Factor-Reg-2.0</t>
  </si>
  <si>
    <t>SAML 2.0 Schema - saml-schema-authn-context-mobileonefactor-reg-2.0</t>
  </si>
  <si>
    <t>https://docs.oasis-open.org/security/saml/v2.0/saml-schema-authn-context-mobileonefactor-reg-2.0.xsd</t>
  </si>
  <si>
    <t>OASIS.SAML-Schema-AuthnContext-Mobile1Factor-UnReg-2.0</t>
  </si>
  <si>
    <t>SAML 2.0 Schema - saml-schema-authn-context-mobileonefactor-unreg-2.0</t>
  </si>
  <si>
    <t>https://docs.oasis-open.org/security/saml/v2.0/saml-schema-authn-context-mobileonefactor-unreg-2.0.xsd</t>
  </si>
  <si>
    <t>OASIS.SAML-Schema-AuthnContext-Mobile2Factor-Reg-2.0</t>
  </si>
  <si>
    <t>OASIS.SAML-Schema-AuthnContext-Mobile2Factor-UnReg-2.0</t>
  </si>
  <si>
    <t>SAML 2.0 Schema -saml-schema-authn-context-mobiletwofactor-reg-2.0</t>
  </si>
  <si>
    <t>https://docs.oasis-open.org/security/saml/v2.0/saml-schema-authn-context-mobiletwofactor-reg-2.0.xsd</t>
  </si>
  <si>
    <t>SAML 2.0 Schema - saml-schema-authn-context-mobiletwofactor-unreg-2.0</t>
  </si>
  <si>
    <t>https://docs.oasis-open.org/security/saml/v2.0/saml-schema-authn-context-mobiletwofactor-unreg-2.0.xsd</t>
  </si>
  <si>
    <t>OASIS.SAML-Schema-AuthnContext-NomadTelephony-2.0</t>
  </si>
  <si>
    <t>SAML 2.0 Schema - saml-schema-authn-context-nomad-telephony-2.0</t>
  </si>
  <si>
    <t>https://docs.oasis-open.org/security/saml/v2.0/saml-schema-authn-context-nomad-telephony-2.0.xsd</t>
  </si>
  <si>
    <t>OASIS.SAML-Schema-AuthnContext-PersonalTelephony-2.0</t>
  </si>
  <si>
    <t>SAML 2.0 Schema - saml-schema-authn-context-personal-telephony-2.0</t>
  </si>
  <si>
    <t>https://docs.oasis-open.org/security/saml/v2.0/saml-schema-authn-context-personal-telephony-2.0.xsd</t>
  </si>
  <si>
    <t>OASIS.SAML-Schema-AuthnContext-PGP-2.0</t>
  </si>
  <si>
    <t>SAML 2.0 Schema - saml-schema-authn-context-pgp-2.0</t>
  </si>
  <si>
    <t>https://docs.oasis-open.org/security/saml/v2.0/saml-schema-authn-context-pgp-2.0.xsd</t>
  </si>
  <si>
    <t>OASIS.SAML-Schema-AuthnContext-PPT-2.0</t>
  </si>
  <si>
    <t>SAML 2.0 Schema - saml-schema-authn-context-ppt-2.0</t>
  </si>
  <si>
    <t>https://docs.oasis-open.org/security/saml/v2.0/saml-schema-authn-context-ppt-2.0.xsd</t>
  </si>
  <si>
    <t>OASIS.SAML-Schema-AuthnContext-Password-2.0</t>
  </si>
  <si>
    <t>SAML 2.0 Schema - saml-schema-authn-context-pword-2.0</t>
  </si>
  <si>
    <t>https://docs.oasis-open.org/security/saml/v2.0/saml-schema-authn-context-pword-2.0.xsd</t>
  </si>
  <si>
    <t>OASIS.SAML-Schema-AuthnContext-PrevSession-2.0</t>
  </si>
  <si>
    <t>SAML 2.0 Schema - saml-schema-authn-context-session-2.0</t>
  </si>
  <si>
    <t>https://docs.oasis-open.org/security/saml/v2.0/saml-schema-authn-context-session-2.0.xsd</t>
  </si>
  <si>
    <t>OASIS.SAML-Schema-AuthnContext-Smartcard-2.0</t>
  </si>
  <si>
    <t>SAML 2.0 Schema - saml-schema-authn-context-smartcard-2.0</t>
  </si>
  <si>
    <t>https://docs.oasis-open.org/security/saml/v2.0/saml-schema-authn-context-smartcard-2.0.xsd</t>
  </si>
  <si>
    <t>OASIS.SAML-Schema-AuthnContext-SmartcardPKI-2.0</t>
  </si>
  <si>
    <t>SAML 2.0 Schema - saml-schema-authn-context-smartcardpki-2.0</t>
  </si>
  <si>
    <t>https://docs.oasis-open.org/security/saml/v2.0/saml-schema-authn-context-smartcardpki-2.0.xsd</t>
  </si>
  <si>
    <t>OASIS.SAML-Schema-AuthnContext-SoftwarePKI-2.0</t>
  </si>
  <si>
    <t>SAML 2.0 Schema - saml-schema-authn-context-softwarepki-2.0</t>
  </si>
  <si>
    <t>https://docs.oasis-open.org/security/saml/v2.0/saml-schema-authn-context-softwarepki-2.0.xsd</t>
  </si>
  <si>
    <t>OASIS.SAML-Schema-AuthnContext-SPKI-2.0</t>
  </si>
  <si>
    <t>SAML 2.0 Schema - saml-schema-authn-context-spki-2.0</t>
  </si>
  <si>
    <t>https://docs.oasis-open.org/security/saml/v2.0/saml-schema-authn-context-spki-2.0.xsd</t>
  </si>
  <si>
    <t>OASIS.SAML-Schema-AuthnContext-SRP-2.0</t>
  </si>
  <si>
    <t>SAML 2.0 Schema - saml-schema-authn-context-srp-2.0</t>
  </si>
  <si>
    <t>https://docs.oasis-open.org/security/saml/v2.0/saml-schema-authn-context-srp-2.0.xsd</t>
  </si>
  <si>
    <t>OASIS.SAML-Schema-AuthnContext-TLSClient-2.0</t>
  </si>
  <si>
    <t>SAML 2.0 Schema - saml-schema-authn-context-sslcert-2.0</t>
  </si>
  <si>
    <t>https://docs.oasis-open.org/security/saml/v2.0/saml-schema-authn-context-sslcert-2.0.xsd</t>
  </si>
  <si>
    <t>OASIS.SAML-Schema-AuthnContext-Telephony-2.0</t>
  </si>
  <si>
    <t>SAML 2.0 Schema - saml-schema-authn-context-telephony-2.0</t>
  </si>
  <si>
    <t>https://docs.oasis-open.org/security/saml/v2.0/saml-schema-authn-context-telephony-2.0.xsd</t>
  </si>
  <si>
    <t>OASIS.SAML-Schema-AuthnContext-TimeSyncToken-2.0</t>
  </si>
  <si>
    <t>SAML 2.0 Schema - saml-schema-authn-context-timesync-2.0</t>
  </si>
  <si>
    <t>https://docs.oasis-open.org/security/saml/v2.0/saml-schema-authn-context-timesync-2.0.xsd</t>
  </si>
  <si>
    <t>OASIS.SAML-Schema-AuthnContext-Types-2.0</t>
  </si>
  <si>
    <t>SAML 2.0 Schema - saml-schema-authn-context-types-2.0</t>
  </si>
  <si>
    <t>https://docs.oasis-open.org/security/saml/v2.0/saml-schema-authn-context-types-2.0.xsd</t>
  </si>
  <si>
    <t>OASIS.SAML-Schema-AuthnContext-X509-2.0</t>
  </si>
  <si>
    <t>SAML 2.0 Schema - saml-schema-authn-context-x509-2.0</t>
  </si>
  <si>
    <t>https://docs.oasis-open.org/security/saml/v2.0/saml-schema-authn-context-x509-2.0.xsd</t>
  </si>
  <si>
    <t>OASIS.SAML-Schema-AuthnContext-XMLDSig-2.0</t>
  </si>
  <si>
    <t>SAML 2.0 Schema - saml-schema-authn-context-xmldsig-2.0</t>
  </si>
  <si>
    <t>https://docs.oasis-open.org/security/saml/v2.0/saml-schema-authn-context-xmldsig-2.0.xsd</t>
  </si>
  <si>
    <t>OASIS.SAML-Schema-DCE-2.0</t>
  </si>
  <si>
    <t>SAML 2.0 Schema - saml-schema-dce-2.0</t>
  </si>
  <si>
    <t>https://docs.oasis-open.org/security/saml/v2.0/saml-schema-dce-2.0.xsd</t>
  </si>
  <si>
    <t>OASIS.SAML-Schema-ECP-2.0</t>
  </si>
  <si>
    <t>SAML 2.0 Schema - saml-schema-ecp-2.0</t>
  </si>
  <si>
    <t>https://docs.oasis-open.org/security/saml/v2.0/saml-schema-ecp-2.0.xsd</t>
  </si>
  <si>
    <t>OASIS.SAML-Schema-Metadata-2.0</t>
  </si>
  <si>
    <t>SAML 2.0 Schema - saml-schema-metadata-2.0</t>
  </si>
  <si>
    <t>https://docs.oasis-open.org/security/saml/v2.0/saml-schema-metadata-2.0.xsd</t>
  </si>
  <si>
    <t>OASIS.SAML-Schema-Protocol-2.0</t>
  </si>
  <si>
    <t>SAML 2.0 Schema - saml-schema-protocol-2.0</t>
  </si>
  <si>
    <t>https://docs.oasis-open.org/security/saml/v2.0/saml-schema-protocol-2.0.xsd</t>
  </si>
  <si>
    <t>OASIS.SAML-Schema-X500-2.0</t>
  </si>
  <si>
    <t>SAML 2.0 Schema - saml-schema-x500-2.0</t>
  </si>
  <si>
    <t>https://docs.oasis-open.org/security/saml/v2.0/saml-schema-x500-2.0.xsd</t>
  </si>
  <si>
    <t>OASIS.SAML-Schema-XACLML-2.0</t>
  </si>
  <si>
    <t>SAML 2.0 Schema - saml-schema-xacml-2.0</t>
  </si>
  <si>
    <t>https://docs.oasis-open.org/security/saml/v2.0/saml-schema-xacml-2.0.xsd</t>
  </si>
  <si>
    <t>SAML</t>
  </si>
  <si>
    <t>SAML 1.0</t>
  </si>
  <si>
    <t>SAML 1.1</t>
  </si>
  <si>
    <t>SAML 2.0</t>
  </si>
  <si>
    <t>openid-connect-registration-1_0-08</t>
  </si>
  <si>
    <t>https://openid.net/specs/openid-connect-registration-1_0-08.xml</t>
  </si>
  <si>
    <t>https://openid.net/specs/openid-connect-registration-1_0-08.txt</t>
  </si>
  <si>
    <t>https://openid.net/specs/openid-connect-registration-1_0-08.html</t>
  </si>
  <si>
    <t>draft-jones-simple-web-discovery</t>
  </si>
  <si>
    <t>Simple Web Discovery (SWD)</t>
  </si>
  <si>
    <t>draft-jones-simple-web-discovery-04</t>
  </si>
  <si>
    <t>https://www.ietf.org/archive/id/draft-jones-simple-web-discovery-00.txt</t>
  </si>
  <si>
    <t>https://www.ietf.org/archive/id/draft-jones-simple-web-discovery-04.txt</t>
  </si>
  <si>
    <t>draft-jones-simple-web-discovery-00</t>
  </si>
  <si>
    <t>ITU-T</t>
  </si>
  <si>
    <t>ITU Telecommunication Standardization Sector</t>
  </si>
  <si>
    <t>https://itu.int/itu-t/</t>
  </si>
  <si>
    <t>SG17</t>
  </si>
  <si>
    <t>https://www.itu.int/en/ITU-T/studygroups/2025-2028/17/Pages/default.aspx</t>
  </si>
  <si>
    <t>ITU-T.REC-X.1141</t>
  </si>
  <si>
    <t>Security Assertion Markup Language (SAML 2.0)</t>
  </si>
  <si>
    <t>2006-06</t>
  </si>
  <si>
    <t>https://handle.itu.int/11.1002/1000/8844</t>
  </si>
  <si>
    <t>reference:ID:string</t>
  </si>
  <si>
    <t>title:string</t>
  </si>
  <si>
    <t>status:string[]</t>
  </si>
  <si>
    <t>type:string</t>
  </si>
  <si>
    <t>stream:string</t>
  </si>
  <si>
    <t>canonicalUrl:string</t>
  </si>
  <si>
    <t>canonicalFormat:string</t>
  </si>
  <si>
    <t>plainTextUrl:string</t>
  </si>
  <si>
    <t>htmlUrl:string</t>
  </si>
  <si>
    <t>otherUrl:string</t>
  </si>
  <si>
    <t>otherFormat:string</t>
  </si>
  <si>
    <t>Published; Active</t>
  </si>
  <si>
    <t>Published; Active; Updated; Errata</t>
  </si>
  <si>
    <t>Published; Active; Errata</t>
  </si>
  <si>
    <t>Published; Obsoleted; Updated; Errata</t>
  </si>
  <si>
    <t>Published; Obsoleted; Errata</t>
  </si>
  <si>
    <t>Internet Security Glossary; Version 2</t>
  </si>
  <si>
    <t>Published; Obsoleted</t>
  </si>
  <si>
    <t>Architecture of the World Wide Web; Volume One</t>
  </si>
  <si>
    <t>Withdrawn; Superseded; Updated</t>
  </si>
  <si>
    <t>Withdrawn; Superseded</t>
  </si>
  <si>
    <t>revisionId:string</t>
  </si>
  <si>
    <t>Became Final Spec; Updated</t>
  </si>
  <si>
    <t>name:ID:string</t>
  </si>
  <si>
    <t>versionedName:ID:string</t>
  </si>
  <si>
    <t>target:END_ID</t>
  </si>
  <si>
    <t>1.3.1; 4.1</t>
  </si>
  <si>
    <t>1.3.2; 4.2</t>
  </si>
  <si>
    <t>1.3.3; 4.3</t>
  </si>
  <si>
    <t>1.3.4; 4.4</t>
  </si>
  <si>
    <t>4.5; 8.3</t>
  </si>
  <si>
    <t>1.4; 5; 8.1</t>
  </si>
  <si>
    <t>1.4; 6</t>
  </si>
  <si>
    <t>4.1; 4.2</t>
  </si>
  <si>
    <t>authorityId</t>
  </si>
  <si>
    <t>createdTimestamp</t>
  </si>
  <si>
    <t>updatedTimestamp</t>
  </si>
  <si>
    <t>atlasStatus</t>
  </si>
  <si>
    <t>reference</t>
  </si>
  <si>
    <t>title</t>
  </si>
  <si>
    <t>status</t>
  </si>
  <si>
    <t>type</t>
  </si>
  <si>
    <t>stream</t>
  </si>
  <si>
    <t>publishedDate</t>
  </si>
  <si>
    <t>canonicalUrl</t>
  </si>
  <si>
    <t>canonicalFormat</t>
  </si>
  <si>
    <t>plainTextUrl</t>
  </si>
  <si>
    <t>htmlUrl</t>
  </si>
  <si>
    <t>otherUrl</t>
  </si>
  <si>
    <t>otherFormat</t>
  </si>
  <si>
    <t>core</t>
  </si>
  <si>
    <t>2012-10</t>
  </si>
  <si>
    <t>support</t>
  </si>
  <si>
    <t>refonly</t>
  </si>
  <si>
    <t>core; refComplete</t>
  </si>
  <si>
    <t>controllingOrgId</t>
  </si>
  <si>
    <t>shortName</t>
  </si>
  <si>
    <t>fullName</t>
  </si>
  <si>
    <t>url</t>
  </si>
  <si>
    <t>wimse WG</t>
  </si>
  <si>
    <t>Workload Identity in Multi System Environments working group</t>
  </si>
  <si>
    <t>https://datatracker.ietf.org/wg/wimse/about/</t>
  </si>
  <si>
    <t>cose WG</t>
  </si>
  <si>
    <t>CBOR Object Signing and Encryption working group</t>
  </si>
  <si>
    <t>https://datatracker.ietf.org/wg/cose/about/</t>
  </si>
  <si>
    <t>scim WG</t>
  </si>
  <si>
    <t>System for Cross-domain Identity Management working group</t>
  </si>
  <si>
    <t>https://datatracker.ietf.org/wg/scim/about/</t>
  </si>
  <si>
    <t>spice WG</t>
  </si>
  <si>
    <t>rats WG</t>
  </si>
  <si>
    <t>scitt WG</t>
  </si>
  <si>
    <t>Secure Patterns for Internet CrEdentials working group</t>
  </si>
  <si>
    <t>https://datatracker.ietf.org/wg/spice/about/</t>
  </si>
  <si>
    <t>https://datatracker.ietf.org/wg/rats/about/</t>
  </si>
  <si>
    <t>https://datatracker.ietf.org/wg/scitt/about/</t>
  </si>
  <si>
    <t>Remote ATtestation ProcedureS working group</t>
  </si>
  <si>
    <t>Supply Chain Integrity, Transparency, and Trust working group</t>
  </si>
  <si>
    <t>ace WG</t>
  </si>
  <si>
    <t>Authentication and Authorization for Constrained Environments working group</t>
  </si>
  <si>
    <t>https://datatracker.ietf.org/wg/ace/about/</t>
  </si>
  <si>
    <t>kitten WG</t>
  </si>
  <si>
    <t>Common Authentication Technology Next Generation working group</t>
  </si>
  <si>
    <t>https://datatracker.ietf.org/wg/kitten/about/</t>
  </si>
  <si>
    <t>radext WG</t>
  </si>
  <si>
    <t>RADIUS EXTensions working group</t>
  </si>
  <si>
    <t>https://datatracker.ietf.org/wg/radext/about/</t>
  </si>
  <si>
    <t>W3C</t>
  </si>
  <si>
    <t>World Wide Web Consortium</t>
  </si>
  <si>
    <t>https://www.w3.org/</t>
  </si>
  <si>
    <t>did WG</t>
  </si>
  <si>
    <t>Decentralized Identifier working group</t>
  </si>
  <si>
    <t>https://www.w3.org/groups/wg/did/</t>
  </si>
  <si>
    <t>fedid WG</t>
  </si>
  <si>
    <t>Federated Identity working group</t>
  </si>
  <si>
    <t>https://www.w3.org/groups/wg/fedid/</t>
  </si>
  <si>
    <t>vc WG</t>
  </si>
  <si>
    <t>Verifiable Credentials working group</t>
  </si>
  <si>
    <t>https://www.w3.org/groups/wg/vc/</t>
  </si>
  <si>
    <t>webauthn WG</t>
  </si>
  <si>
    <t>Web Authentication working group</t>
  </si>
  <si>
    <t>https://www.w3.org/groups/wg/webauthn/</t>
  </si>
  <si>
    <t>Closed</t>
  </si>
  <si>
    <t>AuthZEN WG</t>
  </si>
  <si>
    <t>AuthZEN working group</t>
  </si>
  <si>
    <t>https://openid.net/wg/authzen/</t>
  </si>
  <si>
    <t>DCP WG</t>
  </si>
  <si>
    <t>Digital Credentials Protocols working group</t>
  </si>
  <si>
    <t>https://openid.net/wg/digital-credentials-protocols/</t>
  </si>
  <si>
    <t>EAP WG</t>
  </si>
  <si>
    <t>Enhanced Authentication Profile working group</t>
  </si>
  <si>
    <t>https://openid.net/wg/eap/</t>
  </si>
  <si>
    <t>FastFed WG</t>
  </si>
  <si>
    <t>FastFed working group</t>
  </si>
  <si>
    <t>https://openid.net/wg/fastfed/</t>
  </si>
  <si>
    <t>Abandoned</t>
  </si>
  <si>
    <t>HEART WG</t>
  </si>
  <si>
    <t>HEART working group</t>
  </si>
  <si>
    <t>https://openid.net/wg/heart/</t>
  </si>
  <si>
    <t>iGov WG</t>
  </si>
  <si>
    <t>iGov working group</t>
  </si>
  <si>
    <t>https://openid.net/wg/igov/</t>
  </si>
  <si>
    <t>IPSIE WG</t>
  </si>
  <si>
    <t>Interoperability Profiling for Secure Identity in the Enterprise working group</t>
  </si>
  <si>
    <t>https://openid.net/wg/ipsie/</t>
  </si>
  <si>
    <t>R&amp;E WG</t>
  </si>
  <si>
    <t>Research and Education working group</t>
  </si>
  <si>
    <t>https://openid.net/wg/rande/</t>
  </si>
  <si>
    <t>Shared Signals WG</t>
  </si>
  <si>
    <t>Shared Signals working group</t>
  </si>
  <si>
    <t>https://openid.net/wg/sharedsignals/</t>
  </si>
  <si>
    <t>OASIS</t>
  </si>
  <si>
    <t>OASIS Web Services Federation technical committee</t>
  </si>
  <si>
    <t>https://www.oasis-open.org/committees/tc_home.php?wg_abbrev=wsfed</t>
  </si>
  <si>
    <t>https://www.oasis-open.org/committees/tc_home.php?wg_abbrev=security</t>
  </si>
  <si>
    <t>Security TC</t>
  </si>
  <si>
    <t>WSFed TC</t>
  </si>
  <si>
    <t>WSS TC</t>
  </si>
  <si>
    <t>OASIS Web Services Security technical committee</t>
  </si>
  <si>
    <t>https://www.oasis-open.org/committees/tc_home.php?wg_abbrev=wss</t>
  </si>
  <si>
    <t>WSS-M TC</t>
  </si>
  <si>
    <t>OASIS Web Services Security Maintenance technical committee</t>
  </si>
  <si>
    <t>https://www.oasis-open.org/committees/tc_home.php?wg_abbrev=wss-m</t>
  </si>
  <si>
    <t>WS-SX TC</t>
  </si>
  <si>
    <t>OASIS Web Services Secure Exchange technical committee</t>
  </si>
  <si>
    <t>https://www.oasis-open.org/committees/tc_home.php?wg_abbrev=ws-sx</t>
  </si>
  <si>
    <t>XACML TC</t>
  </si>
  <si>
    <t>OASIS eXtensible Access Control Markup Language technical committee</t>
  </si>
  <si>
    <t>https://groups.oasis-open.org/communities/tc-community-home2?CommunityKey=67afe552-0921-49b7-9a85-018dc7d3ef1d</t>
  </si>
  <si>
    <t>https://jtc1info.org/technology/subcommittees/smart-cards/</t>
  </si>
  <si>
    <t>JTC1 SC 17</t>
  </si>
  <si>
    <t>JTC1 SC 27</t>
  </si>
  <si>
    <t>https://jtc1info.org/technology/subcommittees/information-security-cybersecurity-privacy-protection/</t>
  </si>
  <si>
    <t>https://jtc1info.org/technology/subcommittees/biometrics/</t>
  </si>
  <si>
    <t>National Institute of Standards and Technology (US)</t>
  </si>
  <si>
    <t>ETSI</t>
  </si>
  <si>
    <t>European Telecommunications Standards Institute</t>
  </si>
  <si>
    <t>https://www.etsi.org/</t>
  </si>
  <si>
    <t>https://www.nist.gov/</t>
  </si>
  <si>
    <t>organizationType</t>
  </si>
  <si>
    <t>open standards organization</t>
  </si>
  <si>
    <t>topic focus group</t>
  </si>
  <si>
    <t>industry association</t>
  </si>
  <si>
    <t>international standards organization</t>
  </si>
  <si>
    <t>regional/national standards organization</t>
  </si>
  <si>
    <t>ENISA</t>
  </si>
  <si>
    <t>European Union Agency for Cybersecurity</t>
  </si>
  <si>
    <t>https://www.enisa.europa.eu/</t>
  </si>
  <si>
    <t>FIDO Alliance</t>
  </si>
  <si>
    <t>https://fidoalliance.org/</t>
  </si>
  <si>
    <t>FIDO2 TWG</t>
  </si>
  <si>
    <t>FIDO2 technical working group</t>
  </si>
  <si>
    <t>DO TWG</t>
  </si>
  <si>
    <t>Device Onboarding technical working group</t>
  </si>
  <si>
    <t>https://fidoalliance.org/members/working-groups/</t>
  </si>
  <si>
    <t>Metadata TWG</t>
  </si>
  <si>
    <t>UAF TWG</t>
  </si>
  <si>
    <t>Universal Authentication Framework technical working group</t>
  </si>
  <si>
    <t>Metadata Service technical working group</t>
  </si>
  <si>
    <t>relationshipId</t>
  </si>
  <si>
    <t>sourceNodeType</t>
  </si>
  <si>
    <t>NodeTypes</t>
  </si>
  <si>
    <t>ControllingOrg</t>
  </si>
  <si>
    <t>Authority</t>
  </si>
  <si>
    <t>AuthorityDraft</t>
  </si>
  <si>
    <t>Revision</t>
  </si>
  <si>
    <t>Protocol</t>
  </si>
  <si>
    <t>ProtocolVersion</t>
  </si>
  <si>
    <t>ProtocolFeature</t>
  </si>
  <si>
    <t>sourceNodeAttr</t>
  </si>
  <si>
    <t>NodeType</t>
  </si>
  <si>
    <t>NodeTypeAttr</t>
  </si>
  <si>
    <t>relationshipType</t>
  </si>
  <si>
    <t>sourceNodeValue</t>
  </si>
  <si>
    <t>sourceNodeValue_old</t>
  </si>
  <si>
    <t>targetNodeType</t>
  </si>
  <si>
    <t>targetNodeAttr</t>
  </si>
  <si>
    <t>targetNodeValue</t>
  </si>
  <si>
    <t>JTC1 SC 37</t>
  </si>
  <si>
    <t>Kantara</t>
  </si>
  <si>
    <t>Kantara Initiative</t>
  </si>
  <si>
    <t>https://kantarainitiative.org/</t>
  </si>
  <si>
    <t>UMA WG</t>
  </si>
  <si>
    <t>User Managed Access working group</t>
  </si>
  <si>
    <t>https://kantarainitiative.org/work-groups/uma/</t>
  </si>
  <si>
    <t>Identity Assurance working group</t>
  </si>
  <si>
    <t>https://kantarainitiative.org/work-groups/iawg/</t>
  </si>
  <si>
    <t>RIUP WG</t>
  </si>
  <si>
    <t>Resilient Identifiers for Underserved Populations working group</t>
  </si>
  <si>
    <t>https://kantarainitiative.org/work-groups/riup/</t>
  </si>
  <si>
    <t>PEMC WG</t>
  </si>
  <si>
    <t>Privacy Enhancing Mobile Credentials working group</t>
  </si>
  <si>
    <t>https://kantarainitiative.org/work-groups/pemc/</t>
  </si>
  <si>
    <t>ANCR WG</t>
  </si>
  <si>
    <t>Anchored Notice and Consent Receipts working group</t>
  </si>
  <si>
    <t>https://kantarainitiative.org/work-groups/ancr/</t>
  </si>
  <si>
    <t>DNI_notes</t>
  </si>
  <si>
    <t>referenceType</t>
  </si>
  <si>
    <t>authoritySection</t>
  </si>
  <si>
    <t>American Standard Code for Information Interchange</t>
  </si>
  <si>
    <t>US-ASCII</t>
  </si>
  <si>
    <t>Obsoleted</t>
  </si>
  <si>
    <t>National Standard</t>
  </si>
  <si>
    <t>1963-06-17</t>
  </si>
  <si>
    <t>1980-12-21</t>
  </si>
  <si>
    <t>1999</t>
  </si>
  <si>
    <t>1900</t>
  </si>
  <si>
    <t>1999-24</t>
  </si>
  <si>
    <t>1999-8-1</t>
  </si>
  <si>
    <t>1900-01-01</t>
  </si>
  <si>
    <t>2000-2-29</t>
  </si>
  <si>
    <t>ask</t>
  </si>
  <si>
    <t>YYYY-M-DD</t>
  </si>
  <si>
    <t>1982-21-12</t>
  </si>
  <si>
    <t>1965</t>
  </si>
  <si>
    <t>1967-07-07</t>
  </si>
  <si>
    <t>1968-10-10</t>
  </si>
  <si>
    <t>1977-06-09</t>
  </si>
  <si>
    <t>US-ASCII [ASA X3.4-1963]</t>
  </si>
  <si>
    <t>US-ASCII [ASA X3.4-1965]</t>
  </si>
  <si>
    <t>US-ASCII [USAS X3.4-1967]</t>
  </si>
  <si>
    <t>US-ASCII [USAS X3.4-1968]</t>
  </si>
  <si>
    <t>US-ASCII [ANSI X3.4-1977]</t>
  </si>
  <si>
    <t>American Standard Code for Information Interchange [ASA X3.4-1963]</t>
  </si>
  <si>
    <t>American Standard Code for Information Interchange [ASA X3.4-1965]</t>
  </si>
  <si>
    <t>US-ASCII [ANSI X3.4-1986]</t>
  </si>
  <si>
    <t>1986-03-26</t>
  </si>
  <si>
    <t>US-ASCII [ANSI X3.4-1986 (R1992)]</t>
  </si>
  <si>
    <t>US-ASCII [ANSI X3.4-1986 (R1997)]</t>
  </si>
  <si>
    <t>US-ASCII [ANSI INCITS 4-1986 (R2002)]</t>
  </si>
  <si>
    <t>US-ASCII [ANSI INCITS 4-1986 (R2007)]</t>
  </si>
  <si>
    <t>US-ASCII [INCITS 4-1986 (R2012)]</t>
  </si>
  <si>
    <t>US-ASCII [INCITS 4-1986 (R2017)]</t>
  </si>
  <si>
    <t>US-ASCII [INCITS 4-1986 (R2022)]</t>
  </si>
  <si>
    <t>2022-09-08</t>
  </si>
  <si>
    <t>2017-11-02</t>
  </si>
  <si>
    <t>2012-06-15</t>
  </si>
  <si>
    <t>https://webstore.ansi.org/standards/incits/incits1986r2022</t>
  </si>
  <si>
    <t>Purchase</t>
  </si>
  <si>
    <t>https://webstore.ansi.org/standards/incits/incits1986r2017</t>
  </si>
  <si>
    <t>https://webstore.ansi.org/standards/incits/incits1986r2012</t>
  </si>
  <si>
    <t>https://webstore.ansi.org/standards/incits/ansiincits1986r2007</t>
  </si>
  <si>
    <t>https://webstore.ansi.org/standards/incits/ansiincits1986r2002</t>
  </si>
  <si>
    <t>American National Standard Code for Information Interchange [ANSI X3.4-1977]</t>
  </si>
  <si>
    <t>USA Standard Code for Information Interchange [USAS X3.4-1968]</t>
  </si>
  <si>
    <t>USA Standard Code for Information Interchange [USAS X3.4-1967]</t>
  </si>
  <si>
    <t>2007-06-14</t>
  </si>
  <si>
    <t>American National Standard for Information Systems - Coded Character Sets - 7-Bit American National Standard Code for Information Interchange (7-Bit ASCII) [ANSI INCITS 4-1986 (R2002)]</t>
  </si>
  <si>
    <t>American National Standard for Information Systems - Coded Character Sets - 7-Bit American National Standard Code for Information Interchange (7-Bit ASCII) [ANSI INCITS 4-1986 (R2007)]</t>
  </si>
  <si>
    <t>American National Standard for Information Systems - Coded Character Sets - 7-Bit American National Standard Code for Information Interchange (7-Bit ASCII) [INCITS 4-1986 (R2012)]</t>
  </si>
  <si>
    <t>American National Standard for Information Systems - Coded Character Sets - 7-Bit American National Standard Code for Information Interchange (7-Bit ASCII) [INCITS 4-1986 (R2017)]</t>
  </si>
  <si>
    <t>American National Standard for Information Systems - Coded Character Sets - 7-Bit American National Standard Code for Information Interchange (7-Bit ASCII) [INCITS 4-1986 (R2022)]</t>
  </si>
  <si>
    <t>American National Standard for Information Systems - Coded Character Sets - 7-Bit American National Standard Code for Information Interchange (7-Bit ASCII) [ANSI X3.4-1986]</t>
  </si>
  <si>
    <t>American National Standard for Information Systems - Coded Character Sets - 7-Bit American National Standard Code for Information Interchange (7-Bit ASCII) [ANSI X3.4-1986 (R1992)]</t>
  </si>
  <si>
    <t>American National Standard for Information Systems - Coded Character Sets - 7-Bit American National Standard Code for Information Interchange (7-Bit ASCII) [ANSI X3.4-1986 (R1997)]</t>
  </si>
  <si>
    <t>2002-12-30</t>
  </si>
  <si>
    <t>American Standards Association</t>
  </si>
  <si>
    <t>American Engineering Standards Committee</t>
  </si>
  <si>
    <t>United States of America Standards Institute</t>
  </si>
  <si>
    <t>ANSI</t>
  </si>
  <si>
    <t>American National Standards Institute</t>
  </si>
  <si>
    <t>https://ansi.org/</t>
  </si>
  <si>
    <t>PREVIOUSLY_KNOWN_AS</t>
  </si>
  <si>
    <t>SUCCEEDED_ORG</t>
  </si>
  <si>
    <t>X3.2</t>
  </si>
  <si>
    <t>X3.2 Subcommittee on Codes and Input-Output</t>
  </si>
  <si>
    <t>X3L2</t>
  </si>
  <si>
    <t>X3L2 Subcommittee on Character Sets and Codes</t>
  </si>
  <si>
    <t>RelationshipTypes</t>
  </si>
  <si>
    <t>HAS_AFFILIATE_ORG</t>
  </si>
  <si>
    <t>INCITS</t>
  </si>
  <si>
    <t>https://www.incits.org/</t>
  </si>
  <si>
    <t>InterNational Committee for Information Technology Standards</t>
  </si>
  <si>
    <t>Accredited Standards Committee NCITS, National Committee for Information Technology</t>
  </si>
  <si>
    <t>Accredited Standards Committee X3, Information Technology</t>
  </si>
  <si>
    <t>INCITS/L2</t>
  </si>
  <si>
    <t>https://www.incits.org/committees/l2</t>
  </si>
  <si>
    <t>L2 - Character Sets and Internationalization technical committee</t>
  </si>
  <si>
    <t>ITI</t>
  </si>
  <si>
    <t>Information Technology Industry Council</t>
  </si>
  <si>
    <t>https://www.itic.org/</t>
  </si>
  <si>
    <t>Computer and Business Equipment Manufacturers Association</t>
  </si>
  <si>
    <t>Business Equipment Manufacturers Association</t>
  </si>
  <si>
    <t>Office Equipment Manufacturers Institute</t>
  </si>
  <si>
    <t>OEMI (ITI)</t>
  </si>
  <si>
    <t>BEMA (ITI)</t>
  </si>
  <si>
    <t>CBEMA (ITI)</t>
  </si>
  <si>
    <t>USASI (ANSI)</t>
  </si>
  <si>
    <t>ASA (ANSI)</t>
  </si>
  <si>
    <t>AESC (ANSI)</t>
  </si>
  <si>
    <t>NCITS (INCITS)</t>
  </si>
  <si>
    <t>X3 (INCITS)</t>
  </si>
  <si>
    <t>affiliation</t>
  </si>
  <si>
    <t>accredits</t>
  </si>
  <si>
    <t>sponsors</t>
  </si>
  <si>
    <t>national representative</t>
  </si>
  <si>
    <t>USNC (ANSI)</t>
  </si>
  <si>
    <t>https://www.ansi.org/usnc-iec/</t>
  </si>
  <si>
    <t>JTC1 SC 2</t>
  </si>
  <si>
    <t>https://www.iso.org/committee/45050.html</t>
  </si>
  <si>
    <t>technical advisory group</t>
  </si>
  <si>
    <t>Ecma</t>
  </si>
  <si>
    <t>Ecma International</t>
  </si>
  <si>
    <t>https://ecma-international.org/</t>
  </si>
  <si>
    <t>ECMA (Ecma)</t>
  </si>
  <si>
    <t>European Computer Manufacturers Association</t>
  </si>
  <si>
    <t>International Telegraph and Telephone Consultative Committee</t>
  </si>
  <si>
    <t>CCITT (ITU-T)</t>
  </si>
  <si>
    <t>ECMA TC1</t>
  </si>
  <si>
    <t>Codes (Coded character sets)</t>
  </si>
  <si>
    <t>ECMA-6</t>
  </si>
  <si>
    <t>https://ecma-international.org/publications-and-standards/standards/ecma-6/</t>
  </si>
  <si>
    <t>7-Bit Coded Character Set</t>
  </si>
  <si>
    <t>NBS (NIST)</t>
  </si>
  <si>
    <t>National Bureau of Standards (US)</t>
  </si>
  <si>
    <t>ECMA-6 (04/1965)</t>
  </si>
  <si>
    <t>1992</t>
  </si>
  <si>
    <t>1997</t>
  </si>
  <si>
    <t>1965-04</t>
  </si>
  <si>
    <t>ECMA-6 (06/1967)</t>
  </si>
  <si>
    <t>1967-06</t>
  </si>
  <si>
    <t>ECMA-6 (07/1970)</t>
  </si>
  <si>
    <t>1970-07</t>
  </si>
  <si>
    <t>ECMA-6 (08/1973)</t>
  </si>
  <si>
    <t>1973-08</t>
  </si>
  <si>
    <t>ECMA-6 (03/1985)</t>
  </si>
  <si>
    <t>1985-03</t>
  </si>
  <si>
    <t>https://ecma-international.org/wp-content/uploads/ECMA-6_5th_edition_march_1985.pdf</t>
  </si>
  <si>
    <t>https://ecma-international.org/wp-content/uploads/ECMA-6_4th_edition_august_1973.pdf</t>
  </si>
  <si>
    <t>ECMA-6 (12/1991)</t>
  </si>
  <si>
    <t>1991-12</t>
  </si>
  <si>
    <t>https://ecma-international.org/wp-content/uploads/ECMA-6_6th_edition_december_1991.pdf</t>
  </si>
  <si>
    <t>ISO/R 646:1967</t>
  </si>
  <si>
    <t>1967-12</t>
  </si>
  <si>
    <t>ISO 646:1973</t>
  </si>
  <si>
    <t>Information Processing - ISO 7-bit Coded Character Set for Information Interchange</t>
  </si>
  <si>
    <t>ISO 646:1983</t>
  </si>
  <si>
    <t>7-bit Coded Character Set [ECMA-6 (04/1965)]</t>
  </si>
  <si>
    <t>7-bit Coded Character Set [ECMA-6 (06/1967)]</t>
  </si>
  <si>
    <t>7-bit Coded Character Set [ECMA-6 (07/1970)]</t>
  </si>
  <si>
    <t>7-bit Coded Character Set [ECMA-6 (08/1973)]</t>
  </si>
  <si>
    <t>7-bit Coded Character Set [ECMA-6 (03/1985)]</t>
  </si>
  <si>
    <t>7-bit Coded Character Set [ECMA-6 (12/1991)]</t>
  </si>
  <si>
    <t>6 and 7 Bit Coded Character Sets for Information Processing Interchange [ISO/R 646:1967]</t>
  </si>
  <si>
    <t>Information Processing - ISO 7-bit Coded Character Set for Information Interchange [ISO 646:1973]</t>
  </si>
  <si>
    <t>Information Processing - ISO 7-bit Coded Character Set for Information Interchange [ISO 646:1983]</t>
  </si>
  <si>
    <t>ISO/IEC 646:1991</t>
  </si>
  <si>
    <t>Information Processing - ISO 7-bit Coded Character Set for Information Interchange [ISO/IEC 646:1991]</t>
  </si>
  <si>
    <t>https://www.iso.org/standard/4777.html</t>
  </si>
  <si>
    <t>1983-07</t>
  </si>
  <si>
    <t>1973-07</t>
  </si>
  <si>
    <t>ISO/IEC 646</t>
  </si>
  <si>
    <t xml:space="preserve">International Reference Alphabet (IRA) / Information Processing - ISO 7-bit Coded Character Set for Information Interchange </t>
  </si>
  <si>
    <t>https://www.itu.int/myworkspace/#/t-rec/item?id=2570</t>
  </si>
  <si>
    <t>CCITT Rec. V.3 (1968)</t>
  </si>
  <si>
    <t>CCITT Rec. V.3 (1972)</t>
  </si>
  <si>
    <t>International Alphabet Number 5 [CCITT Rec. V.3 (1968)]</t>
  </si>
  <si>
    <t>International Alphabet Number 5 [CCITT Rec. V.3 (1972)]</t>
  </si>
  <si>
    <t>1968</t>
  </si>
  <si>
    <t>1972</t>
  </si>
  <si>
    <t>CCITT Rec. V.3 (10/1976)</t>
  </si>
  <si>
    <t>International Alphabet Number 5 [CCITT Rec. V.3 (10/1976)]</t>
  </si>
  <si>
    <t>1976-10</t>
  </si>
  <si>
    <t>CCITT Rec. V.3 (11/1980)</t>
  </si>
  <si>
    <t>International Alphabet Number 5 [CCITT Rec. V.3 (11/1980)]</t>
  </si>
  <si>
    <t>1980-11</t>
  </si>
  <si>
    <t>1984-10</t>
  </si>
  <si>
    <t>CCITT Rec. T.50 (10/1984)</t>
  </si>
  <si>
    <t>International Alphabet Number 5 [CCITT Rec. T.50 (10/1984)]</t>
  </si>
  <si>
    <t>CCITT Rec. T.50 (11/1988)</t>
  </si>
  <si>
    <t>International Alphabet Number 5 [CCITT Rec. T.50 (11/1988)]</t>
  </si>
  <si>
    <t>1988-11</t>
  </si>
  <si>
    <t>https://www.itu.int/rec/T-REC-T.50-198811-S</t>
  </si>
  <si>
    <t>International Reference Alphabet (IRA) / Information Processing - ISO 7-bit Coded Character Set for Information Interchange [ITU-T Rec T.50 (09/1992)]</t>
  </si>
  <si>
    <t>ITU-T Rec. T.50 (09/1992)</t>
  </si>
  <si>
    <t>1992-09</t>
  </si>
  <si>
    <t>https://www.itu.int/rec/T-REC-T.50-199209-I</t>
  </si>
  <si>
    <t>STD80</t>
  </si>
  <si>
    <t>STD 80</t>
  </si>
  <si>
    <t>https://www.rfc-editor.org/info/std80</t>
  </si>
  <si>
    <t>RFC20</t>
  </si>
  <si>
    <t>ASCII Format for Network Interchange</t>
  </si>
  <si>
    <t>Legacy</t>
  </si>
  <si>
    <t>1969-10-16</t>
  </si>
  <si>
    <t>https://www.rfc-editor.org/rfc/rfc20.txt</t>
  </si>
  <si>
    <t>https://www.rfc-editor.org/rfc/rfc20.html</t>
  </si>
  <si>
    <t>authorityGroupId</t>
  </si>
  <si>
    <t>groupType</t>
  </si>
  <si>
    <t>versionedAuthority</t>
  </si>
  <si>
    <t>AuthorityGroup</t>
  </si>
  <si>
    <t>Reorganized</t>
  </si>
  <si>
    <t>United States National Committee of the IEC</t>
  </si>
  <si>
    <t>Unpublished</t>
  </si>
  <si>
    <t>relationship</t>
  </si>
  <si>
    <t>notes</t>
  </si>
  <si>
    <t>HAS_RELATED_AUTHORITY</t>
  </si>
  <si>
    <t>MEMBER_OF</t>
  </si>
  <si>
    <t>ISO TC 97</t>
  </si>
  <si>
    <t>ISO Technical Committee for Computers Information Processing</t>
  </si>
  <si>
    <t>TC97 SC 2</t>
  </si>
  <si>
    <t>TC97 subcommittee - Character Sets and Information Coding (SC2)</t>
  </si>
  <si>
    <t>JTC1 subcommittee - Coded Character Sets (SC 2)</t>
  </si>
  <si>
    <t>JTC1 subcommittee - Smart Card (SC 17)</t>
  </si>
  <si>
    <t>JTC1 subcommittee - Information Security, Cybersecurity and Privacy Protection (SC 27)</t>
  </si>
  <si>
    <t>JTC1 subcommittee - Biometrics (SC 37)</t>
  </si>
  <si>
    <t>IEC TC 83</t>
  </si>
  <si>
    <t>IEC Technical Committee for Information Technology Equipment</t>
  </si>
  <si>
    <t>https://search.itu.int/history/HistoryDigitalCollectionDocLibrary/4.259.43.en.1032.pdf</t>
  </si>
  <si>
    <t>Other URL is Fascicle VII.3 of the Red Book (1984), T.50 starts on page 123</t>
  </si>
  <si>
    <t>https://search.itu.int/history/HistoryDigitalCollectionDocLibrary/4.258.43.en.1025.pdf</t>
  </si>
  <si>
    <t>https://search.itu.int/history/HistoryDigitalCollectionDocLibrary/4.257.43.en.1015.pdf</t>
  </si>
  <si>
    <t>https://search.itu.int/history/HistoryDigitalCollectionDocLibrary/4.256.43.en.1015.pdf</t>
  </si>
  <si>
    <t>Other URL is Volume VIII of the Green Book (1972), V.3 starts on page 47</t>
  </si>
  <si>
    <t>https://search.itu.int/history/HistoryDigitalCollectionDocLibrary/4.255.43.en.1009.pdf</t>
  </si>
  <si>
    <t>Other URL is Volume VIII of the White Book (1968), V.3 starts on page 11</t>
  </si>
  <si>
    <t>https://search.itu.int/history/HistoryDigitalCollectionDocLibrary/4.260.43.en.1041.pdf</t>
  </si>
  <si>
    <t>Republication of CCITT Rec. T.50 (10/1984) || Other URL is Fascicle VII.3 of the Blue Book (1988), T.50 starts on page 180</t>
  </si>
  <si>
    <t>Republication of CCITT Rec. V.3 (1972) || Other URL is Fascicle VIII.1 of the Orange Book (1976), V.3 starts on page 6</t>
  </si>
  <si>
    <t>Republication of CCITT Rec. V.3 (1972) || Other URL is Fascicle VIII.1 of the Yellow Book (1980), V.3 starts on page 9</t>
  </si>
  <si>
    <t>Restatement of US-ASCII [USAS X3.4-1968]</t>
  </si>
  <si>
    <t>Reaffirmation of ANSI X3.4-1986</t>
  </si>
  <si>
    <t>CCITT Special Study Group A (Study Period 1965-1968) - Data Transmission</t>
  </si>
  <si>
    <t>CCITT Special Study Group A (Study Period 1969-1972)  - Data Transmission</t>
  </si>
  <si>
    <t>CCITT SSG A (1968)</t>
  </si>
  <si>
    <t>CCITT SSG A (1972)</t>
  </si>
  <si>
    <t>CCITT SG 17 (1980)</t>
  </si>
  <si>
    <t>CCITT Study Group XVII (Study Period 1977-1980) - Data Transmission</t>
  </si>
  <si>
    <t>CCITT SG 8 (1984)</t>
  </si>
  <si>
    <t>CCITT Study Group VIII (Study Period 1981-1984) - Terminal Equipment for Telematic Services</t>
  </si>
  <si>
    <t>CCITT SG 8 (1988)</t>
  </si>
  <si>
    <t>CCITT Study Group VIII (Study Period 1985-1988) - Terminal Equipment for Telematic Services</t>
  </si>
  <si>
    <t>CCITT SG 8 (1992)</t>
  </si>
  <si>
    <t>CCITT Study Group VIII (Study Period 1989-1992) - Terminals for Telematic Services</t>
  </si>
  <si>
    <t>Reorganized from CCITT SSG A</t>
  </si>
  <si>
    <t>Reorganized into CCITT SG 17</t>
  </si>
  <si>
    <t>ECMA Standard</t>
  </si>
  <si>
    <t>technically equivalent</t>
  </si>
  <si>
    <t>partially equivalent</t>
  </si>
  <si>
    <t>ASCII is equivalent to IRV</t>
  </si>
  <si>
    <t>republication</t>
  </si>
  <si>
    <t>Affiliation</t>
  </si>
  <si>
    <t>Value</t>
  </si>
  <si>
    <t>Definition</t>
  </si>
  <si>
    <t>Defines relationships between organizations.</t>
  </si>
  <si>
    <t xml:space="preserve">[Source] recognizes or authorizes external [target] to serve as a subordinate org. </t>
  </si>
  <si>
    <t>[Source] provides meaningful support to the continued existence of [target].</t>
  </si>
  <si>
    <t>[Source] acts as a liaison to an international organization ([target]) in service of an independent nation state.</t>
  </si>
  <si>
    <t>[Source] serves as an independent consultant on technical matters to a broader [target] organization.</t>
  </si>
  <si>
    <t>Reference Type</t>
  </si>
  <si>
    <t>Defines role of upstream reference.</t>
  </si>
  <si>
    <t>normative</t>
  </si>
  <si>
    <t>informative</t>
  </si>
  <si>
    <t>[Target] informs the development of [source], without binding [source] to its requirements.</t>
  </si>
  <si>
    <t>[Target] establishes requirements which are incorporated by reference into [source].</t>
  </si>
  <si>
    <t>Relationship</t>
  </si>
  <si>
    <t>Defines similarity between two authorities.</t>
  </si>
  <si>
    <t>textually equivalent</t>
  </si>
  <si>
    <t>[Source] is technically equivalent to a portion of [target]; equivalent portion explained in notes field.</t>
  </si>
  <si>
    <t>[Source] is a subsequent publication of the same text of [target], such as via reaffirmation of an existing authority.</t>
  </si>
  <si>
    <t>influenced</t>
  </si>
  <si>
    <t>[Source] significantly influenced the design of [target] without directly EXTENDing or OBSOLETing the [source].</t>
  </si>
  <si>
    <t>Unicode</t>
  </si>
  <si>
    <t>https://www.unicode.org/versions/enumeratedversions.html</t>
  </si>
  <si>
    <t>The Unicode Standard</t>
  </si>
  <si>
    <t>ISO/IEC 10646</t>
  </si>
  <si>
    <t>Information technology — Universal Multiple-Octet Coded Character Set (UCS)</t>
  </si>
  <si>
    <t>The Unicode Standard 1.0</t>
  </si>
  <si>
    <t>Unicode Standard</t>
  </si>
  <si>
    <t>1991</t>
  </si>
  <si>
    <t>https://www.unicode.org/versions/Unicode1.0.0/</t>
  </si>
  <si>
    <t>https://www.unicode.org/versions/Unicode1.1.0/</t>
  </si>
  <si>
    <t>1991-10</t>
  </si>
  <si>
    <t>1993-06</t>
  </si>
  <si>
    <t>1996-07</t>
  </si>
  <si>
    <t>https://www.unicode.org/versions/Unicode2.0.0/</t>
  </si>
  <si>
    <t>1998-02</t>
  </si>
  <si>
    <t>https://www.unicode.org/versions/Unicode2.1.0/</t>
  </si>
  <si>
    <t>Unicode 3.0</t>
  </si>
  <si>
    <t>https://www.unicode.org/versions/Unicode3.0.0/</t>
  </si>
  <si>
    <t>https://www.unicode.org/versions/Unicode3.1.0/</t>
  </si>
  <si>
    <t>1999-09</t>
  </si>
  <si>
    <t>2001-03</t>
  </si>
  <si>
    <t>2002-03</t>
  </si>
  <si>
    <t>https://www.unicode.org/versions/Unicode3.2.0/</t>
  </si>
  <si>
    <t>2003-04</t>
  </si>
  <si>
    <t>https://www.unicode.org/versions/Unicode4.0.0/</t>
  </si>
  <si>
    <t>2005-03-31</t>
  </si>
  <si>
    <t>https://www.unicode.org/versions/Unicode4.1.0/</t>
  </si>
  <si>
    <t>Unicode 1.0.1</t>
  </si>
  <si>
    <t>Unicode 1.1</t>
  </si>
  <si>
    <t>Unicode 2.0</t>
  </si>
  <si>
    <t>Unicode 2.1</t>
  </si>
  <si>
    <t>Unicode 3.1</t>
  </si>
  <si>
    <t>Unicode 3.2</t>
  </si>
  <si>
    <t>Unicode 4.0</t>
  </si>
  <si>
    <t>Unicode 4.1</t>
  </si>
  <si>
    <t>The Unicode Standard 1.0.1</t>
  </si>
  <si>
    <t>The Unicode Standard 1.1</t>
  </si>
  <si>
    <t>The Unicode Standard 2.0</t>
  </si>
  <si>
    <t>The Unicode Standard 2.1</t>
  </si>
  <si>
    <t>The Unicode Standard 3.0</t>
  </si>
  <si>
    <t>The Unicode Standard 3.1</t>
  </si>
  <si>
    <t>The Unicode Standard 3.2</t>
  </si>
  <si>
    <t>The Unicode Standard 4.0</t>
  </si>
  <si>
    <t>The Unicode Standard 4.1</t>
  </si>
  <si>
    <t>Unicode 5.0</t>
  </si>
  <si>
    <t>The Unicode Standard 5.0</t>
  </si>
  <si>
    <t>2006-07-14</t>
  </si>
  <si>
    <t>https://www.unicode.org/versions/Unicode5.0.0/</t>
  </si>
  <si>
    <t>Unicode 5.1</t>
  </si>
  <si>
    <t>2008-04-04</t>
  </si>
  <si>
    <t>https://www.unicode.org/versions/Unicode5.1.0/</t>
  </si>
  <si>
    <t>The Unicode Standard 5.1</t>
  </si>
  <si>
    <t>Unicode 5.2</t>
  </si>
  <si>
    <t>The Unicode Standard 5.2</t>
  </si>
  <si>
    <t>2009-10-01</t>
  </si>
  <si>
    <t>https://www.unicode.org/versions/Unicode5.2.0/</t>
  </si>
  <si>
    <t>Unicode 6.0</t>
  </si>
  <si>
    <t>The Unicode Standard 6.0</t>
  </si>
  <si>
    <t>2010-10-11</t>
  </si>
  <si>
    <t>https://www.unicode.org/versions/Unicode6.0.0/</t>
  </si>
  <si>
    <t>Unicode 6.1</t>
  </si>
  <si>
    <t>The Unicode Standard 6.1</t>
  </si>
  <si>
    <t>2012-01-31</t>
  </si>
  <si>
    <t>https://www.unicode.org/versions/Unicode6.1.0/</t>
  </si>
  <si>
    <t>http://www.unicode.org/versions/Unicode6.1.0/UnicodeStandard-6.1.pdf</t>
  </si>
  <si>
    <t>Unicode 6.2</t>
  </si>
  <si>
    <t>The Unicode Standard 6.2</t>
  </si>
  <si>
    <t>2012-09-26</t>
  </si>
  <si>
    <t>https://www.unicode.org/versions/Unicode6.2.0/</t>
  </si>
  <si>
    <t>http://www.unicode.org/versions/Unicode6.2.0/UnicodeStandard-6.2.pdf</t>
  </si>
  <si>
    <t>Unicode 6.3</t>
  </si>
  <si>
    <t>The Unicode Standard 6.3</t>
  </si>
  <si>
    <t>2013-09-30</t>
  </si>
  <si>
    <t>https://www.unicode.org/versions/Unicode6.3.0/</t>
  </si>
  <si>
    <t>Unicode 7.0</t>
  </si>
  <si>
    <t>The Unicode Standard 7.0</t>
  </si>
  <si>
    <t>2014-06-16</t>
  </si>
  <si>
    <t>https://www.unicode.org/versions/Unicode7.0.0/</t>
  </si>
  <si>
    <t>http://www.unicode.org/versions/Unicode7.0.0/UnicodeStandard-7.0.pdf</t>
  </si>
  <si>
    <t>Unicode 8.0</t>
  </si>
  <si>
    <t>The Unicode Standard 8.0</t>
  </si>
  <si>
    <t>2015-06-17</t>
  </si>
  <si>
    <t>https://www.unicode.org/versions/Unicode8.0.0/</t>
  </si>
  <si>
    <t>http://www.unicode.org/versions/Unicode8.0.0/UnicodeStandard-8.0.pdf</t>
  </si>
  <si>
    <t>Unicode 9.0</t>
  </si>
  <si>
    <t>The Unicode Standard 9.0</t>
  </si>
  <si>
    <t>2016-06-21</t>
  </si>
  <si>
    <t>https://www.unicode.org/versions/Unicode9.0.0/</t>
  </si>
  <si>
    <t>http://www.unicode.org/versions/Unicode9.0.0/UnicodeStandard-9.0.pdf</t>
  </si>
  <si>
    <t>Unicode 10.0</t>
  </si>
  <si>
    <t>The Unicode Standard 10.0</t>
  </si>
  <si>
    <t>2017-06-20</t>
  </si>
  <si>
    <t>https://www.unicode.org/versions/Unicode10.0.0/</t>
  </si>
  <si>
    <t>http://www.unicode.org/versions/Unicode10.0.0/UnicodeStandard-10.0.pdf</t>
  </si>
  <si>
    <t>Unicode 11.0</t>
  </si>
  <si>
    <t>The Unicode Standard 11.0</t>
  </si>
  <si>
    <t>2018-06-05</t>
  </si>
  <si>
    <t>https://www.unicode.org/versions/Unicode11.0.0/</t>
  </si>
  <si>
    <t>http://www.unicode.org/versions/Unicode11.0.0/UnicodeStandard-11.0.pdf</t>
  </si>
  <si>
    <t>Unicode 12.0</t>
  </si>
  <si>
    <t>The Unicode Standard 12.0</t>
  </si>
  <si>
    <t>2019-03-05</t>
  </si>
  <si>
    <t>https://www.unicode.org/versions/Unicode12.0.0/</t>
  </si>
  <si>
    <t>http://www.unicode.org/versions/Unicode12.0.0/UnicodeStandard-12.0.pdf</t>
  </si>
  <si>
    <t>Unicode 12.1</t>
  </si>
  <si>
    <t>The Unicode Standard 12.1</t>
  </si>
  <si>
    <t>2019-05-07</t>
  </si>
  <si>
    <t>https://www.unicode.org/versions/Unicode12.1.0/</t>
  </si>
  <si>
    <t>Unicode 13.0</t>
  </si>
  <si>
    <t>The Unicode Standard 13.0</t>
  </si>
  <si>
    <t>2020-03-10</t>
  </si>
  <si>
    <t>https://www.unicode.org/versions/Unicode13.0.0/</t>
  </si>
  <si>
    <t>https://www.unicode.org/versions/Unicode13.0.0/UnicodeStandard-13.0.pdf</t>
  </si>
  <si>
    <t>Unicode 14.0</t>
  </si>
  <si>
    <t>The Unicode Standard 14.0</t>
  </si>
  <si>
    <t>2021-09-14</t>
  </si>
  <si>
    <t>https://www.unicode.org/versions/Unicode14.0.0/</t>
  </si>
  <si>
    <t>https://www.unicode.org/versions/Unicode14.0.0/UnicodeStandard-14.0.pdf</t>
  </si>
  <si>
    <t>Unicode 15.0</t>
  </si>
  <si>
    <t>The Unicode Standard 15.0</t>
  </si>
  <si>
    <t>2022-09-13</t>
  </si>
  <si>
    <t>https://www.unicode.org/versions/Unicode15.0.0/</t>
  </si>
  <si>
    <t>https://www.unicode.org/versions/Unicode15.0.0/UnicodeStandard-15.0.pdf</t>
  </si>
  <si>
    <t>Unicode 15.1</t>
  </si>
  <si>
    <t>The Unicode Standard 15.1</t>
  </si>
  <si>
    <t>2023-09-12</t>
  </si>
  <si>
    <t>https://www.unicode.org/versions/Unicode15.1.0/</t>
  </si>
  <si>
    <t>Unicode 16.0</t>
  </si>
  <si>
    <t>The Unicode Standard 16.0</t>
  </si>
  <si>
    <t>2024-09-10</t>
  </si>
  <si>
    <t>https://www.unicode.org/versions/Unicode16.0.0/</t>
  </si>
  <si>
    <t>https://www.unicode.org/versions/Unicode16.0.0/UnicodeStandard-16.0.pdf</t>
  </si>
  <si>
    <t>Unicode 17.0</t>
  </si>
  <si>
    <t>The Unicode Standard 17.0</t>
  </si>
  <si>
    <t>2025-09-09</t>
  </si>
  <si>
    <t>https://www.unicode.org/versions/Unicode17.0.0/</t>
  </si>
  <si>
    <t>https://www.unicode.org/versions/Unicode17.0.0/UnicodeStandard-17.0.pdf</t>
  </si>
  <si>
    <t>ISO/IEC 10646-1:1993</t>
  </si>
  <si>
    <t>1993-05</t>
  </si>
  <si>
    <t>https://www.iso.org/standard/18741.html</t>
  </si>
  <si>
    <t>Information technology — Universal Multiple-Octet Coded Character Set (UCS) — Part 1: Architecture and Basic Multilingual Plane [ISO/IEC 10646-1:1993]</t>
  </si>
  <si>
    <t>ISO/IEC 10646-1:1993/Cor 1:1996</t>
  </si>
  <si>
    <t>Information technology — Universal Multiple-Octet Coded Character Set (UCS) — Part 1: Architecture and Basic Multilingual Plane — Technical Corrigendum 1 [ISO/IEC 10646-1:1993/Cor 1:1996]</t>
  </si>
  <si>
    <t>1996-02</t>
  </si>
  <si>
    <t>ISO/IEC 10646-1:1993/Amd 1:1996</t>
  </si>
  <si>
    <t>Information technology — Universal Multiple-Octet Coded Character Set (UCS) — Part 1: Architecture and Basic Multilingual Plane — Amendment 1: Transformation Format for 16 planes of group 00 (UTF-16) [ISO/IEC 10646-1:1993/Amd 1:1996]</t>
  </si>
  <si>
    <t>1996-10</t>
  </si>
  <si>
    <t>ISO/IEC 10646-1:1993/Amd 2:1996</t>
  </si>
  <si>
    <t>Information technology — Universal Multiple-Octet Coded Character Set (UCS) — Part 1: Architecture and Basic Multilingual Plane — Amendment 2: UCS Transformation Format 8 (UTF-8) [ISO/IEC 10646-1:1993/Amd 2:1996]</t>
  </si>
  <si>
    <t>ISO/IEC 10646-1:1993/Amd 3:1996</t>
  </si>
  <si>
    <t>Information technology — Universal Multiple-Octet Coded Character Set (UCS) — Part 1: Architecture and Basic Multilingual Plane — Amendment 3 [ISO/IEC 10646-1:1993/Amd 3:1996]</t>
  </si>
  <si>
    <t>ISO/IEC 10646-1:1993/Amd 4:1996</t>
  </si>
  <si>
    <t>Information technology — Universal Multiple-Octet Coded Character Set (UCS) — Part 1: Architecture and Basic Multilingual Plane — Amendment 4 [ISO/IEC 10646-1:1993/Amd 4:1996]</t>
  </si>
  <si>
    <t>ISO/IEC 10646-1:1993/Amd 5:1998</t>
  </si>
  <si>
    <t>1998-06</t>
  </si>
  <si>
    <t>ISO/IEC 10646-1:1993/Cor 2:1998</t>
  </si>
  <si>
    <t>Information technology — Universal Multiple-Octet Coded Character Set (UCS) — Part 1: Architecture and Basic Multilingual Plane — Technical Corrigendum 2 [ISO/IEC 10646-1:1993/Cor 2:1998]</t>
  </si>
  <si>
    <t>ISO/IEC 10646-1:1993/Amd 6:1997</t>
  </si>
  <si>
    <t>1997-11</t>
  </si>
  <si>
    <t>ISO/IEC 10646-1:1993/Amd 7:1997</t>
  </si>
  <si>
    <t>Information technology — Universal Multiple-Octet Coded Character Set (UCS) — Part 1: Architecture and Basic Multilingual Plane — Amendment 7: 33 additional characters [ISO/IEC 10646-1:1993/Amd 7:1997]</t>
  </si>
  <si>
    <t>Information technology — Universal Multiple-Octet Coded Character Set (UCS) — Part 1: Architecture and Basic Multilingual Plane — Amendment 6: Tibetan [ISO/IEC 10646-1:1993/Amd 6:1997]</t>
  </si>
  <si>
    <t>Information technology — Universal Multiple-Octet Coded Character Set (UCS) — Part 1: Architecture and Basic Multilingual Plane — Amendment 5: Hangul syllables [ISO/IEC 10646-1:1993/Amd 5:1998]</t>
  </si>
  <si>
    <t>ISO/IEC 10646-1:1993/Amd 8:1997</t>
  </si>
  <si>
    <t>Information technology — Universal Multiple-Octet Coded Character Set (UCS) — Part 1: Architecture and Basic Multilingual Plane — Amendment 8 [ISO/IEC 10646-1:1993/Amd 8:1997]</t>
  </si>
  <si>
    <t>1997-12</t>
  </si>
  <si>
    <t>ISO/IEC 10646-1:1993/Amd 9:1997</t>
  </si>
  <si>
    <t>Information technology — Universal Multiple-Octet Coded Character Set (UCS) — Part 1: Architecture and Basic Multilingual Plane — Amendment 9: Identifiers for characters [ISO/IEC 10646-1:1993/Amd 9:1997]</t>
  </si>
  <si>
    <t>ISO/IEC 10646-1:1993/Amd 10:1998</t>
  </si>
  <si>
    <t>Information technology — Universal Multiple-Octet Coded Character Set (UCS) — Part 1: Architecture and Basic Multilingual Plane — Amendment 10: Ethiopic [ISO/IEC 10646-1:1993/Amd 10:1998]</t>
  </si>
  <si>
    <t>1998-10</t>
  </si>
  <si>
    <t>ISO/IEC 10646-1:1993/Amd 11:1998</t>
  </si>
  <si>
    <t>Information technology — Universal Multiple-Octet Coded Character Set (UCS) — Part 1: Architecture and Basic Multilingual Plane — Amendment 11: Unified Canadian Aboriginal Syllabics [ISO/IEC 10646-1:1993/Amd 11:1998]</t>
  </si>
  <si>
    <t>1998-07</t>
  </si>
  <si>
    <t>ISO/IEC 10646-1:1993/Amd 12:1998</t>
  </si>
  <si>
    <t>Information technology — Universal Multiple-Octet Coded Character Set (UCS) — Part 1: Architecture and Basic Multilingual Plane — Amendment 12: Cherokee [ISO/IEC 10646-1:1993/Amd 12:1998]</t>
  </si>
  <si>
    <t>1998-09</t>
  </si>
  <si>
    <t>ISO/IEC 10646-1:1993/Amd 13:1998</t>
  </si>
  <si>
    <t>Information technology — Universal Multiple-Octet Coded Character Set (UCS) — Part 1: Architecture and Basic Multilingual Plane — Amendment 13: CJK unified ideographs with supplementary sources [ISO/IEC 10646-1:1993/Amd 13:1998]</t>
  </si>
  <si>
    <t>ISO/IEC 10646-1:1993/Amd 16:1998</t>
  </si>
  <si>
    <t>Information technology — Universal Multiple-Octet Coded Character Set (UCS) — Part 1: Architecture and Basic Multilingual Plane — Amendment 16: Braille patterns [ISO/IEC 10646-1:1993/Amd 16:1998]</t>
  </si>
  <si>
    <t>ISO/IEC 10646-1:1993/Amd 17:1999</t>
  </si>
  <si>
    <t>Information technology — Universal Multiple-Octet Coded Character Set (UCS) — Part 1: Architecture and Basic Multilingual Plane — Amendment 17: CJK Unified Ideographs Extension A [ISO/IEC 10646-1:1993/Amd 17:1999]</t>
  </si>
  <si>
    <t>1999-08</t>
  </si>
  <si>
    <t>ISO/IEC 10646-1:1993/Amd 18:1999</t>
  </si>
  <si>
    <t>Information technology — Universal Multiple-Octet Coded Character Set (UCS) — Part 1: Architecture and Basic Multilingual Plane — Amendment 18: Symbols and other characters [ISO/IEC 10646-1:1993/Amd 18:1999]</t>
  </si>
  <si>
    <t>1999-07</t>
  </si>
  <si>
    <t>ISO/IEC 10646-1:1993/Amd 19:1998</t>
  </si>
  <si>
    <t>Information technology — Universal Multiple-Octet Coded Character Set (UCS) — Part 1: Architecture and Basic Multilingual Plane — Amendment 19: Runic [ISO/IEC 10646-1:1993/Amd 19:1998]</t>
  </si>
  <si>
    <t>1998-11</t>
  </si>
  <si>
    <t>ISO/IEC 10646-1:1993/Amd 20:1998</t>
  </si>
  <si>
    <t>Information technology — Universal Multiple-Octet Coded Character Set (UCS) — Part 1: Architecture and Basic Multilingual Plane — Amendment 20: Ogham [ISO/IEC 10646-1:1993/Amd 20:1998]</t>
  </si>
  <si>
    <t>ISO/IEC 10646-1:1993/Amd 21:1999</t>
  </si>
  <si>
    <t>Information technology — Universal Multiple-Octet Coded Character Set (UCS) — Part 1: Architecture and Basic Multilingual Plane — Amendment 21: Sinhala [ISO/IEC 10646-1:1993/Amd 21:1999]</t>
  </si>
  <si>
    <t>1999-05</t>
  </si>
  <si>
    <t>ISO/IEC 10646-1:1993/Amd 23:1999</t>
  </si>
  <si>
    <t>Information technology — Universal Multiple-Octet Coded Character Set (UCS) — Part 1: Architecture and Basic Multilingual Plane — Amendment 23: Bopomofo Extended and others characters [ISO/IEC 10646-1:1993/Amd 23:1999]</t>
  </si>
  <si>
    <t>collectedAuthority</t>
  </si>
  <si>
    <t>ISO/IEC 10646-1:1993 (as amended)</t>
  </si>
  <si>
    <t>ISO/IEC 10646-1:2000 (as amended)</t>
  </si>
  <si>
    <t>Information technology — Universal Multiple-Octet Coded Character Set (UCS) — Part 1: Architecture and Basic Multilingual Plane [ISO/IEC 10646-1:2000]</t>
  </si>
  <si>
    <t>https://www.iso.org/standard/29819.html</t>
  </si>
  <si>
    <t>ISO/IEC 10646-1:2000</t>
  </si>
  <si>
    <t>2000-09</t>
  </si>
  <si>
    <t>ISO/IEC 10646-1:2000/Amd 1:2002</t>
  </si>
  <si>
    <t>Information technology — Universal Multiple-Octet Coded Character Set (UCS) — Part 1: Architecture and Basic Multilingual Plane — Amendment 1: Mathematical symbols and other characters [ISO/IEC 10646-1:2000/Amd 1:2002]</t>
  </si>
  <si>
    <t>2002-07</t>
  </si>
  <si>
    <t>ISO/IEC 10646-2:2001</t>
  </si>
  <si>
    <t>Information technology — Universal Multiple-Octet Coded Character Set (UCS) — Part 2: Supplementary Planes [ISO/IEC 10646-2:2001]</t>
  </si>
  <si>
    <t>2001-11</t>
  </si>
  <si>
    <t>ISO/IEC 10646:2003</t>
  </si>
  <si>
    <t>Information technology — Universal Multiple-Octet Coded Character Set (UCS) [ISO/IEC 10646:2003]</t>
  </si>
  <si>
    <t>2003-12</t>
  </si>
  <si>
    <t>ISO/IEC 10646:2003/Amd 1:2005</t>
  </si>
  <si>
    <t>Information technology — Universal Multiple-Octet Coded Character Set (UCS) — Amendment 1: Glagolitic, Coptic, Georgian and other characters [ISO/IEC 10646:2003/Amd 1:2005]</t>
  </si>
  <si>
    <t>2005-11</t>
  </si>
  <si>
    <t>ISO/IEC 10646:2003/Amd 2:2006</t>
  </si>
  <si>
    <t>Information technology — Universal Multiple-Octet Coded Character Set (UCS) — Amendment 2: N'Ko, Phags-pa, Phoenician and other characters [ISO/IEC 10646:2003/Amd 2:2006]</t>
  </si>
  <si>
    <t>2006-07</t>
  </si>
  <si>
    <t>ISO/IEC 10646:2003/Amd 3:2008</t>
  </si>
  <si>
    <t>Information technology — Universal Multiple-Octet Coded Character Set (UCS) — Amendment 3: Lepcha, Ol Chiki, Saurashtra, Vai and other characters [ISO/IEC 10646:2003/Amd 3:2008]</t>
  </si>
  <si>
    <t>2008-02</t>
  </si>
  <si>
    <t>ISO/IEC 10646:2003/Amd 4:2008</t>
  </si>
  <si>
    <t>Information technology — Universal Multiple-Octet Coded Character Set (UCS) — Amendment 4: Cham, Game Tiles, and other characters [ISO/IEC 10646:2003/Amd 4:2008]</t>
  </si>
  <si>
    <t>2008-07</t>
  </si>
  <si>
    <t>ISO/IEC 10646:2003/Amd 5:2008</t>
  </si>
  <si>
    <t>Information technology — Universal Multiple-Octet Coded Character Set (UCS) — Amendment 5: Tai Tham, Tai Viet, Avestan, Egyptian Hieroglyphs, CJK Unified Ideographs Extension C, and other characters [ISO/IEC 10646:2003/Amd 5:2008]</t>
  </si>
  <si>
    <t>2008-12</t>
  </si>
  <si>
    <t>ISO/IEC 10646:2003/Amd 6:2009</t>
  </si>
  <si>
    <t>Information technology — Universal Multiple-Octet Coded Character Set (UCS) — Amendment 6: Bamum, Javanese, Lisu, Meetei Mayek, Samaritan, and other characters [ISO/IEC 10646:2003/Amd 6:2009]</t>
  </si>
  <si>
    <t>2009-10</t>
  </si>
  <si>
    <t>ISO/IEC 10646:2003/Amd 7:2010</t>
  </si>
  <si>
    <t>Information technology — Universal Multiple-Octet Coded Character Set (UCS) — Amendment 7: Mandaic, Batak, Brahmi, and other characters [ISO/IEC 10646:2003/Amd 7:2010]</t>
  </si>
  <si>
    <t>2010-07</t>
  </si>
  <si>
    <t>ISO/IEC 10646:2011</t>
  </si>
  <si>
    <t>Information technology — Universal Coded Character Set (UCS) [ISO/IEC 10646:2011]</t>
  </si>
  <si>
    <t>2011-03</t>
  </si>
  <si>
    <t>ISO/IEC 10646:2012</t>
  </si>
  <si>
    <t>Information technology — Universal Coded Character Set (UCS) [ISO/IEC 10646:2012]</t>
  </si>
  <si>
    <t>2012-06</t>
  </si>
  <si>
    <t>ISO/IEC 10646:2012/Amd 1:2013</t>
  </si>
  <si>
    <t>Information technology — Universal Coded Character Set (UCS) — Amendment 1: Linear A, Palmyrene, Manichaean, Khojki, Khudawadi, Bassa Vah, Duployan, and other characters [ISO/IEC 10646:2012/Amd 1:2013]</t>
  </si>
  <si>
    <t>2013-04</t>
  </si>
  <si>
    <t>ISO/IEC 10646:2014</t>
  </si>
  <si>
    <t>Information technology — Universal Coded Character Set (UCS) [ISO/IEC 10646:2014]</t>
  </si>
  <si>
    <t>2014-09</t>
  </si>
  <si>
    <t>ISO/IEC 10646:2014/Amd 1:2015</t>
  </si>
  <si>
    <t>Information technology — Universal Coded Character Set (UCS) — Amendment 1: Cherokee supplement and other characters [ISO/IEC 10646:2014/Amd 1:2015]</t>
  </si>
  <si>
    <t>ISO/IEC 10646:2014/Amd 2:2016</t>
  </si>
  <si>
    <t>Information technology — Universal Coded Character Set (UCS) — Amendment 2: Bhaiksuki, Marchen, Tangut and other characters [ISO/IEC 10646:2014/Amd 2:2016]</t>
  </si>
  <si>
    <t>2016-05</t>
  </si>
  <si>
    <t>ISO/IEC 10646:2017</t>
  </si>
  <si>
    <t>Information technology — Universal Coded Character Set (UCS) [ISO/IEC 10646:2017]</t>
  </si>
  <si>
    <t>2017-12</t>
  </si>
  <si>
    <t>ISO/IEC 10646:2017/Amd 1:2019</t>
  </si>
  <si>
    <t>Information technology — Universal Coded Character Set (UCS) — Amendment 1: Dogra, Gunjala Gondi, Makasar, Medefaidrin, Indic Siyaq Numbers and other characters [ISO/IEC 10646:2017/Amd 1:2019]</t>
  </si>
  <si>
    <t>2019-01</t>
  </si>
  <si>
    <t>ISO/IEC 10646:2017/Amd 2:2019</t>
  </si>
  <si>
    <t>Information technology — Universal Coded Character Set (UCS) — Amendment 2: Nandinagari, Georgian extension, and other characters [ISO/IEC 10646:2017/Amd 2:2019]</t>
  </si>
  <si>
    <t>2019-06</t>
  </si>
  <si>
    <t>ISO/IEC 10646:2020</t>
  </si>
  <si>
    <t>Information technology — Universal Coded Character Set (UCS) [ISO/IEC 10646:2020]</t>
  </si>
  <si>
    <t>Active; Updated</t>
  </si>
  <si>
    <t>2020-12</t>
  </si>
  <si>
    <t>https://www.iso.org/standard/76835.html</t>
  </si>
  <si>
    <t>ISO/IEC 10646:2020/Amd 1:2023</t>
  </si>
  <si>
    <t>Information technology — Universal Coded Character Set (UCS) — Amendment 1: CJK Unified Ideographs Extension H, Vithkuqi, Old Uyghur, Cypro-Minoan, and other characters [ISO/IEC 10646:2020/Amd 1:2023]</t>
  </si>
  <si>
    <t>2023-07</t>
  </si>
  <si>
    <t>https://www.iso.org/standard/83362.html</t>
  </si>
  <si>
    <t>ISO/IEC 10646:2020/Amd 2:2025</t>
  </si>
  <si>
    <t>Information technology — Universal Coded Character Set (UCS) — Amendment 2: Todhri, Garay, Tulu-Tigalari, Sunuwar, Gurung Khema, Kirat Rai, and other characters [ISO/IEC 10646:2020/Amd 2:2025]</t>
  </si>
  <si>
    <t>2025-06</t>
  </si>
  <si>
    <t>https://www.iso.org/standard/85287.html</t>
  </si>
  <si>
    <t>ISO/IEC 10646:2003 (as amended)</t>
  </si>
  <si>
    <t>https://www.iso.org/standard/39921.html</t>
  </si>
  <si>
    <t>ISO/IEC 10646:2012 (as amended)</t>
  </si>
  <si>
    <t>Information technology — Universal Multiple-Octet Coded Character Set (UCS) [ISO/IEC 10646:2012]</t>
  </si>
  <si>
    <t>https://www.iso.org/standard/56921.html</t>
  </si>
  <si>
    <t>ISO/IEC 10646:2014 (as amended)</t>
  </si>
  <si>
    <t>Information technology — Universal Multiple-Octet Coded Character Set (UCS) [ISO/IEC 10646:2014]</t>
  </si>
  <si>
    <t>https://www.iso.org/standard/63182.html</t>
  </si>
  <si>
    <t>ISO/IEC 10646:2017 (as amended)</t>
  </si>
  <si>
    <t>Information technology — Universal Multiple-Octet Coded Character Set (UCS) [ISO/IEC 10646:2017]</t>
  </si>
  <si>
    <t>https://www.iso.org/standard/69119.html</t>
  </si>
  <si>
    <t>ISO/IEC 10646:2020 (as amended)</t>
  </si>
  <si>
    <t>Information technology — Universal Multiple-Octet Coded Character Set (UCS) [ISO/IEC 10646:2020]</t>
  </si>
  <si>
    <t>Unicode Consortium</t>
  </si>
  <si>
    <t>https://unicode.org/</t>
  </si>
  <si>
    <t>ietfStandard</t>
  </si>
  <si>
    <t>ASCII character set</t>
  </si>
  <si>
    <t>Unicode 1.0</t>
  </si>
  <si>
    <t>Character repertoire superset of Unicode 1.0.1</t>
  </si>
  <si>
    <t>Character repertoire equivalent to Unicode 1.1</t>
  </si>
  <si>
    <t>Character repertoire subset of ISO/IEC 10646-1:1993</t>
  </si>
  <si>
    <t>Character repertoire equivalent to ISO/IEC 10646-1:1993</t>
  </si>
  <si>
    <t>ISO/IEC 10646-1:1993 (Unicode 2.0)</t>
  </si>
  <si>
    <t>Information technology — Universal Multiple-Octet Coded Character Set (UCS) — Part 1: Architecture and Basic Multilingual Plane [ISO/IEC 10646-1:1993] (equivalent to Unicode 2.0)</t>
  </si>
  <si>
    <t>Subset of amendments to ISO/IEC 10464-1:1993 for Unicode equivalence</t>
  </si>
  <si>
    <t>Character repertoire equivalent to ISO/IEC 10646-1:1993 with amendments 1-7, additionally includes euro sign and object replacement character</t>
  </si>
  <si>
    <t>Character repertoire equivalent to Unicode 3.0</t>
  </si>
  <si>
    <t>Character repertoire equivalent to ISO/IEC 10646-1:2000</t>
  </si>
  <si>
    <t>ISO/IEC 10646:2000/2001 (Unicode 3.1)</t>
  </si>
  <si>
    <t>Information technology — Universal Multiple-Octet Coded Character Set (UCS) [ISO/IEC 10646-1:2000 and ISO/IEC 10646-2:2001] (equivalent to Unicode 3.1)</t>
  </si>
  <si>
    <t>Combination of ISO/IEC 10646-1:2000 and ISO/IEC 10646-2:2001 for Unicode equivalence</t>
  </si>
  <si>
    <t>Character repertoire equivalent to ISO/IEC 10646-1:2000 and ISO/IEC 10646-2:2001</t>
  </si>
  <si>
    <t>Character repertoire equivalent to Unicode 3.1</t>
  </si>
  <si>
    <t>ISO/IEC 10646:2000/2001 (Unicode 3.2)</t>
  </si>
  <si>
    <t>Information technology — Universal Multiple-Octet Coded Character Set (UCS) [ISO/IEC 10646-1:2000 and ISO/IEC 10646-2:2001] (equivalent to Unicode 3.2)</t>
  </si>
  <si>
    <t>Character repertoire equivalent to Unicode 3.2</t>
  </si>
  <si>
    <t>Character repertoire equivalent to ISO/IEC 10646-1:2000 (amended) and ISO/IEC 10646-2:2001</t>
  </si>
  <si>
    <t>Character repertoire equivalent to ISO/IEC 10646:2003</t>
  </si>
  <si>
    <t>Character repertoire equivalent to Unicode 4.0</t>
  </si>
  <si>
    <t>ISO/IEC 10646:2003 (Unicode 4.1)</t>
  </si>
  <si>
    <t>Information technology — Universal Multiple-Octet Coded Character Set (UCS) [ISO/IEC 10646:2003] (equivalent to Unicode 4.1)</t>
  </si>
  <si>
    <t>Combination of ISO/IEC 10646-1:2000 (amended) and ISO/IEC 10646-2:2001 for Unicode equivalence</t>
  </si>
  <si>
    <t>Subset of amendments to ISO/IEC 10464:2003 for Unicode equivalence</t>
  </si>
  <si>
    <t>ISO/IEC 10646:2003 (Unicode 5.0)</t>
  </si>
  <si>
    <t>Information technology — Universal Multiple-Octet Coded Character Set (UCS) [ISO/IEC 10646:2003] (equivalent to Unicode 5.0)</t>
  </si>
  <si>
    <t>ISO/IEC 10646:2003 (Unicode 5.1)</t>
  </si>
  <si>
    <t>Information technology — Universal Multiple-Octet Coded Character Set (UCS) [ISO/IEC 10646:2003] (equivalent to Unicode 5.1)</t>
  </si>
  <si>
    <t>ISO/IEC 10646:2003 (Unicode 5.2)</t>
  </si>
  <si>
    <t>Information technology — Universal Multiple-Octet Coded Character Set (UCS) [ISO/IEC 10646:2003] (equivalent to Unicode 5.2)</t>
  </si>
  <si>
    <t>Character repertoire equivalent to Unicode 4.1</t>
  </si>
  <si>
    <t>Character repertoire equivalent to Unicode 2.0, additionally includes euro sign and object replacement character</t>
  </si>
  <si>
    <t>Character repertoire equivalent to Unicode 5.1</t>
  </si>
  <si>
    <t>Character repertoire equivalent to Unicode 5.2</t>
  </si>
  <si>
    <t>Character repertoire equivalent to ISO/IEC 10646:2003 with amendment 1</t>
  </si>
  <si>
    <t>Character repertoire, with Sindhi additions, equivalent to Unicode 5.0</t>
  </si>
  <si>
    <t>Character repertoire equivalent to ISO/IEC 10646:2003 with amendments 1-2, plus Sindhi additions</t>
  </si>
  <si>
    <t>Character repertoire equivalent to ISO/IEC 10646:2003 with amendments 1-4</t>
  </si>
  <si>
    <t>Character repertoire equivalent to ISO/IEC 10646:2003 with amendments 1-6</t>
  </si>
  <si>
    <t>Character repertoire equivalent to ISO/IEC 10646:2011, plus Indian rupee sign</t>
  </si>
  <si>
    <t>Character repertoire equivalent to ISO/IEC 10646:2012</t>
  </si>
  <si>
    <t>Character repertoire, with Indian rupee sign, equivalent to Unicode 6.0</t>
  </si>
  <si>
    <t>Character repertoire equivalent to Unicode 6.1</t>
  </si>
  <si>
    <t>ISO/IEC 10646:2014 (Unicode 8.0)</t>
  </si>
  <si>
    <t>Information technology — Universal Multiple-Octet Coded Character Set (UCS) [ISO/IEC 10646:2014] (equivalent to Unicode 8.0)</t>
  </si>
  <si>
    <t>Subset of amendments to ISO/IEC 10464:2014 for Unicode equivalence</t>
  </si>
  <si>
    <t>ISO/IEC 10646:2014 (Unicode 9.0)</t>
  </si>
  <si>
    <t>Information technology — Universal Multiple-Octet Coded Character Set (UCS) [ISO/IEC 10646:2014] (equivalent to Unicode 9.0)</t>
  </si>
  <si>
    <t>Character repertoire equivalent to ISO/IEC 10646:2014 with amendment 1, plus 51 additional characters</t>
  </si>
  <si>
    <t>Character repertoire equivalent to ISO/IEC 10646:2014 with amendments 1-2, plus 273 additional characters</t>
  </si>
  <si>
    <t>Character repertoire equivalent to ISO/IEC 10646:2014</t>
  </si>
  <si>
    <t>Character repertoire equivalent to Unicode 7.0</t>
  </si>
  <si>
    <t>Character repertoire, plus 51 additional characters, equivalent to Unicode 8.0</t>
  </si>
  <si>
    <t>Character repertoire, plus 273 additional characters, equivalent to Unicode 9.0</t>
  </si>
  <si>
    <t>Character repertoire equivalent to ISO/IEC 10646:2017, plus 344 additional characters</t>
  </si>
  <si>
    <t>Character repertoire, plus 344 additional characters, equivalent to Unicode 10.0</t>
  </si>
  <si>
    <t>ISO/IEC 10646:2017 (Unicode 11.0)</t>
  </si>
  <si>
    <t>Information technology — Universal Multiple-Octet Coded Character Set (UCS) [ISO/IEC 10646:2017] (equivalent to Unicode 11.0)</t>
  </si>
  <si>
    <t>Subset of amendments to ISO/IEC 10464:2017 for Unicode equivalence</t>
  </si>
  <si>
    <t>ISO/IEC 10646:2017 (Unicode 12.0)</t>
  </si>
  <si>
    <t>Information technology — Universal Multiple-Octet Coded Character Set (UCS) [ISO/IEC 10646:2017] (equivalent to Unicode 12.0)</t>
  </si>
  <si>
    <t>Character repertoire, plus 117 additional characters, equivalent to Unicode 11.0</t>
  </si>
  <si>
    <t>Character repertoire, plus 62 additional characters, equivalent to Unicode 12.0</t>
  </si>
  <si>
    <t>Character repertoire equivalent to ISO/IEC 10646:2017 with amendment 1, plus 117 additional characters</t>
  </si>
  <si>
    <t>Character repertoire equivalent to ISO/IEC 10646:2017 with amendments 1-2, plus 62 additional characters</t>
  </si>
  <si>
    <t>Character repertoire equivalent to ISO/IEC 10646:2020</t>
  </si>
  <si>
    <t>Character repertoire equivalent to Unicode 13.0</t>
  </si>
  <si>
    <t>ISO/IEC 10646:2020 (Unicode 15.0)</t>
  </si>
  <si>
    <t>Information technology — Universal Multiple-Octet Coded Character Set (UCS) [ISO/IEC 10646:2020] (equivalent to Unicode 15.0)</t>
  </si>
  <si>
    <t>Subset of amendments to ISO/IEC 10464:2020 for Unicode equivalence</t>
  </si>
  <si>
    <t>ISO/IEC 10646:2020 (Unicode 16.0)</t>
  </si>
  <si>
    <t>Information technology — Universal Multiple-Octet Coded Character Set (UCS) [ISO/IEC 10646:2020] (equivalent to Unicode 16.0)</t>
  </si>
  <si>
    <t>Character repertoire equivalent to Unicode 15.0</t>
  </si>
  <si>
    <t>Character repertoire equivalent to Unicode 16.0</t>
  </si>
  <si>
    <t>Character repertoire equivalent to ISO/IEC 10646:2020 with amendment 1</t>
  </si>
  <si>
    <t>Character repertoire equivalent to ISO/IEC 10646:2020 with amendments 1-2</t>
  </si>
  <si>
    <t>startDate</t>
  </si>
  <si>
    <t>endDate</t>
  </si>
  <si>
    <t>2009-05-12</t>
  </si>
  <si>
    <t>2011-09-21</t>
  </si>
  <si>
    <t>2012-06-12</t>
  </si>
  <si>
    <t>2023-09-28</t>
  </si>
  <si>
    <t>2015-06-03</t>
  </si>
  <si>
    <t>2018-09-26</t>
  </si>
  <si>
    <t>2022-06-02</t>
  </si>
  <si>
    <t>2014-01-22</t>
  </si>
  <si>
    <t>2004-10-28</t>
  </si>
  <si>
    <t>2004-07-08</t>
  </si>
  <si>
    <t>1986-01</t>
  </si>
  <si>
    <t>2007</t>
  </si>
  <si>
    <t>2010-03</t>
  </si>
  <si>
    <t>2023-10</t>
  </si>
  <si>
    <t>2023-08</t>
  </si>
  <si>
    <t>2016-07</t>
  </si>
  <si>
    <t>2019-12</t>
  </si>
  <si>
    <t>2022-03</t>
  </si>
  <si>
    <t>Last active meeting notes found for 2022-03-16, meeting on 2022-08-31 ended due to lack of attendance</t>
  </si>
  <si>
    <t>2014-12</t>
  </si>
  <si>
    <t>Last active messages in mail archive from 2022-03-31, last meeting 2020-04</t>
  </si>
  <si>
    <t>2015-08</t>
  </si>
  <si>
    <t>2014-07</t>
  </si>
  <si>
    <t>2018-11</t>
  </si>
  <si>
    <t>Last active meeting notes found for 2022-03-23</t>
  </si>
  <si>
    <t>2015-04</t>
  </si>
  <si>
    <t>IETF succeeds multiple organizations for managing the RFC series, starting in 1969</t>
  </si>
  <si>
    <t>1994</t>
  </si>
  <si>
    <t>2019-09-05</t>
  </si>
  <si>
    <t>2024-03-28</t>
  </si>
  <si>
    <t>2017-04-14</t>
  </si>
  <si>
    <t>2016-02-08</t>
  </si>
  <si>
    <t>2026-04-30</t>
  </si>
  <si>
    <t>2026-04-28</t>
  </si>
  <si>
    <t>2027-02-25</t>
  </si>
  <si>
    <t>2026-10-11</t>
  </si>
  <si>
    <t>End date based on current charter</t>
  </si>
  <si>
    <t>2013-02</t>
  </si>
  <si>
    <t>2009</t>
  </si>
  <si>
    <t>2009-07-15</t>
  </si>
  <si>
    <t>Last meeting with quorum per notes on 2023-08-24</t>
  </si>
  <si>
    <t>IA WG</t>
  </si>
  <si>
    <t>2022-10-04</t>
  </si>
  <si>
    <t>2021</t>
  </si>
  <si>
    <t>1961-05-17</t>
  </si>
  <si>
    <t>Reorganized into Ecma International</t>
  </si>
  <si>
    <t>Reorganized from European Computer Manufacturers Association</t>
  </si>
  <si>
    <t>1993</t>
  </si>
  <si>
    <t>Founded as SGML Open in 1993, assumed current name in 1998</t>
  </si>
  <si>
    <t>1901-03-03</t>
  </si>
  <si>
    <t>1988-08-23</t>
  </si>
  <si>
    <t>Reorganized from National Bureau of Standards (US)</t>
  </si>
  <si>
    <t>Reorganized into National Institute of Standards and Technology (US)</t>
  </si>
  <si>
    <t>1947-02-23</t>
  </si>
  <si>
    <t>1960</t>
  </si>
  <si>
    <t>1987</t>
  </si>
  <si>
    <t>Reorganized into ISO/IEC JTC 1</t>
  </si>
  <si>
    <t>1961</t>
  </si>
  <si>
    <t>Reorganized into JTC1 SC 2</t>
  </si>
  <si>
    <t>Reorganized from ISO TC97 SC2</t>
  </si>
  <si>
    <t>1906-06-26</t>
  </si>
  <si>
    <t>Reorganized from ISO TC97 and IEC TC83</t>
  </si>
  <si>
    <t>1969</t>
  </si>
  <si>
    <t>1990</t>
  </si>
  <si>
    <t>Reorganized from ISO TC97 SC17 || Original SC formed in 1969</t>
  </si>
  <si>
    <t>Partially reorganized from ISO/IEC JTC1 SC20</t>
  </si>
  <si>
    <t>2002-08</t>
  </si>
  <si>
    <t>1865-05-17</t>
  </si>
  <si>
    <t>1956</t>
  </si>
  <si>
    <t>Reorganized from CCIF and CCIT || Reorganized into ITU-T</t>
  </si>
  <si>
    <t>Reorganized from CCITT</t>
  </si>
  <si>
    <t>1973</t>
  </si>
  <si>
    <t>1976</t>
  </si>
  <si>
    <t>1977</t>
  </si>
  <si>
    <t>1980</t>
  </si>
  <si>
    <t>1981</t>
  </si>
  <si>
    <t>1984</t>
  </si>
  <si>
    <t>1985</t>
  </si>
  <si>
    <t>1988</t>
  </si>
  <si>
    <t>1989</t>
  </si>
  <si>
    <t>2025</t>
  </si>
  <si>
    <t>2028</t>
  </si>
  <si>
    <t>1918</t>
  </si>
  <si>
    <t>1928</t>
  </si>
  <si>
    <t>Reorganized into ASA</t>
  </si>
  <si>
    <t>Reorganized from AESC || Reorganized into USASI</t>
  </si>
  <si>
    <t>1966</t>
  </si>
  <si>
    <t>Reorganized from ASA || Reorganized into ANSI</t>
  </si>
  <si>
    <t>Reorganized from USASI</t>
  </si>
  <si>
    <t>1907</t>
  </si>
  <si>
    <t xml:space="preserve">Affiliated with ASA and successors from 1931 for administrative support, becomes formal body of ANSI in 1976 </t>
  </si>
  <si>
    <t>Reorganized into NCITS</t>
  </si>
  <si>
    <t>2001</t>
  </si>
  <si>
    <t>Reorganized from X3 || Reorganized into INCITS</t>
  </si>
  <si>
    <t>Reorganized from NCITS</t>
  </si>
  <si>
    <t>Reorganized into X3L2</t>
  </si>
  <si>
    <t>Reorganized from X3.2 || Reorganized into INCITS/L2</t>
  </si>
  <si>
    <t>Reorganized from X3L2</t>
  </si>
  <si>
    <t>2004-03-13</t>
  </si>
  <si>
    <t>1916</t>
  </si>
  <si>
    <t>National Association of Office Appliance Manufacturers</t>
  </si>
  <si>
    <t>NAOAM (ITI)</t>
  </si>
  <si>
    <t>1929</t>
  </si>
  <si>
    <t>Reorganized into OEMI</t>
  </si>
  <si>
    <t>Reorganized from NAOAM || Reorganized into BEMA</t>
  </si>
  <si>
    <t>Reorganized from OEMI || Reorganized into CBEMA</t>
  </si>
  <si>
    <t>Reorganized from CBEMA</t>
  </si>
  <si>
    <t>Reorganized from BEMA || Reorganized into ITI</t>
  </si>
  <si>
    <t>1991-01-03</t>
  </si>
  <si>
    <t>2003-11-10</t>
  </si>
  <si>
    <t>Restates UTF-8 from Unicode and UCS from ISO/IEC 10646</t>
  </si>
  <si>
    <t>Unicode or ISO/IEC 10646 character set, UTF-8 presentation</t>
  </si>
  <si>
    <t>RFC2044</t>
  </si>
  <si>
    <t>UTF-8, a transformation format of Unicode and ISO 10646</t>
  </si>
  <si>
    <t>1996-10-01</t>
  </si>
  <si>
    <t>https://www.rfc-editor.org/rfc/rfc2044.txt</t>
  </si>
  <si>
    <t>https://www.rfc-editor.org/rfc/rfc2044.html</t>
  </si>
  <si>
    <t>RFC2279</t>
  </si>
  <si>
    <t>UTF-8, a transformation format of ISO 10646</t>
  </si>
  <si>
    <t>1998-01-01</t>
  </si>
  <si>
    <t>https://www.rfc-editor.org/rfc/rfc2279.txt</t>
  </si>
  <si>
    <t>https://www.rfc-editor.org/rfc/rfc2279.html</t>
  </si>
  <si>
    <t>ongoing</t>
  </si>
  <si>
    <t>[Target] is an authority with ongoing, continued updates; [source] explicitly or implicitly relies on ongoing updates to the [target] ([target] should be an AuthorityGroup).</t>
  </si>
  <si>
    <t>References character repertoire of ISO/IEC 10646</t>
  </si>
  <si>
    <t>References UTF-8 presentation from Unicode</t>
  </si>
  <si>
    <t>ietfBestCurrentPractice</t>
  </si>
  <si>
    <t>RFC keywords</t>
  </si>
  <si>
    <t>Active; Updated; Errata</t>
  </si>
  <si>
    <t>1997-03-01</t>
  </si>
  <si>
    <t>Active; Errata</t>
  </si>
  <si>
    <t>2017-05-18</t>
  </si>
  <si>
    <t>Obsoleted; Updated; Errata</t>
  </si>
  <si>
    <t>1999-01-01</t>
  </si>
  <si>
    <t>RFC3546</t>
  </si>
  <si>
    <t>Transport Layer Security (TLS) Extensions</t>
  </si>
  <si>
    <t>Obsoleted; Updated</t>
  </si>
  <si>
    <t>2003-06-19</t>
  </si>
  <si>
    <t>https://www.rfc-editor.org/rfc/rfc3546.txt</t>
  </si>
  <si>
    <t>https://www.rfc-editor.org/rfc/rfc3546.html</t>
  </si>
  <si>
    <t>SSL/TLS</t>
  </si>
  <si>
    <t>Secure Sockets Layer and Transport Layer Security</t>
  </si>
  <si>
    <t>https://datatracker.ietf.org/group/sec/about/</t>
  </si>
  <si>
    <t>1983-09-06</t>
  </si>
  <si>
    <t>IETF Security Area Group</t>
  </si>
  <si>
    <t>IETF ART Area</t>
  </si>
  <si>
    <t>IETF SEC Area</t>
  </si>
  <si>
    <t>IETF Applications and Real-Time Area Group</t>
  </si>
  <si>
    <t>https://datatracker.ietf.org/group/art/about/</t>
  </si>
  <si>
    <t>2015-05-28</t>
  </si>
  <si>
    <t>tls WG</t>
  </si>
  <si>
    <t>Transport Layer Security working group</t>
  </si>
  <si>
    <t>https://datatracker.ietf.org/wg/tls/about/</t>
  </si>
  <si>
    <t>1996-05-24</t>
  </si>
  <si>
    <t>RFC5746</t>
  </si>
  <si>
    <t>Transport Layer Security (TLS) Renegotiation Indication Extension</t>
  </si>
  <si>
    <t>2010-02-12</t>
  </si>
  <si>
    <t>https://www.rfc-editor.org/rfc/rfc5746.txt</t>
  </si>
  <si>
    <t>https://www.rfc-editor.org/rfc/rfc5746.html</t>
  </si>
  <si>
    <t>RFC6176</t>
  </si>
  <si>
    <t>Prohibiting Secure Sockets Layer (SSL) Version 2.0</t>
  </si>
  <si>
    <t>2011-03-09</t>
  </si>
  <si>
    <t>https://www.rfc-editor.org/rfc/rfc6176.txt</t>
  </si>
  <si>
    <t>https://www.rfc-editor.org/rfc/rfc6176.html</t>
  </si>
  <si>
    <t>RFC7465</t>
  </si>
  <si>
    <t>Prohibiting RC4 Cipher Suites</t>
  </si>
  <si>
    <t>2015-02-18</t>
  </si>
  <si>
    <t>https://www.rfc-editor.org/rfc/rfc7465.txt</t>
  </si>
  <si>
    <t>https://www.rfc-editor.org/rfc/rfc7465.html</t>
  </si>
  <si>
    <t>RFC7507</t>
  </si>
  <si>
    <t>TLS Fallback Signaling Cipher Suite Value (SCSV) for Preventing Protocol Downgrade Attacks</t>
  </si>
  <si>
    <t>2015-04-24</t>
  </si>
  <si>
    <t>https://www.rfc-editor.org/rfc/rfc7507.txt</t>
  </si>
  <si>
    <t>https://www.rfc-editor.org/rfc/rfc7507.html</t>
  </si>
  <si>
    <t>RFC7919</t>
  </si>
  <si>
    <t>Negotiated Finite Field Diffie-Hellman Ephemeral Parameters for Transport Layer Security (TLS)</t>
  </si>
  <si>
    <t>2016-08-10</t>
  </si>
  <si>
    <t>https://www.rfc-editor.org/rfc/rfc7919.txt</t>
  </si>
  <si>
    <t>https://www.rfc-editor.org/rfc/rfc7919.html</t>
  </si>
  <si>
    <t>RFC4346</t>
  </si>
  <si>
    <t>The Transport Layer Security (TLS) Protocol Version 1.1</t>
  </si>
  <si>
    <t>2006-04-26</t>
  </si>
  <si>
    <t>https://www.rfc-editor.org/rfc/rfc4346.txt</t>
  </si>
  <si>
    <t>https://www.rfc-editor.org/rfc/rfc4346.html</t>
  </si>
  <si>
    <t>RFC4366</t>
  </si>
  <si>
    <t>2006-04-27</t>
  </si>
  <si>
    <t>https://www.rfc-editor.org/rfc/rfc4366.txt</t>
  </si>
  <si>
    <t>https://www.rfc-editor.org/rfc/rfc4366.html</t>
  </si>
  <si>
    <t>RFC4680</t>
  </si>
  <si>
    <t>RFC4681</t>
  </si>
  <si>
    <t>RFC4492</t>
  </si>
  <si>
    <t>RFC3268</t>
  </si>
  <si>
    <t>Advanced Encryption Standard (AES) Ciphersuites for Transport Layer Security (TLS)</t>
  </si>
  <si>
    <t>2002-07-03</t>
  </si>
  <si>
    <t>https://www.rfc-editor.org/rfc/rfc3268.txt</t>
  </si>
  <si>
    <t>https://www.rfc-editor.org/rfc/rfc4492.txt</t>
  </si>
  <si>
    <t>https://www.rfc-editor.org/rfc/rfc4680.txt</t>
  </si>
  <si>
    <t>https://www.rfc-editor.org/rfc/rfc4681.txt</t>
  </si>
  <si>
    <t>https://www.rfc-editor.org/rfc/rfc3268.html</t>
  </si>
  <si>
    <t>RFC6066</t>
  </si>
  <si>
    <t>RFC8422</t>
  </si>
  <si>
    <t>RFC7027</t>
  </si>
  <si>
    <t>Elliptic Curve Cryptography (ECC) Cipher Suites for Transport Layer Security (TLS)</t>
  </si>
  <si>
    <t>2006-05-16</t>
  </si>
  <si>
    <t>https://www.rfc-editor.org/rfc/rfc4492.html</t>
  </si>
  <si>
    <t>RFC8447</t>
  </si>
  <si>
    <t>TLS Handshake Message for Supplemental Data</t>
  </si>
  <si>
    <t>2006-10-10</t>
  </si>
  <si>
    <t>https://www.rfc-editor.org/rfc/rfc4680.html</t>
  </si>
  <si>
    <t>TLS User Mapping Extension</t>
  </si>
  <si>
    <t>https://www.rfc-editor.org/rfc/rfc4681.html</t>
  </si>
  <si>
    <t>RFC8446</t>
  </si>
  <si>
    <t>RFC7627</t>
  </si>
  <si>
    <t>RFC9155</t>
  </si>
  <si>
    <t>RFC5878</t>
  </si>
  <si>
    <t>RFC7568</t>
  </si>
  <si>
    <t>RFC7685</t>
  </si>
  <si>
    <t>RFC7905</t>
  </si>
  <si>
    <t>2008-08-15</t>
  </si>
  <si>
    <t>RFC4347</t>
  </si>
  <si>
    <t>Datagram Transport Layer Security</t>
  </si>
  <si>
    <t>https://www.rfc-editor.org/rfc/rfc4347.txt</t>
  </si>
  <si>
    <t>https://www.rfc-editor.org/rfc/rfc4347.html</t>
  </si>
  <si>
    <t>RFC6347</t>
  </si>
  <si>
    <t>Transport Layer Security (TLS) Authorization Extensions</t>
  </si>
  <si>
    <t>Experimental</t>
  </si>
  <si>
    <t>2010-05-05</t>
  </si>
  <si>
    <t>https://www.rfc-editor.org/rfc/rfc5878.txt</t>
  </si>
  <si>
    <t>https://www.rfc-editor.org/rfc/rfc5878.html</t>
  </si>
  <si>
    <t>Transport Layer Security (TLS) Extensions: Extension Definitions</t>
  </si>
  <si>
    <t>2011-01-18</t>
  </si>
  <si>
    <t>https://www.rfc-editor.org/rfc/rfc6066.txt</t>
  </si>
  <si>
    <t>https://www.rfc-editor.org/rfc/rfc6066.html</t>
  </si>
  <si>
    <t>RFC8449</t>
  </si>
  <si>
    <t>Datagram Transport Layer Security Version 1.2</t>
  </si>
  <si>
    <t>2012-01-20</t>
  </si>
  <si>
    <t>https://www.rfc-editor.org/rfc/rfc6347.txt</t>
  </si>
  <si>
    <t>https://www.rfc-editor.org/rfc/rfc7027.txt</t>
  </si>
  <si>
    <t>https://www.rfc-editor.org/rfc/rfc7568.txt</t>
  </si>
  <si>
    <t>https://www.rfc-editor.org/rfc/rfc7627.txt</t>
  </si>
  <si>
    <t>https://www.rfc-editor.org/rfc/rfc7685.txt</t>
  </si>
  <si>
    <t>https://www.rfc-editor.org/rfc/rfc7905.txt</t>
  </si>
  <si>
    <t>https://www.rfc-editor.org/rfc/rfc8422.txt</t>
  </si>
  <si>
    <t>https://www.rfc-editor.org/rfc/rfc8446.txt</t>
  </si>
  <si>
    <t>https://www.rfc-editor.org/rfc/rfc8447.txt</t>
  </si>
  <si>
    <t>https://www.rfc-editor.org/rfc/rfc8449.txt</t>
  </si>
  <si>
    <t>https://www.rfc-editor.org/rfc/rfc9155.txt</t>
  </si>
  <si>
    <t>https://www.rfc-editor.org/rfc/rfc6347.html</t>
  </si>
  <si>
    <t>RFC9147</t>
  </si>
  <si>
    <t>RFC9146</t>
  </si>
  <si>
    <t>Elliptic Curve Cryptography (ECC) Brainpool Curves for Transport Layer Security (TLS)</t>
  </si>
  <si>
    <t>2013-10-02</t>
  </si>
  <si>
    <t>https://www.rfc-editor.org/rfc/rfc7027.html</t>
  </si>
  <si>
    <t>Deprecating Secure Sockets Layer Version 3.0</t>
  </si>
  <si>
    <t>2015-06-25</t>
  </si>
  <si>
    <t>https://www.rfc-editor.org/rfc/rfc7568.html</t>
  </si>
  <si>
    <t>Transport Layer Security (TLS) Session Hash and Extended Master Secret Extension</t>
  </si>
  <si>
    <t>2015-09-16</t>
  </si>
  <si>
    <t>https://www.rfc-editor.org/rfc/rfc7627.html</t>
  </si>
  <si>
    <t>A Transport Layer Security (TLS) ClientHello Padding Extension</t>
  </si>
  <si>
    <t>2015-10-21</t>
  </si>
  <si>
    <t>https://www.rfc-editor.org/rfc/rfc7685.html</t>
  </si>
  <si>
    <t>ChaCha20-Poly1305 Cipher Suites for Transport Layer Security (TLS)</t>
  </si>
  <si>
    <t>2016-06-22</t>
  </si>
  <si>
    <t>https://www.rfc-editor.org/rfc/rfc7905.html</t>
  </si>
  <si>
    <t>Elliptic Curve Cryptography (ECC) Cipher Suites for Transport Layer Security (TLS) Versions 1.2 and Earlier</t>
  </si>
  <si>
    <t>2018-08-06</t>
  </si>
  <si>
    <t>https://www.rfc-editor.org/rfc/rfc8422.html</t>
  </si>
  <si>
    <t>The Transport Layer Security (TLS) Protocol Version 1.3</t>
  </si>
  <si>
    <t>2018-08-10</t>
  </si>
  <si>
    <t>https://www.rfc-editor.org/rfc/rfc8446.html</t>
  </si>
  <si>
    <t>RFC5077</t>
  </si>
  <si>
    <t>RFC6961</t>
  </si>
  <si>
    <t>RFC5705</t>
  </si>
  <si>
    <t>RFC4507</t>
  </si>
  <si>
    <t>Transport Layer Security (TLS) Session Resumption without Server-Side State</t>
  </si>
  <si>
    <t>https://www.rfc-editor.org/rfc/rfc4507.txt</t>
  </si>
  <si>
    <t>https://www.rfc-editor.org/rfc/rfc4507.html</t>
  </si>
  <si>
    <t>2008-01-25</t>
  </si>
  <si>
    <t>https://www.rfc-editor.org/rfc/rfc5077.txt</t>
  </si>
  <si>
    <t>https://www.rfc-editor.org/rfc/rfc5077.html</t>
  </si>
  <si>
    <t>Keying Material Exporters for Transport Layer Security (TLS)</t>
  </si>
  <si>
    <t>2010-03-15</t>
  </si>
  <si>
    <t>https://www.rfc-editor.org/rfc/rfc5705.txt</t>
  </si>
  <si>
    <t>https://www.rfc-editor.org/rfc/rfc5705.html</t>
  </si>
  <si>
    <t>The Transport Layer Security (TLS) Multiple Certificate Status Request Extension</t>
  </si>
  <si>
    <t>Obsoleted; Errata</t>
  </si>
  <si>
    <t>2013-06-10</t>
  </si>
  <si>
    <t>https://www.rfc-editor.org/rfc/rfc6961.txt</t>
  </si>
  <si>
    <t>https://www.rfc-editor.org/rfc/rfc6961.html</t>
  </si>
  <si>
    <t>IANA Registry Updates for TLS and DTLS</t>
  </si>
  <si>
    <t>https://www.rfc-editor.org/rfc/rfc8447.html</t>
  </si>
  <si>
    <t>RFC7301</t>
  </si>
  <si>
    <t>RFC6520</t>
  </si>
  <si>
    <t>RFC3749</t>
  </si>
  <si>
    <t>Transport Layer Security Protocol Compression Methods</t>
  </si>
  <si>
    <t>2004-05-14</t>
  </si>
  <si>
    <t>https://www.rfc-editor.org/rfc/rfc3749.txt</t>
  </si>
  <si>
    <t>https://www.rfc-editor.org/rfc/rfc3749.html</t>
  </si>
  <si>
    <t>Transport Layer Security (TLS) and Datagram Transport Layer Security (DTLS) Heartbeat Extension</t>
  </si>
  <si>
    <t>2012-02-07</t>
  </si>
  <si>
    <t>https://www.rfc-editor.org/rfc/rfc6520.txt</t>
  </si>
  <si>
    <t>https://www.rfc-editor.org/rfc/rfc6520.html</t>
  </si>
  <si>
    <t>Transport Layer Security (TLS) Application-Layer Protocol Negotiation Extension</t>
  </si>
  <si>
    <t>2014-07-11</t>
  </si>
  <si>
    <t>https://www.rfc-editor.org/rfc/rfc7301.txt</t>
  </si>
  <si>
    <t>https://www.rfc-editor.org/rfc/rfc7301.html</t>
  </si>
  <si>
    <t>Record Size Limit Extension for TLS</t>
  </si>
  <si>
    <t>https://www.rfc-editor.org/rfc/rfc8449.html</t>
  </si>
  <si>
    <t>RFC3261</t>
  </si>
  <si>
    <t>RFC3329</t>
  </si>
  <si>
    <t>RFC3436</t>
  </si>
  <si>
    <t>RFC3470</t>
  </si>
  <si>
    <t>RFC3501</t>
  </si>
  <si>
    <t>RFC3552</t>
  </si>
  <si>
    <t>RFC3568</t>
  </si>
  <si>
    <t>RFC3656</t>
  </si>
  <si>
    <t>RFC3767</t>
  </si>
  <si>
    <t>RFC3856</t>
  </si>
  <si>
    <t>RFC3871</t>
  </si>
  <si>
    <t>RFC3887</t>
  </si>
  <si>
    <t>RFC3903</t>
  </si>
  <si>
    <t>RFC3943</t>
  </si>
  <si>
    <t>RFC3983</t>
  </si>
  <si>
    <t>RFC4097</t>
  </si>
  <si>
    <t>RFC4111</t>
  </si>
  <si>
    <t>RFC4162</t>
  </si>
  <si>
    <t>RFC4168</t>
  </si>
  <si>
    <t>RFC4217</t>
  </si>
  <si>
    <t>RFC4235</t>
  </si>
  <si>
    <t>RFC4261</t>
  </si>
  <si>
    <t>RFC4279</t>
  </si>
  <si>
    <t>RFC4497</t>
  </si>
  <si>
    <t>RFC4513</t>
  </si>
  <si>
    <t>RFC4531</t>
  </si>
  <si>
    <t>RFC4540</t>
  </si>
  <si>
    <t>RFC4582</t>
  </si>
  <si>
    <t>RFC4616</t>
  </si>
  <si>
    <t>RFC4642</t>
  </si>
  <si>
    <t>RFC4712</t>
  </si>
  <si>
    <t>RFC4732</t>
  </si>
  <si>
    <t>RFC4743</t>
  </si>
  <si>
    <t>RFC4744</t>
  </si>
  <si>
    <t>RFC4785</t>
  </si>
  <si>
    <t>RFC4791</t>
  </si>
  <si>
    <t>RFC4823</t>
  </si>
  <si>
    <t>RFC4851</t>
  </si>
  <si>
    <t>RFC4964</t>
  </si>
  <si>
    <t>RFC4975</t>
  </si>
  <si>
    <t>RFC4976</t>
  </si>
  <si>
    <t>RFC4992</t>
  </si>
  <si>
    <t>RFC5018</t>
  </si>
  <si>
    <t>RFC5019</t>
  </si>
  <si>
    <t>RFC5023</t>
  </si>
  <si>
    <t>RFC5024</t>
  </si>
  <si>
    <t>RFC5049</t>
  </si>
  <si>
    <t>RFC5054</t>
  </si>
  <si>
    <t>RFC5091</t>
  </si>
  <si>
    <t>RFC5158</t>
  </si>
  <si>
    <t>RFC5216</t>
  </si>
  <si>
    <t>RFC5238</t>
  </si>
  <si>
    <t>RFC5263</t>
  </si>
  <si>
    <t>RFC5281</t>
  </si>
  <si>
    <t>RFC5364</t>
  </si>
  <si>
    <t>RFC5415</t>
  </si>
  <si>
    <t>RFC5422</t>
  </si>
  <si>
    <t>RFC5456</t>
  </si>
  <si>
    <t>RFC5734</t>
  </si>
  <si>
    <t>RFC5953</t>
  </si>
  <si>
    <t>RFC6012</t>
  </si>
  <si>
    <t>RFC6042</t>
  </si>
  <si>
    <t>RFC6083</t>
  </si>
  <si>
    <t>RFC6084</t>
  </si>
  <si>
    <t>RFC6353</t>
  </si>
  <si>
    <t>RFC6367</t>
  </si>
  <si>
    <t>RFC6460</t>
  </si>
  <si>
    <t>RFC6614</t>
  </si>
  <si>
    <t>RFC6739</t>
  </si>
  <si>
    <t>RFC7030</t>
  </si>
  <si>
    <t>RFC7525</t>
  </si>
  <si>
    <t>RFC7562</t>
  </si>
  <si>
    <t>RFC8261</t>
  </si>
  <si>
    <t>RFC5469</t>
  </si>
  <si>
    <t>TLS usage best practices</t>
  </si>
  <si>
    <t>2021-03-23</t>
  </si>
  <si>
    <t>https://www.rfc-editor.org/rfc/rfc9146.xml</t>
  </si>
  <si>
    <t>https://www.rfc-editor.org/rfc/rfc9147.xml</t>
  </si>
  <si>
    <t>https://www.rfc-editor.org/rfc/rfc9155.xml</t>
  </si>
  <si>
    <t>DES and IDEA Cipher Suites for Transport Layer Security (TLS)</t>
  </si>
  <si>
    <t>2009-02-10</t>
  </si>
  <si>
    <t>https://www.rfc-editor.org/rfc/rfc5469.txt</t>
  </si>
  <si>
    <t>https://www.rfc-editor.org/rfc/rfc9146.txt</t>
  </si>
  <si>
    <t>https://www.rfc-editor.org/rfc/rfc9147.txt</t>
  </si>
  <si>
    <t>https://www.rfc-editor.org/rfc/rfc5469.html</t>
  </si>
  <si>
    <t>Connection Identifier for DTLS 1.2</t>
  </si>
  <si>
    <t>2022-03-18</t>
  </si>
  <si>
    <t>https://www.rfc-editor.org/rfc/rfc9146.html</t>
  </si>
  <si>
    <t>DTLS</t>
  </si>
  <si>
    <t>The Datagram Transport Layer Security (DTLS) Protocol Version 1.3</t>
  </si>
  <si>
    <t>2022-04-21</t>
  </si>
  <si>
    <t>https://www.rfc-editor.org/rfc/rfc9147.html</t>
  </si>
  <si>
    <t>Deprecating MD5 and SHA-1 Signature Hashes in TLS 1.2 and DTLS 1.2</t>
  </si>
  <si>
    <t>2021-12-20</t>
  </si>
  <si>
    <t>https://www.rfc-editor.org/rfc/rfc9155.html</t>
  </si>
  <si>
    <t>uta WG</t>
  </si>
  <si>
    <t>Using TLS in Applications</t>
  </si>
  <si>
    <t>https://datatracker.ietf.org/wg/uta/about/</t>
  </si>
  <si>
    <t>2013-12-11</t>
  </si>
  <si>
    <t>2022-11-30</t>
  </si>
  <si>
    <t>2015-05-04</t>
  </si>
  <si>
    <t>https://www.rfc-editor.org/rfc/rfc7525.txt</t>
  </si>
  <si>
    <t>https://www.rfc-editor.org/rfc/rfc7525.html</t>
  </si>
  <si>
    <t>RFC5288</t>
  </si>
  <si>
    <t>AES Galois Counter Mode (GCM) Cipher Suites for TLS</t>
  </si>
  <si>
    <t>2008-08-21</t>
  </si>
  <si>
    <t>https://www.rfc-editor.org/rfc/rfc5288.txt</t>
  </si>
  <si>
    <t>https://www.rfc-editor.org/rfc/rfc5288.html</t>
  </si>
  <si>
    <t>draft-hickman-netscape-ssl-00</t>
  </si>
  <si>
    <t>The SSL Protocol</t>
  </si>
  <si>
    <t>Archived; Expired</t>
  </si>
  <si>
    <t>draft-hickman-netscape-ssl</t>
  </si>
  <si>
    <t>https://www.ietf.org/archive/id/draft-hickman-netscape-ssl-00.txt</t>
  </si>
  <si>
    <t>Restatement of SSLv2 as Internet-Draft</t>
  </si>
  <si>
    <t>Netscape</t>
  </si>
  <si>
    <t>independent organization</t>
  </si>
  <si>
    <t>1994-04-04</t>
  </si>
  <si>
    <t>1994-11-14</t>
  </si>
  <si>
    <t>Mosaic Communications Corporation</t>
  </si>
  <si>
    <t>Netscape Communications Corporation</t>
  </si>
  <si>
    <t>Mosaic (Netscape)</t>
  </si>
  <si>
    <t>Reorganized into Netscape</t>
  </si>
  <si>
    <t>Reorganized from Mosaic || Acquired by America Online</t>
  </si>
  <si>
    <t>1999-03-17</t>
  </si>
  <si>
    <t>Netscape SSL2</t>
  </si>
  <si>
    <t>1995-02-09</t>
  </si>
  <si>
    <t>Internet-Draft restates SSL v2</t>
  </si>
  <si>
    <t>Deprecated</t>
  </si>
  <si>
    <t>Deprecated; Obsoleted; Updated; Errata</t>
  </si>
  <si>
    <t>Netscape SSL3</t>
  </si>
  <si>
    <t>The Secure Sockets Layer (SSL) Protocol Version 3.0</t>
  </si>
  <si>
    <t>1996-11-18</t>
  </si>
  <si>
    <t>RFC6101</t>
  </si>
  <si>
    <t>2011-08-12</t>
  </si>
  <si>
    <t>https://www.rfc-editor.org/rfc/rfc6101.txt</t>
  </si>
  <si>
    <t>https://www.rfc-editor.org/rfc/rfc6101.html</t>
  </si>
  <si>
    <t>Restatement of SSLv3 for historical record with minimal editorial changes</t>
  </si>
  <si>
    <t>RFC6101 restates SSLv3 with minimal editorial changes</t>
  </si>
  <si>
    <t>DEPRECATES</t>
  </si>
  <si>
    <t>Independent Standard</t>
  </si>
  <si>
    <t>Status</t>
  </si>
  <si>
    <t>Defines the state of a given authority.</t>
  </si>
  <si>
    <t>Draft</t>
  </si>
  <si>
    <t>Withdrawn</t>
  </si>
  <si>
    <t>Superseded</t>
  </si>
  <si>
    <t>Authority has been replaced with an updated specification; the specification defined by the Authority should no longer be used.</t>
  </si>
  <si>
    <t>Authority is a draft revision of a prospective specification.</t>
  </si>
  <si>
    <t>Authority has been removed from effective status and publication by its controlling organization; the specification defined by the Authority must no longer be used.</t>
  </si>
  <si>
    <t>Authority has been removed from effective status via specification; the specification defined by the Authority must no longer be used.</t>
  </si>
  <si>
    <t>Authority is approved and published by its controlling organization and not otherwise Obsoleted or Superseded.</t>
  </si>
  <si>
    <t>Authority is approved by its controlling organization but has not yet been published.</t>
  </si>
  <si>
    <t>Authority has been updated or extended by another specification without being replaced; the specification defined by the Authority may continue to be used.</t>
  </si>
  <si>
    <t>Authority has been updated by another specification;  may be indicated with any other status.</t>
  </si>
  <si>
    <t>Errata</t>
  </si>
  <si>
    <t>Authority has documented errata; may be indicated with any other status.</t>
  </si>
  <si>
    <t>versionTag</t>
  </si>
  <si>
    <t>SUPERSEDES</t>
  </si>
  <si>
    <t>Unpublished; Superseded</t>
  </si>
  <si>
    <t>1.0</t>
  </si>
  <si>
    <t>1.0.1</t>
  </si>
  <si>
    <t>2.0</t>
  </si>
  <si>
    <t>3.0</t>
  </si>
  <si>
    <t>4.0</t>
  </si>
  <si>
    <t>5.0</t>
  </si>
  <si>
    <t>5.1</t>
  </si>
  <si>
    <t>5.2</t>
  </si>
  <si>
    <t>6.0</t>
  </si>
  <si>
    <t>6.1</t>
  </si>
  <si>
    <t>6.2</t>
  </si>
  <si>
    <t>6.3</t>
  </si>
  <si>
    <t>7.0</t>
  </si>
  <si>
    <t>8.0</t>
  </si>
  <si>
    <t>9.0</t>
  </si>
  <si>
    <t>10.0</t>
  </si>
  <si>
    <t>11.0</t>
  </si>
  <si>
    <t>12.0</t>
  </si>
  <si>
    <t>12.1</t>
  </si>
  <si>
    <t>13.0</t>
  </si>
  <si>
    <t>14.0</t>
  </si>
  <si>
    <t>15.0</t>
  </si>
  <si>
    <t>15.1</t>
  </si>
  <si>
    <t>16.0</t>
  </si>
  <si>
    <t>17.0</t>
  </si>
  <si>
    <t>Draft; Deprecated; Expired</t>
  </si>
  <si>
    <t>A Draft Authority without activity for an extended period may be inactivated by its controlling organization, such Authorities will be marked as Expired.</t>
  </si>
  <si>
    <t>1995-04-19</t>
  </si>
  <si>
    <t>Restates SSL v3 as an RFC</t>
  </si>
  <si>
    <t>W3C HTTP/0.9</t>
  </si>
  <si>
    <t>Hypertext Transfer Protocol (HTTP)</t>
  </si>
  <si>
    <t>https://www.w3.org/Protocols/HTTP/AsImplemented.html</t>
  </si>
  <si>
    <t>HTTP as originally implemented</t>
  </si>
  <si>
    <t>RFC1945</t>
  </si>
  <si>
    <t>Hypertext Transfer Protocol -- HTTP/1.0</t>
  </si>
  <si>
    <t>1996-05-01</t>
  </si>
  <si>
    <t>https://www.rfc-editor.org/rfc/rfc1945.txt</t>
  </si>
  <si>
    <t>https://www.rfc-editor.org/rfc/rfc1945.html</t>
  </si>
  <si>
    <t>RFC2068</t>
  </si>
  <si>
    <t>1997-01-01</t>
  </si>
  <si>
    <t>https://www.rfc-editor.org/rfc/rfc2068.txt</t>
  </si>
  <si>
    <t>https://www.rfc-editor.org/rfc/rfc2068.html</t>
  </si>
  <si>
    <t>1999-06-01</t>
  </si>
  <si>
    <t>RFC2817</t>
  </si>
  <si>
    <t>RFC5785</t>
  </si>
  <si>
    <t>RFC6266</t>
  </si>
  <si>
    <t>RFC6585</t>
  </si>
  <si>
    <t>RFC7230</t>
  </si>
  <si>
    <t>RFC7231</t>
  </si>
  <si>
    <t>RFC7232</t>
  </si>
  <si>
    <t>RFC7233</t>
  </si>
  <si>
    <t>RFC7234</t>
  </si>
  <si>
    <t>RFC2069</t>
  </si>
  <si>
    <t>RFC7615</t>
  </si>
  <si>
    <t>RFC7616</t>
  </si>
  <si>
    <t>RFC7617</t>
  </si>
  <si>
    <t>IETF APP Area</t>
  </si>
  <si>
    <t>IETF Applications Area Group</t>
  </si>
  <si>
    <t>https://datatracker.ietf.org/group/app/about/</t>
  </si>
  <si>
    <t>http WG</t>
  </si>
  <si>
    <t>https://datatracker.ietf.org/wg/http/about/</t>
  </si>
  <si>
    <t>1995-01-26</t>
  </si>
  <si>
    <t>2000-10-11</t>
  </si>
  <si>
    <t>An Extension to HTTP : Digest Access Authentication</t>
  </si>
  <si>
    <t>https://www.rfc-editor.org/rfc/rfc2069.txt</t>
  </si>
  <si>
    <t>https://www.rfc-editor.org/rfc/rfc2069.html</t>
  </si>
  <si>
    <t>HTTP/HTTPS</t>
  </si>
  <si>
    <t>Hypertext Transfer Protocol</t>
  </si>
  <si>
    <t>Upgrading to TLS Within HTTP/1.1</t>
  </si>
  <si>
    <t>2000-05-01</t>
  </si>
  <si>
    <t>https://www.rfc-editor.org/rfc/rfc2817.txt</t>
  </si>
  <si>
    <t>https://www.rfc-editor.org/rfc/rfc2817.html</t>
  </si>
  <si>
    <t>Restates SSL v2 as an Internet-Draft || Defines 'https' scheme and port 443 for the first time</t>
  </si>
  <si>
    <t>RFC9110</t>
  </si>
  <si>
    <t>Defining Well-Known Uniform Resource Identifiers (URIs)</t>
  </si>
  <si>
    <t>2010-04-06</t>
  </si>
  <si>
    <t>https://www.rfc-editor.org/rfc/rfc5785.txt</t>
  </si>
  <si>
    <t>https://www.rfc-editor.org/rfc/rfc5785.html</t>
  </si>
  <si>
    <t>RFC1738</t>
  </si>
  <si>
    <t>RFC1808</t>
  </si>
  <si>
    <t>RFC2396</t>
  </si>
  <si>
    <t>RFC4266</t>
  </si>
  <si>
    <t>RFC4248</t>
  </si>
  <si>
    <t>RFC2368</t>
  </si>
  <si>
    <t>RFC6196</t>
  </si>
  <si>
    <t>RFC6270</t>
  </si>
  <si>
    <t>RFC8089</t>
  </si>
  <si>
    <t>refonly; relComplete</t>
  </si>
  <si>
    <t>RFC2732</t>
  </si>
  <si>
    <t>RFC8820</t>
  </si>
  <si>
    <t>RFC6874</t>
  </si>
  <si>
    <t>RFC7320</t>
  </si>
  <si>
    <t>URI syntax</t>
  </si>
  <si>
    <t>Uniform Resource Locators (URL)</t>
  </si>
  <si>
    <t>1994-12-01</t>
  </si>
  <si>
    <t>uribof WG</t>
  </si>
  <si>
    <t>HyperText Transfer Protocol working group</t>
  </si>
  <si>
    <t>Uniform Resource Identifiers working group</t>
  </si>
  <si>
    <t>https://datatracker.ietf.org/wg/uribof/about/</t>
  </si>
  <si>
    <t>1992-11-30</t>
  </si>
  <si>
    <t>1995-07-21</t>
  </si>
  <si>
    <t>https://www.rfc-editor.org/rfc/rfc1738.txt</t>
  </si>
  <si>
    <t>https://www.rfc-editor.org/rfc/rfc1738.html</t>
  </si>
  <si>
    <t>Relative Uniform Resource Locators</t>
  </si>
  <si>
    <t>1995-06-01</t>
  </si>
  <si>
    <t>https://www.rfc-editor.org/rfc/rfc1808.txt</t>
  </si>
  <si>
    <t>https://www.rfc-editor.org/rfc/rfc1808.html</t>
  </si>
  <si>
    <t>The mailto URL scheme</t>
  </si>
  <si>
    <t>1998-07-01</t>
  </si>
  <si>
    <t>https://www.rfc-editor.org/rfc/rfc2368.txt</t>
  </si>
  <si>
    <t>https://www.rfc-editor.org/rfc/rfc2368.html</t>
  </si>
  <si>
    <t>Uniform Resource Identifiers (URI): Generic Syntax</t>
  </si>
  <si>
    <t>1998-08-01</t>
  </si>
  <si>
    <t>https://www.rfc-editor.org/rfc/rfc2396.txt</t>
  </si>
  <si>
    <t>https://www.rfc-editor.org/rfc/rfc2396.html</t>
  </si>
  <si>
    <t>Format for Literal IPv6 Addresses in URL's</t>
  </si>
  <si>
    <t>1999-12-01</t>
  </si>
  <si>
    <t>https://www.rfc-editor.org/rfc/rfc2732.txt</t>
  </si>
  <si>
    <t>https://www.rfc-editor.org/rfc/rfc2732.html</t>
  </si>
  <si>
    <t>2005-01-25</t>
  </si>
  <si>
    <t>The telnet URI Scheme</t>
  </si>
  <si>
    <t>2005-10-31</t>
  </si>
  <si>
    <t>https://www.rfc-editor.org/rfc/rfc4248.txt</t>
  </si>
  <si>
    <t>https://www.rfc-editor.org/rfc/rfc4248.html</t>
  </si>
  <si>
    <t>The gopher URI Scheme</t>
  </si>
  <si>
    <t>2005-11-22</t>
  </si>
  <si>
    <t>https://www.rfc-editor.org/rfc/rfc4266.txt</t>
  </si>
  <si>
    <t>https://www.rfc-editor.org/rfc/rfc4266.html</t>
  </si>
  <si>
    <t>RFC8615</t>
  </si>
  <si>
    <t>Moving mailserver: URI Scheme to Historic</t>
  </si>
  <si>
    <t>2011-03-24</t>
  </si>
  <si>
    <t>https://www.rfc-editor.org/rfc/rfc6196.txt</t>
  </si>
  <si>
    <t>https://www.rfc-editor.org/rfc/rfc6196.html</t>
  </si>
  <si>
    <t>Use of the Content-Disposition Header Field in the Hypertext Transfer Protocol (HTTP)</t>
  </si>
  <si>
    <t>2011-06-06</t>
  </si>
  <si>
    <t>https://www.rfc-editor.org/rfc/rfc6266.txt</t>
  </si>
  <si>
    <t>https://www.rfc-editor.org/rfc/rfc6266.html</t>
  </si>
  <si>
    <t>The 'tn3270' URI Scheme</t>
  </si>
  <si>
    <t>https://www.rfc-editor.org/rfc/rfc6270.txt</t>
  </si>
  <si>
    <t>https://www.rfc-editor.org/rfc/rfc6270.html</t>
  </si>
  <si>
    <t>RFC1041</t>
  </si>
  <si>
    <t>RFC2355</t>
  </si>
  <si>
    <t>Telnet 3270 regime option</t>
  </si>
  <si>
    <t>1988-01-01</t>
  </si>
  <si>
    <t>https://www.rfc-editor.org/rfc/rfc1041.txt</t>
  </si>
  <si>
    <t>https://www.rfc-editor.org/rfc/rfc1041.html</t>
  </si>
  <si>
    <t>TN3270 Enhancements</t>
  </si>
  <si>
    <t>1998-06-01</t>
  </si>
  <si>
    <t>https://www.rfc-editor.org/rfc/rfc2355.txt</t>
  </si>
  <si>
    <t>https://www.rfc-editor.org/rfc/rfc2355.html</t>
  </si>
  <si>
    <t>stub</t>
  </si>
  <si>
    <t>Additional HTTP Status Codes</t>
  </si>
  <si>
    <t>2012-04-30</t>
  </si>
  <si>
    <t>https://www.rfc-editor.org/rfc/rfc6585.txt</t>
  </si>
  <si>
    <t>https://www.rfc-editor.org/rfc/rfc6585.html</t>
  </si>
  <si>
    <t>Representing IPv6 Zone Identifiers in Address Literals and Uniform Resource Identifiers</t>
  </si>
  <si>
    <t>2013-02-22</t>
  </si>
  <si>
    <t>https://www.rfc-editor.org/rfc/rfc6874.txt</t>
  </si>
  <si>
    <t>https://www.rfc-editor.org/rfc/rfc6874.html</t>
  </si>
  <si>
    <t>Hypertext Transfer Protocol (HTTP/1.1): Message Syntax and Routing</t>
  </si>
  <si>
    <t>2014-06-06</t>
  </si>
  <si>
    <t>https://www.rfc-editor.org/rfc/rfc7230.txt</t>
  </si>
  <si>
    <t>https://www.rfc-editor.org/rfc/rfc7230.html</t>
  </si>
  <si>
    <t>RFC9112</t>
  </si>
  <si>
    <t>RFC2145</t>
  </si>
  <si>
    <t>Use and Interpretation of HTTP Version Numbers</t>
  </si>
  <si>
    <t>1997-05-01</t>
  </si>
  <si>
    <t>https://www.rfc-editor.org/rfc/rfc2145.txt</t>
  </si>
  <si>
    <t>https://www.rfc-editor.org/rfc/rfc2145.html</t>
  </si>
  <si>
    <t>Hypertext Transfer Protocol (HTTP/1.1): Semantics and Content</t>
  </si>
  <si>
    <t>https://www.rfc-editor.org/rfc/rfc7231.txt</t>
  </si>
  <si>
    <t>https://www.rfc-editor.org/rfc/rfc7231.html</t>
  </si>
  <si>
    <t>Hypertext Transfer Protocol (HTTP/1.1): Conditional Requests</t>
  </si>
  <si>
    <t>https://www.rfc-editor.org/rfc/rfc7232.txt</t>
  </si>
  <si>
    <t>https://www.rfc-editor.org/rfc/rfc7232.html</t>
  </si>
  <si>
    <t>Hypertext Transfer Protocol (HTTP/1.1): Range Requests</t>
  </si>
  <si>
    <t>https://www.rfc-editor.org/rfc/rfc7233.txt</t>
  </si>
  <si>
    <t>https://www.rfc-editor.org/rfc/rfc7233.html</t>
  </si>
  <si>
    <t>Hypertext Transfer Protocol (HTTP/1.1): Caching</t>
  </si>
  <si>
    <t>https://www.rfc-editor.org/rfc/rfc7234.txt</t>
  </si>
  <si>
    <t>https://www.rfc-editor.org/rfc/rfc7234.html</t>
  </si>
  <si>
    <t>URI Design and Ownership</t>
  </si>
  <si>
    <t>2014-07-10</t>
  </si>
  <si>
    <t>https://www.rfc-editor.org/rfc/rfc7320.txt</t>
  </si>
  <si>
    <t>https://www.rfc-editor.org/rfc/rfc7320.html</t>
  </si>
  <si>
    <t>HTTP Authentication-Info and Proxy-Authentication-Info Response Header Fields</t>
  </si>
  <si>
    <t>2015-09-30</t>
  </si>
  <si>
    <t>https://www.rfc-editor.org/rfc/rfc7615.txt</t>
  </si>
  <si>
    <t>https://www.rfc-editor.org/rfc/rfc7615.html</t>
  </si>
  <si>
    <t>HTTP Digest Access Authentication</t>
  </si>
  <si>
    <t>https://www.rfc-editor.org/rfc/rfc7616.txt</t>
  </si>
  <si>
    <t>https://www.rfc-editor.org/rfc/rfc7616.html</t>
  </si>
  <si>
    <t>The 'Basic' HTTP Authentication Scheme</t>
  </si>
  <si>
    <t>https://www.rfc-editor.org/rfc/rfc7617.txt</t>
  </si>
  <si>
    <t>https://www.rfc-editor.org/rfc/rfc7617.html</t>
  </si>
  <si>
    <t>The "file" URI Scheme</t>
  </si>
  <si>
    <t>2017-02-17</t>
  </si>
  <si>
    <t>https://www.rfc-editor.org/rfc/rfc8089.txt</t>
  </si>
  <si>
    <t>https://www.rfc-editor.org/rfc/rfc8089.html</t>
  </si>
  <si>
    <t>RFC9844</t>
  </si>
  <si>
    <t>Well-Known Uniform Resource Identifiers (URIs)</t>
  </si>
  <si>
    <t>2019-05-20</t>
  </si>
  <si>
    <t>https://www.rfc-editor.org/rfc/rfc8615.txt</t>
  </si>
  <si>
    <t>https://www.rfc-editor.org/rfc/rfc8615.html</t>
  </si>
  <si>
    <t>RFC7595</t>
  </si>
  <si>
    <t>BCP35</t>
  </si>
  <si>
    <t>BCP 35</t>
  </si>
  <si>
    <t>https://www.rfc-editor.org/info/bcp35</t>
  </si>
  <si>
    <t>URI registration guidelines and registration procedures</t>
  </si>
  <si>
    <t>Guidelines and Registration Procedures for URI Schemes</t>
  </si>
  <si>
    <t>2015-06-19</t>
  </si>
  <si>
    <t>https://www.rfc-editor.org/rfc/rfc7595.txt</t>
  </si>
  <si>
    <t>https://www.rfc-editor.org/rfc/rfc7595.html</t>
  </si>
  <si>
    <t>RFC4395</t>
  </si>
  <si>
    <t>Guidelines and Registration Procedures for New URI Schemes</t>
  </si>
  <si>
    <t>2006-02-13</t>
  </si>
  <si>
    <t>https://www.rfc-editor.org/rfc/rfc4395.txt</t>
  </si>
  <si>
    <t>https://www.rfc-editor.org/rfc/rfc4395.html</t>
  </si>
  <si>
    <t>RFC2717</t>
  </si>
  <si>
    <t>RFC2718</t>
  </si>
  <si>
    <t>Registration Procedures for URL Scheme Names</t>
  </si>
  <si>
    <t>1999-11-01</t>
  </si>
  <si>
    <t>https://www.rfc-editor.org/rfc/rfc2717.txt</t>
  </si>
  <si>
    <t>https://www.rfc-editor.org/rfc/rfc2717.html</t>
  </si>
  <si>
    <t>Guidelines for new URL Schemes</t>
  </si>
  <si>
    <t>https://www.rfc-editor.org/rfc/rfc2718.txt</t>
  </si>
  <si>
    <t>https://www.rfc-editor.org/rfc/rfc2718.html</t>
  </si>
  <si>
    <t>BCP190</t>
  </si>
  <si>
    <t>BCP 190</t>
  </si>
  <si>
    <t>https://www.rfc-editor.org/info/bcp190</t>
  </si>
  <si>
    <t>URI design and ownership</t>
  </si>
  <si>
    <t>2020-06-30</t>
  </si>
  <si>
    <t>https://www.rfc-editor.org/rfc/rfc8820.txt</t>
  </si>
  <si>
    <t>https://www.rfc-editor.org/rfc/rfc8820.html</t>
  </si>
  <si>
    <t>https://www.rfc-editor.org/rfc/rfc8820.xml</t>
  </si>
  <si>
    <t>HTTP Semantics</t>
  </si>
  <si>
    <t>STD97</t>
  </si>
  <si>
    <t>STD 97</t>
  </si>
  <si>
    <t>https://www.rfc-editor.org/info/std97</t>
  </si>
  <si>
    <t>HTTP semantics</t>
  </si>
  <si>
    <t>2022-06-06</t>
  </si>
  <si>
    <t>https://www.rfc-editor.org/rfc/rfc9110.xml</t>
  </si>
  <si>
    <t>https://www.rfc-editor.org/rfc/rfc9110.txt</t>
  </si>
  <si>
    <t>https://www.rfc-editor.org/rfc/rfc9110.html</t>
  </si>
  <si>
    <t>RFC7538</t>
  </si>
  <si>
    <t>RFC7694</t>
  </si>
  <si>
    <t>RFC3864</t>
  </si>
  <si>
    <t>BCP90</t>
  </si>
  <si>
    <t>BCP 90</t>
  </si>
  <si>
    <t>https://www.rfc-editor.org/info/bcp90</t>
  </si>
  <si>
    <t>Registration procedures for message header fields</t>
  </si>
  <si>
    <t>Registration Procedures for Message Header Fields</t>
  </si>
  <si>
    <t>2004-09-17</t>
  </si>
  <si>
    <t>https://www.rfc-editor.org/rfc/rfc3864.txt</t>
  </si>
  <si>
    <t>https://www.rfc-editor.org/rfc/rfc3864.html</t>
  </si>
  <si>
    <t>The Hypertext Transfer Protocol Status Code 308 (Permanent Redirect)</t>
  </si>
  <si>
    <t>2015-04-06</t>
  </si>
  <si>
    <t>https://www.rfc-editor.org/rfc/rfc7538.txt</t>
  </si>
  <si>
    <t>https://www.rfc-editor.org/rfc/rfc7538.html</t>
  </si>
  <si>
    <t>RFC7238</t>
  </si>
  <si>
    <t>https://www.rfc-editor.org/rfc/rfc7238.txt</t>
  </si>
  <si>
    <t>https://www.rfc-editor.org/rfc/rfc7238.html</t>
  </si>
  <si>
    <t>Hypertext Transfer Protocol (HTTP) Client-Initiated Content-Encoding</t>
  </si>
  <si>
    <t>2015-11-03</t>
  </si>
  <si>
    <t>https://www.rfc-editor.org/rfc/rfc7694.txt</t>
  </si>
  <si>
    <t>https://www.rfc-editor.org/rfc/rfc7694.html</t>
  </si>
  <si>
    <t>STD98</t>
  </si>
  <si>
    <t>STD 98</t>
  </si>
  <si>
    <t>https://www.rfc-editor.org/info/std98</t>
  </si>
  <si>
    <t>HTTP caching</t>
  </si>
  <si>
    <t>RFC9111</t>
  </si>
  <si>
    <t>RFC9113</t>
  </si>
  <si>
    <t>RFC8740</t>
  </si>
  <si>
    <t>RFC7540</t>
  </si>
  <si>
    <t>RFC9114</t>
  </si>
  <si>
    <t>Hypertext Transfer Protocol Version 2 (HTTP/2)</t>
  </si>
  <si>
    <t>2015-05-14</t>
  </si>
  <si>
    <t>https://www.rfc-editor.org/rfc/rfc7540.txt</t>
  </si>
  <si>
    <t>https://www.rfc-editor.org/rfc/rfc7540.html</t>
  </si>
  <si>
    <t>Using TLS 1.3 with HTTP/2</t>
  </si>
  <si>
    <t>2020-02-23</t>
  </si>
  <si>
    <t>https://www.rfc-editor.org/rfc/rfc8740.xml</t>
  </si>
  <si>
    <t>https://www.rfc-editor.org/rfc/rfc8740.txt</t>
  </si>
  <si>
    <t>https://www.rfc-editor.org/rfc/rfc8740.html</t>
  </si>
  <si>
    <t>HTTP Caching</t>
  </si>
  <si>
    <t>https://www.rfc-editor.org/rfc/rfc9111.xml</t>
  </si>
  <si>
    <t>https://www.rfc-editor.org/rfc/rfc9111.txt</t>
  </si>
  <si>
    <t>https://www.rfc-editor.org/rfc/rfc9111.html</t>
  </si>
  <si>
    <t>HTTP/1.1</t>
  </si>
  <si>
    <t>STD99</t>
  </si>
  <si>
    <t>STD 99</t>
  </si>
  <si>
    <t>https://www.rfc-editor.org/info/std99</t>
  </si>
  <si>
    <t>https://www.rfc-editor.org/rfc/rfc9112.xml</t>
  </si>
  <si>
    <t>https://www.rfc-editor.org/rfc/rfc9112.txt</t>
  </si>
  <si>
    <t>https://www.rfc-editor.org/rfc/rfc9112.html</t>
  </si>
  <si>
    <t>HTTP/2</t>
  </si>
  <si>
    <t>https://www.rfc-editor.org/rfc/rfc9113.xml</t>
  </si>
  <si>
    <t>https://www.rfc-editor.org/rfc/rfc9113.txt</t>
  </si>
  <si>
    <t>https://www.rfc-editor.org/rfc/rfc9113.html</t>
  </si>
  <si>
    <t>HTTP/3</t>
  </si>
  <si>
    <t>https://www.rfc-editor.org/rfc/rfc9114.xml</t>
  </si>
  <si>
    <t>https://www.rfc-editor.org/rfc/rfc9114.txt</t>
  </si>
  <si>
    <t>https://www.rfc-editor.org/rfc/rfc9114.html</t>
  </si>
  <si>
    <t>Entering IPv6 Zone Identifiers in User Interfaces</t>
  </si>
  <si>
    <t>2025-08-22</t>
  </si>
  <si>
    <t>https://www.rfc-editor.org/rfc/rfc9844.xml</t>
  </si>
  <si>
    <t>https://www.rfc-editor.org/rfc/rfc9844.txt</t>
  </si>
  <si>
    <t>https://www.rfc-editor.org/rfc/rfc9844.html</t>
  </si>
  <si>
    <t>RFC7622</t>
  </si>
  <si>
    <t>RFC4007</t>
  </si>
  <si>
    <t>IPv6 Scoped Address Architecture</t>
  </si>
  <si>
    <t>2005-03-18</t>
  </si>
  <si>
    <t>https://www.rfc-editor.org/rfc/rfc4007.txt</t>
  </si>
  <si>
    <t>https://www.rfc-editor.org/rfc/rfc4007.html</t>
  </si>
  <si>
    <t>Extensible Messaging and Presence Protocol (XMPP): Address Format</t>
  </si>
  <si>
    <t>2015-09-08</t>
  </si>
  <si>
    <t>https://www.rfc-editor.org/rfc/rfc7622.txt</t>
  </si>
  <si>
    <t>https://www.rfc-editor.org/rfc/rfc7622.html</t>
  </si>
  <si>
    <t>Telnet TN3270 Enhancements working group</t>
  </si>
  <si>
    <t>https://datatracker.ietf.org/wg/tn3270e/about/</t>
  </si>
  <si>
    <t>1997-03-24</t>
  </si>
  <si>
    <t>2004-02-19</t>
  </si>
  <si>
    <t>tn3270e WG</t>
  </si>
  <si>
    <t>urlreg WG</t>
  </si>
  <si>
    <t>Uniform Resource Locator Registration Procedures working group</t>
  </si>
  <si>
    <t>https://datatracker.ietf.org/wg/urlreg/about/</t>
  </si>
  <si>
    <t>1997-07-24</t>
  </si>
  <si>
    <t>1999-11-15</t>
  </si>
  <si>
    <t>IETF INT Area</t>
  </si>
  <si>
    <t>IETF Internet Area Group</t>
  </si>
  <si>
    <t>https://datatracker.ietf.org/group/int/about/</t>
  </si>
  <si>
    <t>ipngwg WG</t>
  </si>
  <si>
    <t>IPNG working group</t>
  </si>
  <si>
    <t>https://datatracker.ietf.org/wg/ipngwg/about/</t>
  </si>
  <si>
    <t>1994-11-17</t>
  </si>
  <si>
    <t>2001-12-06</t>
  </si>
  <si>
    <t>ipv6 WG</t>
  </si>
  <si>
    <t>IP Version 6 working group</t>
  </si>
  <si>
    <t>https://datatracker.ietf.org/wg/ipv6/about/</t>
  </si>
  <si>
    <t>2000-12-05</t>
  </si>
  <si>
    <t>2007-09-23</t>
  </si>
  <si>
    <t>IETF WIT Area</t>
  </si>
  <si>
    <t>Web and Internet Transport Area Group</t>
  </si>
  <si>
    <t>https://datatracker.ietf.org/group/wit/about/</t>
  </si>
  <si>
    <t>httpbis WG</t>
  </si>
  <si>
    <t>HTTP working group</t>
  </si>
  <si>
    <t>https://datatracker.ietf.org/wg/httpbis/about/</t>
  </si>
  <si>
    <t>2007-10-18</t>
  </si>
  <si>
    <t>IPv6 Maintenance working group</t>
  </si>
  <si>
    <t>https://datatracker.ietf.org/wg/6man/about/</t>
  </si>
  <si>
    <t>2007-09-20</t>
  </si>
  <si>
    <t>6man WG</t>
  </si>
  <si>
    <t>RFC7236</t>
  </si>
  <si>
    <t>RFC7237</t>
  </si>
  <si>
    <t>Initial Hypertext Transfer Protocol (HTTP) Authentication Scheme Registrations</t>
  </si>
  <si>
    <t>https://www.rfc-editor.org/rfc/rfc7236.txt</t>
  </si>
  <si>
    <t>https://www.rfc-editor.org/rfc/rfc7236.html</t>
  </si>
  <si>
    <t>Initial Hypertext Transfer Protocol (HTTP) Method Registrations</t>
  </si>
  <si>
    <t>https://www.rfc-editor.org/rfc/rfc7237.txt</t>
  </si>
  <si>
    <t>https://www.rfc-editor.org/rfc/rfc7237.html</t>
  </si>
  <si>
    <t>appsawg WG</t>
  </si>
  <si>
    <t>ART Area General Applications working group</t>
  </si>
  <si>
    <t>https://datatracker.ietf.org/wg/appsawg/about/</t>
  </si>
  <si>
    <t>2010-10-26</t>
  </si>
  <si>
    <t>2017-07-06</t>
  </si>
  <si>
    <t>httpauth WG</t>
  </si>
  <si>
    <t>Hypertext Transfer Protocol Authentication working group</t>
  </si>
  <si>
    <t>https://datatracker.ietf.org/wg/httpauth/about/</t>
  </si>
  <si>
    <t>2017-02-01</t>
  </si>
  <si>
    <t>Start date unclear</t>
  </si>
  <si>
    <t>2012</t>
  </si>
  <si>
    <t>xmpp WG</t>
  </si>
  <si>
    <t>Extensible Messaging and Presence Protocol working group</t>
  </si>
  <si>
    <t>https://datatracker.ietf.org/wg/xmpp/about/</t>
  </si>
  <si>
    <t>2009-05-29</t>
  </si>
  <si>
    <t>2015-09-14</t>
  </si>
  <si>
    <t>quic WG</t>
  </si>
  <si>
    <t>QUIC working group</t>
  </si>
  <si>
    <t>https://datatracker.ietf.org/wg/quic/about/</t>
  </si>
  <si>
    <t>2016-10-04</t>
  </si>
  <si>
    <t>RFC6068</t>
  </si>
  <si>
    <t>The 'mailto' URI Scheme</t>
  </si>
  <si>
    <t>2010-10-04</t>
  </si>
  <si>
    <t>https://www.rfc-editor.org/rfc/rfc6068.txt</t>
  </si>
  <si>
    <t>https://www.rfc-editor.org/rfc/rfc6068.html</t>
  </si>
  <si>
    <t>noReview; refonly; relComplete</t>
  </si>
  <si>
    <t>noReview; refonly</t>
  </si>
  <si>
    <t>IETF Datatracker</t>
  </si>
  <si>
    <t>https://datatracker.ietf.org/doc/rfc20/</t>
  </si>
  <si>
    <t>https://datatracker.ietf.org/doc/rfc2279/</t>
  </si>
  <si>
    <t>https://datatracker.ietf.org/doc/rfc3629/</t>
  </si>
  <si>
    <t>https://datatracker.ietf.org/doc/rfc3268/</t>
  </si>
  <si>
    <t>https://datatracker.ietf.org/doc/rfc3546/</t>
  </si>
  <si>
    <t>https://datatracker.ietf.org/doc/rfc3749/</t>
  </si>
  <si>
    <t>https://datatracker.ietf.org/doc/rfc4366/</t>
  </si>
  <si>
    <t>https://datatracker.ietf.org/doc/rfc4507/</t>
  </si>
  <si>
    <t>https://datatracker.ietf.org/doc/rfc4680/</t>
  </si>
  <si>
    <t>https://datatracker.ietf.org/doc/rfc4681/</t>
  </si>
  <si>
    <t>https://datatracker.ietf.org/doc/rfc5077/</t>
  </si>
  <si>
    <t>https://datatracker.ietf.org/doc/rfc5246/</t>
  </si>
  <si>
    <t>https://datatracker.ietf.org/doc/rfc5288/</t>
  </si>
  <si>
    <t>https://datatracker.ietf.org/doc/rfc5705/</t>
  </si>
  <si>
    <t>https://datatracker.ietf.org/doc/rfc5746/</t>
  </si>
  <si>
    <t>https://datatracker.ietf.org/doc/rfc6066/</t>
  </si>
  <si>
    <t>https://datatracker.ietf.org/doc/rfc6176/</t>
  </si>
  <si>
    <t>https://datatracker.ietf.org/doc/rfc6347/</t>
  </si>
  <si>
    <t>https://datatracker.ietf.org/doc/rfc6520/</t>
  </si>
  <si>
    <t>https://datatracker.ietf.org/doc/rfc6961/</t>
  </si>
  <si>
    <t>https://datatracker.ietf.org/doc/rfc7301/</t>
  </si>
  <si>
    <t>https://datatracker.ietf.org/doc/rfc7465/</t>
  </si>
  <si>
    <t>https://datatracker.ietf.org/doc/rfc7507/</t>
  </si>
  <si>
    <t>https://datatracker.ietf.org/doc/rfc7568/</t>
  </si>
  <si>
    <t>https://datatracker.ietf.org/doc/rfc7627/</t>
  </si>
  <si>
    <t>https://datatracker.ietf.org/doc/rfc7685/</t>
  </si>
  <si>
    <t>https://datatracker.ietf.org/doc/rfc7905/</t>
  </si>
  <si>
    <t>https://datatracker.ietf.org/doc/rfc7919/</t>
  </si>
  <si>
    <t>https://datatracker.ietf.org/doc/rfc8422/</t>
  </si>
  <si>
    <t>https://datatracker.ietf.org/doc/rfc8446/</t>
  </si>
  <si>
    <t>https://datatracker.ietf.org/doc/rfc8447/</t>
  </si>
  <si>
    <t>https://datatracker.ietf.org/doc/rfc8449/</t>
  </si>
  <si>
    <t>https://datatracker.ietf.org/doc/rfc9146/</t>
  </si>
  <si>
    <t>https://datatracker.ietf.org/doc/rfc9147/</t>
  </si>
  <si>
    <t>https://datatracker.ietf.org/doc/rfc9155/</t>
  </si>
  <si>
    <t>https://datatracker.ietf.org/doc/rfc1738/</t>
  </si>
  <si>
    <t>https://datatracker.ietf.org/doc/rfc1808/</t>
  </si>
  <si>
    <t>https://datatracker.ietf.org/doc/rfc2068/</t>
  </si>
  <si>
    <t>https://datatracker.ietf.org/doc/rfc2069/</t>
  </si>
  <si>
    <t>https://datatracker.ietf.org/doc/rfc2368/</t>
  </si>
  <si>
    <t>https://datatracker.ietf.org/doc/rfc2396/</t>
  </si>
  <si>
    <t>https://datatracker.ietf.org/doc/rfc2616/</t>
  </si>
  <si>
    <t>https://datatracker.ietf.org/doc/rfc2617/</t>
  </si>
  <si>
    <t>https://datatracker.ietf.org/doc/rfc2732/</t>
  </si>
  <si>
    <t>https://datatracker.ietf.org/doc/rfc2817/</t>
  </si>
  <si>
    <t>https://datatracker.ietf.org/doc/rfc3986/</t>
  </si>
  <si>
    <t>https://datatracker.ietf.org/doc/rfc2044/</t>
  </si>
  <si>
    <t>https://datatracker.ietf.org/doc/rfc6101/</t>
  </si>
  <si>
    <t>https://datatracker.ietf.org/doc/rfc2246/</t>
  </si>
  <si>
    <t>https://datatracker.ietf.org/doc/rfc4346/</t>
  </si>
  <si>
    <t>https://datatracker.ietf.org/doc/rfc4347/</t>
  </si>
  <si>
    <t>https://datatracker.ietf.org/doc/rfc4492/</t>
  </si>
  <si>
    <t>https://datatracker.ietf.org/doc/rfc5469/</t>
  </si>
  <si>
    <t>https://datatracker.ietf.org/doc/rfc5878/</t>
  </si>
  <si>
    <t>https://datatracker.ietf.org/doc/rfc7027/</t>
  </si>
  <si>
    <t>https://datatracker.ietf.org/doc/rfc7525/</t>
  </si>
  <si>
    <t>https://datatracker.ietf.org/doc/rfc8996/</t>
  </si>
  <si>
    <t>https://datatracker.ietf.org/doc/rfc9325/</t>
  </si>
  <si>
    <t>https://datatracker.ietf.org/doc/rfc1041/</t>
  </si>
  <si>
    <t>https://datatracker.ietf.org/doc/rfc1945/</t>
  </si>
  <si>
    <t>https://datatracker.ietf.org/doc/rfc2145/</t>
  </si>
  <si>
    <t>https://datatracker.ietf.org/doc/rfc2355/</t>
  </si>
  <si>
    <t>https://datatracker.ietf.org/doc/rfc2717/</t>
  </si>
  <si>
    <t>https://datatracker.ietf.org/doc/rfc2718/</t>
  </si>
  <si>
    <t>https://datatracker.ietf.org/doc/rfc2818/</t>
  </si>
  <si>
    <t>https://datatracker.ietf.org/doc/rfc3864/</t>
  </si>
  <si>
    <t>https://datatracker.ietf.org/doc/rfc4007/</t>
  </si>
  <si>
    <t>https://datatracker.ietf.org/doc/rfc4248/</t>
  </si>
  <si>
    <t>https://datatracker.ietf.org/doc/rfc4266/</t>
  </si>
  <si>
    <t>https://datatracker.ietf.org/doc/rfc4395/</t>
  </si>
  <si>
    <t>https://datatracker.ietf.org/doc/rfc5785/</t>
  </si>
  <si>
    <t>https://datatracker.ietf.org/doc/rfc6068/</t>
  </si>
  <si>
    <t>https://datatracker.ietf.org/doc/rfc6196/</t>
  </si>
  <si>
    <t>https://datatracker.ietf.org/doc/rfc6266/</t>
  </si>
  <si>
    <t>https://datatracker.ietf.org/doc/rfc6270/</t>
  </si>
  <si>
    <t>https://datatracker.ietf.org/doc/rfc6585/</t>
  </si>
  <si>
    <t>https://datatracker.ietf.org/doc/rfc6874/</t>
  </si>
  <si>
    <t>https://datatracker.ietf.org/doc/rfc7230/</t>
  </si>
  <si>
    <t>https://datatracker.ietf.org/doc/rfc7231/</t>
  </si>
  <si>
    <t>https://datatracker.ietf.org/doc/rfc7232/</t>
  </si>
  <si>
    <t>https://datatracker.ietf.org/doc/rfc7233/</t>
  </si>
  <si>
    <t>https://datatracker.ietf.org/doc/rfc7234/</t>
  </si>
  <si>
    <t>https://datatracker.ietf.org/doc/rfc7235/</t>
  </si>
  <si>
    <t>https://datatracker.ietf.org/doc/rfc7236/</t>
  </si>
  <si>
    <t>https://datatracker.ietf.org/doc/rfc7237/</t>
  </si>
  <si>
    <t>https://datatracker.ietf.org/doc/rfc7238/</t>
  </si>
  <si>
    <t>https://datatracker.ietf.org/doc/rfc7320/</t>
  </si>
  <si>
    <t>https://datatracker.ietf.org/doc/rfc7538/</t>
  </si>
  <si>
    <t>https://datatracker.ietf.org/doc/rfc7540/</t>
  </si>
  <si>
    <t>https://datatracker.ietf.org/doc/rfc7595/</t>
  </si>
  <si>
    <t>https://datatracker.ietf.org/doc/rfc7615/</t>
  </si>
  <si>
    <t>https://datatracker.ietf.org/doc/rfc7616/</t>
  </si>
  <si>
    <t>https://datatracker.ietf.org/doc/rfc7617/</t>
  </si>
  <si>
    <t>https://datatracker.ietf.org/doc/rfc7622/</t>
  </si>
  <si>
    <t>https://datatracker.ietf.org/doc/rfc7694/</t>
  </si>
  <si>
    <t>https://datatracker.ietf.org/doc/rfc8089/</t>
  </si>
  <si>
    <t>https://datatracker.ietf.org/doc/rfc8615/</t>
  </si>
  <si>
    <t>https://datatracker.ietf.org/doc/rfc8740/</t>
  </si>
  <si>
    <t>https://datatracker.ietf.org/doc/rfc8820/</t>
  </si>
  <si>
    <t>https://datatracker.ietf.org/doc/rfc9110/</t>
  </si>
  <si>
    <t>https://datatracker.ietf.org/doc/rfc9111/</t>
  </si>
  <si>
    <t>https://datatracker.ietf.org/doc/rfc9112/</t>
  </si>
  <si>
    <t>https://datatracker.ietf.org/doc/rfc9113/</t>
  </si>
  <si>
    <t>https://datatracker.ietf.org/doc/rfc9114/</t>
  </si>
  <si>
    <t>https://datatracker.ietf.org/doc/rfc9844/</t>
  </si>
  <si>
    <t>https://datatracker.ietf.org/doc/draft-hickman-netscape-ssl/00/</t>
  </si>
  <si>
    <t>https://datatracker.ietf.org/doc/html/draft-hickman-netscape-ssl-00</t>
  </si>
  <si>
    <t>Column Labels</t>
  </si>
  <si>
    <t>(blank)</t>
  </si>
  <si>
    <t>Grand Total</t>
  </si>
  <si>
    <t>Row Labels</t>
  </si>
  <si>
    <t>Count of sourceNodeValue</t>
  </si>
  <si>
    <t>formatId</t>
  </si>
  <si>
    <t>formatType</t>
  </si>
  <si>
    <t>characterEncoding</t>
  </si>
  <si>
    <t>UTF-8</t>
  </si>
  <si>
    <t>Unicode Character Encoding Forms</t>
  </si>
  <si>
    <t>Superset of Unicode encoding schemes</t>
  </si>
  <si>
    <t>UTF-32</t>
  </si>
  <si>
    <t>UTF-32BE</t>
  </si>
  <si>
    <t>UTF-32LE</t>
  </si>
  <si>
    <t>UTF-16</t>
  </si>
  <si>
    <t>UTF-16BE</t>
  </si>
  <si>
    <t>UTF-16LE</t>
  </si>
  <si>
    <t>American Standard Code for Information Interchange (7-bit code unit)</t>
  </si>
  <si>
    <t>ISO/IEC 646 IRV</t>
  </si>
  <si>
    <t>ISO/IEC 646 International Reference Version</t>
  </si>
  <si>
    <t>Formerly known as Internation Alphabet 5 (IA5)</t>
  </si>
  <si>
    <t>ASN.1</t>
  </si>
  <si>
    <t>ASN.1 BER</t>
  </si>
  <si>
    <t>ASN.1 DER</t>
  </si>
  <si>
    <t>JSON</t>
  </si>
  <si>
    <t>CBOR</t>
  </si>
  <si>
    <t>PEM</t>
  </si>
  <si>
    <t>dataEncoding</t>
  </si>
  <si>
    <t>XML</t>
  </si>
  <si>
    <t>JSONC</t>
  </si>
  <si>
    <t>JSON5</t>
  </si>
  <si>
    <t>JSONL</t>
  </si>
  <si>
    <t>Hypertext Markup Language</t>
  </si>
  <si>
    <t>JavaScript Object Notation</t>
  </si>
  <si>
    <t>JavaScript Object Notation - Lines</t>
  </si>
  <si>
    <t>JavaScript Object Notation with Comments</t>
  </si>
  <si>
    <t>JSON5 Data Interchange Format</t>
  </si>
  <si>
    <t>Extended JSON with features from EcmaScript 5.1 || Informally known as 'JSON for Humans'</t>
  </si>
  <si>
    <t>Concise Binary Object Representation</t>
  </si>
  <si>
    <t>binaryEncoding</t>
  </si>
  <si>
    <t>32-bit fixed code unit, endian-neutral, BOM allowed</t>
  </si>
  <si>
    <t>32-bit fixed code unit, big-endian, BOM prohibited</t>
  </si>
  <si>
    <t>32-bit fixed code unit, little-endian, BOM prohibited</t>
  </si>
  <si>
    <t>16-bit code unit, 2 code units max per character, endian-neutral, BOM allowed</t>
  </si>
  <si>
    <t>16-bit code unit, 2 code units max per character, big-endian, BOM prohibited</t>
  </si>
  <si>
    <t>16-bit code unit, 2 code units max per character, little-endian, BOM prohibited</t>
  </si>
  <si>
    <t>8-bit code unit, 4 code units max per character, BOM allowed</t>
  </si>
  <si>
    <t>UTF-32 big-endian</t>
  </si>
  <si>
    <t>UTF-32 little-endian</t>
  </si>
  <si>
    <t>UTF-16 big-endian</t>
  </si>
  <si>
    <t>UTF-16 little-endian</t>
  </si>
  <si>
    <t>interfaceLanguage</t>
  </si>
  <si>
    <t>Abstract Syntax Notation 1</t>
  </si>
  <si>
    <t>ASN.1 Basic Encoding Rules encoded data</t>
  </si>
  <si>
    <t>ASN.1 Distinguished Encoding Rules encoded data</t>
  </si>
  <si>
    <t>ASN.1 CER</t>
  </si>
  <si>
    <t>ASN.1 Canonical Encoding Rules encoding data</t>
  </si>
  <si>
    <t>Extensible Markup Language</t>
  </si>
  <si>
    <t>markupLanguage</t>
  </si>
  <si>
    <t>Base64</t>
  </si>
  <si>
    <t>Base64URL</t>
  </si>
  <si>
    <t>Base64 binary encoding (standard)</t>
  </si>
  <si>
    <t>Base64 binary encoding (URL and filename safe)</t>
  </si>
  <si>
    <t>Privacy Enhanced Mail derived data encoding structure</t>
  </si>
  <si>
    <t>Format</t>
  </si>
  <si>
    <t>ECMA-6 is an equivalent alternative to ISO/IEC 646</t>
  </si>
  <si>
    <t>ITU-T Rec. T.50 is an equivalent alternative to ISO/IEC 646</t>
  </si>
  <si>
    <t>ISO/IEC 10646 replicates the encoding forms of Unicode</t>
  </si>
  <si>
    <t>CCITT Rec. X.409 (1984)</t>
  </si>
  <si>
    <t>Message Handling Systems: Presentation Transfer Syntax and Notation [CCITT Rec. X.409 (1984)]</t>
  </si>
  <si>
    <t>https://search.itu.int/history/HistoryDigitalCollectionDocLibrary/4.259.43.en.1042.pdf</t>
  </si>
  <si>
    <t>CCITT Rec. X.208 (1988)</t>
  </si>
  <si>
    <t>CCITT Rec. X.209 (1988)</t>
  </si>
  <si>
    <t>1984-10-19</t>
  </si>
  <si>
    <t>1988-11-25</t>
  </si>
  <si>
    <t>https://www.itu.int/rec/T-REC-X.208-198811-W</t>
  </si>
  <si>
    <t>https://search.itu.int/history/HistoryDigitalCollectionDocLibrary/4.260.43.en.1052.pdf</t>
  </si>
  <si>
    <t>ITU-T Recommendation</t>
  </si>
  <si>
    <t>https://www.itu.int/rec/T-REC-X.209-198811-W</t>
  </si>
  <si>
    <t>Specification of Basic Encoding Rules for Abstract Syntax One (ASN.1) [CCITT Rec. X.209 (1988)]</t>
  </si>
  <si>
    <t>Specification of Abstract Syntax Notation One (ASN.1) [CCITT Rec. X.208 (1988)]</t>
  </si>
  <si>
    <t>ITU-T Rec. X.680 (07/1994)</t>
  </si>
  <si>
    <t>[Source] and [target] have the same technical meaning although the text is not identical. Referenced as "twinned" standards between ITU-T and ISO/IEC.</t>
  </si>
  <si>
    <t>[Source] and [target] have nearly identical text and the same technical meaning. Referenced as "common" standards between ITU-T and ISO/IEC.</t>
  </si>
  <si>
    <t>1994-07-01</t>
  </si>
  <si>
    <t>https://www.itu.int/rec/T-REC-X.680-199407-S</t>
  </si>
  <si>
    <t>Information Technology — Abstract Syntax Notation One (ASN.1): Specification of Basic Notation [ITU-T Rec. X.680 (07/1994)]</t>
  </si>
  <si>
    <t>atlasCategory</t>
  </si>
  <si>
    <t>characterSet</t>
  </si>
  <si>
    <t>Edition 1</t>
  </si>
  <si>
    <t>Edition 2</t>
  </si>
  <si>
    <t>Edition 3</t>
  </si>
  <si>
    <t>Edition 4</t>
  </si>
  <si>
    <t>Edition 5</t>
  </si>
  <si>
    <t>Edition 6</t>
  </si>
  <si>
    <t>ASCII</t>
  </si>
  <si>
    <t>UNICODE</t>
  </si>
  <si>
    <t>DOCUMENTATION SUPPORT</t>
  </si>
  <si>
    <t>https://datatracker.ietf.org/doc/rfc8174/</t>
  </si>
  <si>
    <t>https://datatracker.ietf.org/doc/rfc2119/</t>
  </si>
  <si>
    <t>RFC2234</t>
  </si>
  <si>
    <t>1997-11-01</t>
  </si>
  <si>
    <t>https://www.rfc-editor.org/rfc/rfc2234.txt</t>
  </si>
  <si>
    <t>https://www.rfc-editor.org/rfc/rfc2234.html</t>
  </si>
  <si>
    <t>https://datatracker.ietf.org/doc/rfc2234/</t>
  </si>
  <si>
    <t>RFC4234</t>
  </si>
  <si>
    <t>RFC733</t>
  </si>
  <si>
    <t>RFC822</t>
  </si>
  <si>
    <t>drums WG</t>
  </si>
  <si>
    <t>Detailed Revision/Update of Message Standards working group</t>
  </si>
  <si>
    <t>https://datatracker.ietf.org/wg/drums/about/</t>
  </si>
  <si>
    <t>1995-05-18</t>
  </si>
  <si>
    <t>2001-04-26</t>
  </si>
  <si>
    <t>2005-10-04</t>
  </si>
  <si>
    <t>https://www.rfc-editor.org/rfc/rfc4234.txt</t>
  </si>
  <si>
    <t>https://www.rfc-editor.org/rfc/rfc4234.html</t>
  </si>
  <si>
    <t>https://datatracker.ietf.org/doc/rfc4234/</t>
  </si>
  <si>
    <t>Does not include appendices</t>
  </si>
  <si>
    <t>Open Group</t>
  </si>
  <si>
    <t>The Open Group</t>
  </si>
  <si>
    <t>https://www.opengroup.org</t>
  </si>
  <si>
    <t>1996</t>
  </si>
  <si>
    <t>Reorganized from X/Open and Open Software Foundation</t>
  </si>
  <si>
    <t>X/Open (Open Group)</t>
  </si>
  <si>
    <t>Reorganized into The Open Group with Open Software Foundation</t>
  </si>
  <si>
    <t>BISON (Open Group)</t>
  </si>
  <si>
    <t>Open Group for Unix Systems</t>
  </si>
  <si>
    <t>X/Open Company</t>
  </si>
  <si>
    <t>Reorganized into X/Open Company</t>
  </si>
  <si>
    <t>OSF (Open Group)</t>
  </si>
  <si>
    <t>Open Software Foundation</t>
  </si>
  <si>
    <t>Reorganized into The Open Group with X/Open Company</t>
  </si>
  <si>
    <t>File System Safe UCS Transformation Format (UTF-8), part of X/Open CAE Specification</t>
  </si>
  <si>
    <t>1995-03</t>
  </si>
  <si>
    <t>https://archive.opengroup.org/pubs/archive/CDROM/c501.pdf</t>
  </si>
  <si>
    <t>FSS UTF-8 originates the format prior to inclusion in Unicode</t>
  </si>
  <si>
    <t>X/Open FSS UTF</t>
  </si>
  <si>
    <t>Intermediate Character Sets</t>
  </si>
  <si>
    <t>ISO 2022:1973</t>
  </si>
  <si>
    <t>ISO 2022:1982</t>
  </si>
  <si>
    <t>ISO 2022:1986</t>
  </si>
  <si>
    <t>ISO/IEC 2022:1994</t>
  </si>
  <si>
    <t>ISO/IEC 2022:1994/Cor 1:1999</t>
  </si>
  <si>
    <t>Information technology — Character code structure and extension techniques</t>
  </si>
  <si>
    <t>Information processing — ISO 7-bit and 8-bit coded character sets — Code extension techniques [ISO 2022:1982]</t>
  </si>
  <si>
    <t>Information processing — ISO 7-bit and 8-bit coded character sets — Code extension techniques [ISO 2022:1986]</t>
  </si>
  <si>
    <t>Information technology — Character code structure and extension techniques [ISO/IEC 2022:1994]</t>
  </si>
  <si>
    <t>Information technology — Character code structure and extension techniques — Technical Corrigendum 1 [ISO/IEC 2022:1994/Cor 1:1999]</t>
  </si>
  <si>
    <t>Information processing — Code extension techniques for use with the ISO 7-bit coded character set [ISO 2022:1973]</t>
  </si>
  <si>
    <t>1982-12</t>
  </si>
  <si>
    <t>1986-05</t>
  </si>
  <si>
    <t>1994-12</t>
  </si>
  <si>
    <t>1999-04</t>
  </si>
  <si>
    <t>https://www.iso.org/standard/22747.html</t>
  </si>
  <si>
    <t>https://www.iso.org/standard/31104.html</t>
  </si>
  <si>
    <t>ECMA-35 (12/1971)</t>
  </si>
  <si>
    <t>ECMA-35 (01/1980)</t>
  </si>
  <si>
    <t>ECMA-35 (01/1982)</t>
  </si>
  <si>
    <t>ECMA-35 (06/1993)</t>
  </si>
  <si>
    <t>ECMA-35 (03/1985)</t>
  </si>
  <si>
    <t>ECMA-35 (12/1994)</t>
  </si>
  <si>
    <t>Edition 0</t>
  </si>
  <si>
    <t>Character Code Structure and Extension Techniques</t>
  </si>
  <si>
    <t>Extension of the 7-bit Coded Character Set [ECMA-35 (12/1971)]</t>
  </si>
  <si>
    <t>Extension of the 7-bit Coded Character Set [ECMA-35 (01/1980)]</t>
  </si>
  <si>
    <t>Code Extension Techniques [ECMA-35 (01/1982)]</t>
  </si>
  <si>
    <t>Code Extension Techniques [ECMA-35 (03/1985)]</t>
  </si>
  <si>
    <t>Character Code Structure and Extension Techniques [ECMA-35 (06/1993)]</t>
  </si>
  <si>
    <t>Character Code Structure and Extension Techniques [ECMA-35 (12/1994)]</t>
  </si>
  <si>
    <t>1971-12</t>
  </si>
  <si>
    <t>1980-01</t>
  </si>
  <si>
    <t>1982-01</t>
  </si>
  <si>
    <t>https://ecma-international.org/wp-content/uploads/ECMA-35_1st_edition_december_1971.pdf</t>
  </si>
  <si>
    <t>https://ecma-international.org/wp-content/uploads/ECMA-35_2nd_edition_january_1980.pdf</t>
  </si>
  <si>
    <t>https://ecma-international.org/wp-content/uploads/ECMA-35_3rd_edition_january_1982.pdf</t>
  </si>
  <si>
    <t>https://ecma-international.org/wp-content/uploads/ECMA-35_4th_edition_march_1985.pdf</t>
  </si>
  <si>
    <t>https://ecma-international.org/wp-content/uploads/ECMA-35_6th_edition_december_1994.pdf</t>
  </si>
  <si>
    <t>ISO/IEC 4873</t>
  </si>
  <si>
    <t>ISO/IEC 6429</t>
  </si>
  <si>
    <t>ISO/IEC 6937</t>
  </si>
  <si>
    <t>ISO/IEC 8859</t>
  </si>
  <si>
    <t>ISO 4873:1979</t>
  </si>
  <si>
    <t>ISO 4873:1979/Amd 1:1980</t>
  </si>
  <si>
    <t>ISO 4873:1986</t>
  </si>
  <si>
    <t>ISO/IEC 4873:1991</t>
  </si>
  <si>
    <t>Edition 8</t>
  </si>
  <si>
    <t>Information technology — ISO 8-bit code for information interchange — Structure and rules for implementation</t>
  </si>
  <si>
    <t>Information processing — 8- bit coded character set for information interchange [ISO 4873:1979]</t>
  </si>
  <si>
    <t>Information processing — 8- bit coded character set for information interchange — Amendment 1 [ISO 4873:1979/Amd 1:1980]</t>
  </si>
  <si>
    <t>Information processing — ISO 8-bit code for information interchange — Structure and rules for implementation [ISO 4873:1986]</t>
  </si>
  <si>
    <t>Information technology — ISO 8-bit code for information interchange — Structure and rules for implementation [ISO/IEC 4873:1991]</t>
  </si>
  <si>
    <t>1979-02</t>
  </si>
  <si>
    <t>1980-07</t>
  </si>
  <si>
    <t>1986-07</t>
  </si>
  <si>
    <t>https://www.iso.org/standard/10859.html</t>
  </si>
  <si>
    <t>ECMA-43 (12/1985)</t>
  </si>
  <si>
    <t>ECMA-43 (12/1974)</t>
  </si>
  <si>
    <t>ECMA-43 (12/1991)</t>
  </si>
  <si>
    <t>8-Bit Coded Character Set Structure and Rules</t>
  </si>
  <si>
    <t>1974-12</t>
  </si>
  <si>
    <t>1985-12</t>
  </si>
  <si>
    <t>8-Bit Coded Character Set [ECMA-43 (12/1974)]</t>
  </si>
  <si>
    <t>8-Bit Coded Character Set Structure and Rules [ECMA-43 (12/1985)]</t>
  </si>
  <si>
    <t>8-Bit Coded Character Set Structure and Rules [ECMA-43 (12/1991)]</t>
  </si>
  <si>
    <t>https://ecma-international.org/wp-content/uploads/ECMA-43_1st_edition_december_1974.pdf</t>
  </si>
  <si>
    <t>https://ecma-international.org/wp-content/uploads/ECMA-43_2nd_edition_december_1985.pdf</t>
  </si>
  <si>
    <t>https://ecma-international.org/wp-content/uploads/ECMA-43_3rd_edition_december_1991.pdf</t>
  </si>
  <si>
    <t>ISO 2375:1974</t>
  </si>
  <si>
    <t>ISO 2375:1980</t>
  </si>
  <si>
    <t>ISO 2375:1985</t>
  </si>
  <si>
    <t>ISO/IEC 2375:2003</t>
  </si>
  <si>
    <t>ISO/IEC TR 2375:2024</t>
  </si>
  <si>
    <t>Information technology – Registered escape sequences and coded character sets</t>
  </si>
  <si>
    <t>Data processing — Procedure for registration of escape sequences [ISO 2375:1974]</t>
  </si>
  <si>
    <t>Data processing — Procedure for registration of escape sequences [ISO 2375:1980]</t>
  </si>
  <si>
    <t>Data processing — Procedure for registration of escape sequences [ISO 2375:1985]</t>
  </si>
  <si>
    <t>Information technology — Procedure for registration of escape sequences and coded character sets [ISO/IEC 2375:2003]</t>
  </si>
  <si>
    <t>Information technology – Registered escape sequences and coded character sets [ISO/IEC TR 2375:2024]</t>
  </si>
  <si>
    <t>Technical Report</t>
  </si>
  <si>
    <t>1974-07</t>
  </si>
  <si>
    <t>1985-11</t>
  </si>
  <si>
    <t>2003-02</t>
  </si>
  <si>
    <t>2024-07</t>
  </si>
  <si>
    <t>https://www.iso.org/standard/85288.html</t>
  </si>
  <si>
    <t>ECMA-35</t>
  </si>
  <si>
    <t>https://ecma-international.org/publications-and-standards/standards/ecma-35/</t>
  </si>
  <si>
    <t>ISO/IEC 2022:1994 based on ECMA-35 (06/1993)</t>
  </si>
  <si>
    <t>ISO/IEC 2022</t>
  </si>
  <si>
    <t>ISO/IEC 2022:1994 (as amended)</t>
  </si>
  <si>
    <t>ISO/IEC 2375</t>
  </si>
  <si>
    <t>ECMA-43</t>
  </si>
  <si>
    <t>https://ecma-international.org/publications-and-standards/standards/ecma-43/</t>
  </si>
  <si>
    <t>ISO 4873:1979 (as amended)</t>
  </si>
  <si>
    <t>ECMA-48 (03/1976)</t>
  </si>
  <si>
    <t>ECMA-48 (06/1991)</t>
  </si>
  <si>
    <t>ECMA-48 (08/1979)</t>
  </si>
  <si>
    <t>ECMA-48 (03/1984)</t>
  </si>
  <si>
    <t>ECMA-48 (12/1986)</t>
  </si>
  <si>
    <t>Control Functions for Coded Character Sets</t>
  </si>
  <si>
    <t>ECMA-48</t>
  </si>
  <si>
    <t>https://ecma-international.org/publications-and-standards/standards/ecma-48/</t>
  </si>
  <si>
    <t>ISO 6429:1983</t>
  </si>
  <si>
    <t>ISO 6429:1988</t>
  </si>
  <si>
    <t>ISO/IEC 6429:1992</t>
  </si>
  <si>
    <t>Information technology — Control functions for coded character sets</t>
  </si>
  <si>
    <t>Additional Control Functions for Character-Imaging I/O Devices [ECMA-48 (03/1976)]</t>
  </si>
  <si>
    <t>Additional Control Functions for Character-Imaging I/O Devices [ECMA-48 (08/1979)]</t>
  </si>
  <si>
    <t>Additional Control Functions for Character-Imaging I/O Devices [ECMA-48 (03/1984)]</t>
  </si>
  <si>
    <t>Control Functions for Coded Character Sets [ECMA-48 (12/1986)]</t>
  </si>
  <si>
    <t>Control Functions for Coded Character Sets [ECMA-48 (06/1991)]</t>
  </si>
  <si>
    <t>Information processing — ISO 7-bit and 8-bit coded character sets — Additional control functions for character-imaging devices [ISO 6429:1983]</t>
  </si>
  <si>
    <t>Information processing — Control functions for 7-bit and 8-bit coded character sets [ISO 6429:1988]</t>
  </si>
  <si>
    <t>Information technology — Control functions for coded character sets [ISO/IEC 6429:1992]</t>
  </si>
  <si>
    <t>1976-03</t>
  </si>
  <si>
    <t>1979-08</t>
  </si>
  <si>
    <t>1984-03</t>
  </si>
  <si>
    <t>1986-12</t>
  </si>
  <si>
    <t>1991-06</t>
  </si>
  <si>
    <t>1983-05</t>
  </si>
  <si>
    <t>1992-12</t>
  </si>
  <si>
    <t>https://ecma-international.org/wp-content/uploads/ECMA-48_2nd_edition_august_1979.pdf</t>
  </si>
  <si>
    <t>https://ecma-international.org/wp-content/uploads/ECMA-48_3rd_edition_march_1984.pdf</t>
  </si>
  <si>
    <t>https://ecma-international.org/wp-content/uploads/ECMA-48_4th_edition_december_1986.pdf</t>
  </si>
  <si>
    <t>https://ecma-international.org/wp-content/uploads/ECMA-48_5th_edition_june_1991.pdf</t>
  </si>
  <si>
    <t>https://www.iso.org/standard/12782.html</t>
  </si>
  <si>
    <t>CCITT Rec. S.61 (11/1980)</t>
  </si>
  <si>
    <t>Character Repertoire and Coded Character Sets for the International Teletex Service [CCITT Rec. S.61 (11/1980)]</t>
  </si>
  <si>
    <t>https://search.itu.int/history/HistoryDigitalCollectionDocLibrary/4.258.43.en.1024.pdf</t>
  </si>
  <si>
    <t>Other URL is Fascicle VII.2 of the Yellow Book (1980), S.61 starts on page 70</t>
  </si>
  <si>
    <t>CCITT Rec. T.61 (10/1984)</t>
  </si>
  <si>
    <t>Character Repertoire and Coded Character Sets for the International Teletex Service [CCITT Rec. T.61 (11/1984)]</t>
  </si>
  <si>
    <t>Other URL is Fascicle VII.3 of the Red Book (1984), T.61 starts on page 165</t>
  </si>
  <si>
    <t>CCITT Rec. T.61 (11/1988)</t>
  </si>
  <si>
    <t>Character Repertoire and Coded Character Sets for the International Teletex Service [CCITT Rec. T.61 (10/1988)]</t>
  </si>
  <si>
    <t>Other URL is Fascicle VII.3 of the Blue Book (1988), T.61 starts on page 241</t>
  </si>
  <si>
    <t>https://www.itu.int/rec/T-REC-T.61-198811-S</t>
  </si>
  <si>
    <t>ITU-T Rec. T.61 (03/1993)</t>
  </si>
  <si>
    <t>Character Repertoire and Coded Character Sets for the International Teletex Service [ITU-T Rec. T.61 (03/1993)]</t>
  </si>
  <si>
    <t>1993-03</t>
  </si>
  <si>
    <t>Unpublished; Withdrawn</t>
  </si>
  <si>
    <t>ISO 6937-1:1983</t>
  </si>
  <si>
    <t>ISO 6937-2:1983</t>
  </si>
  <si>
    <t>ISO 6937-2:1983/Add 1:1989</t>
  </si>
  <si>
    <t>Information processing — Coded character sets for text communication — Part 2: Latin alphabetic and non-alphabetic graphic characters</t>
  </si>
  <si>
    <t>ISO/IEC 6937:1994</t>
  </si>
  <si>
    <t>Information technology — Coded graphic character set for text communication — Latin alphabet</t>
  </si>
  <si>
    <t>ISO/IEC 6937:2001</t>
  </si>
  <si>
    <t>Edition 7</t>
  </si>
  <si>
    <t>Information processing — Coded character sets for text communication — Part 1: General introduction [ISO 6937-1:1983]</t>
  </si>
  <si>
    <t>Information processing — Coded character sets for text communication — Part 2: Latin alphabetic and non-alphabetic graphic characters [ISO 6937-2:1983]</t>
  </si>
  <si>
    <t>Information processing — Coded character sets for text communication — Part 2: Latin alphabetic and non-alphabetic graphic characters — Addendum 1 [ISO 6937-2:1983/Add 1:1989]</t>
  </si>
  <si>
    <t>Information technology — Coded graphic character set for text communication — Latin alphabet [ISO/IEC 6937:1994]</t>
  </si>
  <si>
    <t>Information technology — Coded graphic character set for text communication — Latin alphabet [ISO/IEC 6937:2001]</t>
  </si>
  <si>
    <t>1983-11</t>
  </si>
  <si>
    <t>1983-12</t>
  </si>
  <si>
    <t>1989-04</t>
  </si>
  <si>
    <t>1994-06</t>
  </si>
  <si>
    <t>2001-12</t>
  </si>
  <si>
    <t>https://www.iso.org/standard/31393.html</t>
  </si>
  <si>
    <t>ISO 6937-2:1983 (as amended)</t>
  </si>
  <si>
    <t>CCITT Rec. T.51 (10/1984)</t>
  </si>
  <si>
    <t>Other URL is Fascicle VII.3 of the Red Book (1984), T.51 starts on page 139</t>
  </si>
  <si>
    <t>CCITT Rec. T.51 (11/1988)</t>
  </si>
  <si>
    <t>Other URL is Fascicle VII.3 of the Blue Book (1988), T.51 starts on page 196</t>
  </si>
  <si>
    <t>https://www.itu.int/rec/T-REC-T.51-198811-S</t>
  </si>
  <si>
    <t>Coded Character Sets for Telematic Services [CCITT Rec. T.51 (10/1984)]</t>
  </si>
  <si>
    <t>Coded Character Sets for Telematic Services [CCITT Rec. T.51 (11/1988)]</t>
  </si>
  <si>
    <t>https://www.itu.int/rec/T-REC-T.51-199209-I</t>
  </si>
  <si>
    <t>ITU-T Rec. T.51 (09/1992)/Amd 1 (08/1995)</t>
  </si>
  <si>
    <t>ITU-T Rec. T.51 (09/1992)</t>
  </si>
  <si>
    <t>Latin Based Coded Character Sets for Telematic Services [ITU-T Rec. T.51 (09/1992)]</t>
  </si>
  <si>
    <t>Latin Based Coded Character Sets for Telematic Services — Amendment 1 [ITU-T Rec. T.51 (09/1992)/Amd 1 (08/1995)]</t>
  </si>
  <si>
    <t>1995-08</t>
  </si>
  <si>
    <t>https://www.itu.int/rec/T-REC-T.51-199508-I!Amd1</t>
  </si>
  <si>
    <t>Latin Based Coded Character Sets for Telematic Services</t>
  </si>
  <si>
    <t>ITU-T Rec. T.51 (09/1992) (as amended)</t>
  </si>
  <si>
    <t>ITU-T Rec. T.51</t>
  </si>
  <si>
    <t>ITU-T Rec. T.50</t>
  </si>
  <si>
    <t>ITU-T SG 8 (1996)</t>
  </si>
  <si>
    <t>ISO 8859-1:1987</t>
  </si>
  <si>
    <t>ISO/IEC 8859-1:1998</t>
  </si>
  <si>
    <t>ISO 8859-2:1987</t>
  </si>
  <si>
    <t>ISO/IEC 8859-2:1999</t>
  </si>
  <si>
    <t>ISO 8859-3:1988</t>
  </si>
  <si>
    <t>ISO/IEC 8859-3:1999</t>
  </si>
  <si>
    <t>ISO 8859-4:1988</t>
  </si>
  <si>
    <t>ISO/IEC 8859-4:1998</t>
  </si>
  <si>
    <t>ISO/IEC 8859-5:1988</t>
  </si>
  <si>
    <t>ISO/IEC 8859-5:1999</t>
  </si>
  <si>
    <t>ISO 8859-6:1987</t>
  </si>
  <si>
    <t>ISO/IEC 8859-6:1999</t>
  </si>
  <si>
    <t>ISO 8859-7:1987</t>
  </si>
  <si>
    <t>ISO/IEC 8859-7:2003</t>
  </si>
  <si>
    <t>ISO 8859-8:1988</t>
  </si>
  <si>
    <t>ISO/IEC 8859-8:1999</t>
  </si>
  <si>
    <t>ISO/IEC 8859-9:1989</t>
  </si>
  <si>
    <t>ISO/IEC 8859-9:1999</t>
  </si>
  <si>
    <t>ISO/IEC 8859-10:1992</t>
  </si>
  <si>
    <t>ISO/IEC 8859-10:1998</t>
  </si>
  <si>
    <t>ISO/IEC 8859-11:2001</t>
  </si>
  <si>
    <t>ISO/IEC 8859-13:1998</t>
  </si>
  <si>
    <t>ISO/IEC 8859-14:1998</t>
  </si>
  <si>
    <t>ISO/IEC 8859-15:1999</t>
  </si>
  <si>
    <t>ISO/IEC 8859-16:2001</t>
  </si>
  <si>
    <t>Information processing — 8-bit single-byte coded graphic character sets — Part 1: Latin alphabet No. 1 [ISO 8859-1:1987]</t>
  </si>
  <si>
    <t>Information technology — 8-bit single-byte coded graphic character sets — Part 1: Latin alphabet No. 1 [ISO/IEC 8859-1:1998]</t>
  </si>
  <si>
    <t>Information processing — 8-bit single byte coded graphic character sets — Part 2: Latin alphabet No. 2 [ISO 8859-2:1987]</t>
  </si>
  <si>
    <t>Information technology — 8-bit single-byte coded graphic character sets — Part 2: Latin alphabet No. 2 [ISO/IEC 8859-2:1999]</t>
  </si>
  <si>
    <t>Information processing — 8-bit single-byte coded graphic character sets — Part 3: Latin alphabet No. 3 [ISO 8859-3:1988]</t>
  </si>
  <si>
    <t>Information technology — 8-bit single-byte coded graphic character sets — Part 3: Latin alphabet No. 3 [ISO/IEC 8859-3:1999]</t>
  </si>
  <si>
    <t>Information processing — 8-bit single-byte coded graphic character sets — Part 4: Latin alphabet No. 4 [ISO 8859-4:1988]</t>
  </si>
  <si>
    <t>Information technology — 8-bit single-byte coded graphic character sets — Part 4: Latin alphabet No. 4 [ISO/IEC 8859-4:1998]</t>
  </si>
  <si>
    <t>Information processing — 8-bit single-byte coded graphic character sets — Part 5: Latin/Cyrillic alphabet [ISO/IEC 8859-5:1988]</t>
  </si>
  <si>
    <t>Information technology — 8-bit single-byte coded graphic character sets — Part 5: Latin/Cyrillic alphabet [ISO/IEC 8859-5:1999]</t>
  </si>
  <si>
    <t>Information processing — 8-Bit single-byte coded graphic character sets — Part 6: Latin/Arabic alphabet [ISO 8859-6:1987]</t>
  </si>
  <si>
    <t>Information technology — 8-bit single-byte coded graphic character sets — Part 6: Latin/Arabic alphabet [ISO/IEC 8859-6:1999]</t>
  </si>
  <si>
    <t>Information processing — 8-bit single-byte coded graphic character sets — Part 7: Latin/Greek alphabet [ISO 8859-7:1987]</t>
  </si>
  <si>
    <t>Information technology — 8-bit single-byte coded graphic character sets — Part 7: Latin/Greek alphabet [ISO/IEC 8859-7:2003]</t>
  </si>
  <si>
    <t>Information processing — 8-bit single-byte coded graphic character sets — Part 8: Latin/Hebrew alphabet [ISO 8859-8:1988]</t>
  </si>
  <si>
    <t>Information technology — 8-bit single-byte coded graphic character sets — Part 8: Latin/Hebrew alphabet [ISO/IEC 8859-8:1999]</t>
  </si>
  <si>
    <t>Information processing — 8-bit single-byte coded graphic character sets — Part 9: Latin alphabet No. 5 [ISO/IEC 8859-9:1989]</t>
  </si>
  <si>
    <t>Information technology — 8-bit single-byte coded graphic character sets — Part 9: Latin alphabet No. 5 [ISO/IEC 8859-9:1999]</t>
  </si>
  <si>
    <t>Information technology — 8-Bit single-byte coded graphic character sets — Part 10: Latin alphabet No. 6 [ISO/IEC 8859-10:1992]</t>
  </si>
  <si>
    <t>Information technology — 8-bit single-byte coded graphic character sets — Part 10: Latin alphabet No. 6 [ISO/IEC 8859-10:1998]</t>
  </si>
  <si>
    <t>Information technology — 8-bit single-byte coded graphic character sets — Part 11: Latin/Thai alphabet [ISO/IEC 8859-11:2001]</t>
  </si>
  <si>
    <t>Information technology — 8-bit single-byte coded graphic character sets — Part 13: Latin alphabet No. 7 [ISO/IEC 8859-13:1998]</t>
  </si>
  <si>
    <t>Information technology — 8-bit single-byte coded graphic character sets — Part 14: Latin alphabet No. 8 (Celtic) [ISO/IEC 8859-14:1998]</t>
  </si>
  <si>
    <t>Information technology — 8-bit single-byte coded graphic character sets — Part 15: Latin alphabet No. 9 [ISO/IEC 8859-15:1999]</t>
  </si>
  <si>
    <t>Information technology — 8-bit single-byte coded graphic character sets — Part 16: Latin alphabet No. 10 [ISO/IEC 8859-16:2001]</t>
  </si>
  <si>
    <t>1987-02</t>
  </si>
  <si>
    <t>1998-04</t>
  </si>
  <si>
    <t>1999-01</t>
  </si>
  <si>
    <t>1988-03</t>
  </si>
  <si>
    <t>1988-12</t>
  </si>
  <si>
    <t>1987-07</t>
  </si>
  <si>
    <t>1987-11</t>
  </si>
  <si>
    <t>2003-10</t>
  </si>
  <si>
    <t>1988-06</t>
  </si>
  <si>
    <t>1989-05</t>
  </si>
  <si>
    <t>1999-03</t>
  </si>
  <si>
    <t>2001-07</t>
  </si>
  <si>
    <t>https://www.iso.org/standard/28245.html</t>
  </si>
  <si>
    <t>https://www.iso.org/standard/28246.html</t>
  </si>
  <si>
    <t>https://www.iso.org/standard/28248.html</t>
  </si>
  <si>
    <t>https://www.iso.org/standard/28249.html</t>
  </si>
  <si>
    <t>https://www.iso.org/standard/38580.html</t>
  </si>
  <si>
    <t>https://www.iso.org/standard/28252.html</t>
  </si>
  <si>
    <t>https://www.iso.org/standard/28253.html</t>
  </si>
  <si>
    <t>https://www.iso.org/standard/28254.html</t>
  </si>
  <si>
    <t>https://www.iso.org/standard/28263.html</t>
  </si>
  <si>
    <t>https://www.iso.org/standard/28265.html</t>
  </si>
  <si>
    <t>https://www.iso.org/standard/29505.html</t>
  </si>
  <si>
    <t>https://www.iso.org/standard/28247.html</t>
  </si>
  <si>
    <t>https://www.iso.org/standard/28250.html</t>
  </si>
  <si>
    <t>https://www.iso.org/standard/29630.html</t>
  </si>
  <si>
    <t>https://www.iso.org/standard/33428.html</t>
  </si>
  <si>
    <t>Information technology — 8-bit single-byte coded graphic character sets</t>
  </si>
  <si>
    <t>ISO/IEC 10367:1991</t>
  </si>
  <si>
    <t>ISO/IEC 10367:1991/Cor 1:2001</t>
  </si>
  <si>
    <t>Information technology — Standardized coded graphic character sets for use in 8-bit codes</t>
  </si>
  <si>
    <t>Information technology — Standardized coded graphic character sets for use in 8-bit codes [ISO/IEC 10367:1991]</t>
  </si>
  <si>
    <t>Information technology — Standardized coded graphic character sets for use in 8-bit codes — Technical Corrigendum 1 [ISO/IEC 10367:1991/Cor 1:2001]</t>
  </si>
  <si>
    <t>2001-06</t>
  </si>
  <si>
    <t>https://www.iso.org/standard/31394.html</t>
  </si>
  <si>
    <t>https://www.iso.org/standard/18428.html</t>
  </si>
  <si>
    <t>ISO/IEC 10367</t>
  </si>
  <si>
    <t>CCITT SG 8 (1980)</t>
  </si>
  <si>
    <t>ITU-T Rec. T.61</t>
  </si>
  <si>
    <t>Character Repertoire and Coded Character Sets for the International Teletex Service</t>
  </si>
  <si>
    <t>Standard for the Format of ARPA Network Text Messages</t>
  </si>
  <si>
    <t>RFC724</t>
  </si>
  <si>
    <t>Proposed Official Standard for the Format of ARPA Network Messages</t>
  </si>
  <si>
    <t>RFC - Unknown</t>
  </si>
  <si>
    <t>1977-05-12</t>
  </si>
  <si>
    <t>https://www.rfc-editor.org/rfc/rfc724.txt</t>
  </si>
  <si>
    <t>https://www.rfc-editor.org/rfc/rfc733.txt</t>
  </si>
  <si>
    <t>https://www.rfc-editor.org/rfc/rfc822.txt</t>
  </si>
  <si>
    <t>https://www.rfc-editor.org/rfc/rfc724.html</t>
  </si>
  <si>
    <t>https://datatracker.ietf.org/doc/rfc724/</t>
  </si>
  <si>
    <t>1977-11-21</t>
  </si>
  <si>
    <t>https://www.rfc-editor.org/rfc/rfc733.html</t>
  </si>
  <si>
    <t>https://datatracker.ietf.org/doc/rfc733/</t>
  </si>
  <si>
    <t>Standard for the Format of ARPA Internet Text Messages</t>
  </si>
  <si>
    <t>1982-08-13</t>
  </si>
  <si>
    <t>https://www.rfc-editor.org/rfc/rfc822.html</t>
  </si>
  <si>
    <t>https://datatracker.ietf.org/doc/rfc822/</t>
  </si>
  <si>
    <t>STD11</t>
  </si>
  <si>
    <t>STD 11</t>
  </si>
  <si>
    <t>https://www.rfc-editor.org/info/std11</t>
  </si>
  <si>
    <t>Format of Internet Text Messages</t>
  </si>
  <si>
    <t>RFC2822</t>
  </si>
  <si>
    <t>Internet Message Format</t>
  </si>
  <si>
    <t>2001-04-01</t>
  </si>
  <si>
    <t>https://www.rfc-editor.org/rfc/rfc2822.txt</t>
  </si>
  <si>
    <t>https://www.rfc-editor.org/rfc/rfc2822.html</t>
  </si>
  <si>
    <t>https://datatracker.ietf.org/doc/rfc2822/</t>
  </si>
  <si>
    <t>RFC5322</t>
  </si>
  <si>
    <t>2008-10-01</t>
  </si>
  <si>
    <t>https://www.rfc-editor.org/rfc/rfc5322.txt</t>
  </si>
  <si>
    <t>https://www.rfc-editor.org/rfc/rfc5322.html</t>
  </si>
  <si>
    <t>https://datatracker.ietf.org/doc/rfc5322/</t>
  </si>
  <si>
    <t>IETF GEN Area</t>
  </si>
  <si>
    <t>IETF General Area Group</t>
  </si>
  <si>
    <t>https://datatracker.ietf.org/group/gen/about/</t>
  </si>
  <si>
    <t>2002-11-17</t>
  </si>
  <si>
    <t>ABNF</t>
  </si>
  <si>
    <t>Augmented Backus-Naur Form</t>
  </si>
  <si>
    <t>2008-01-31</t>
  </si>
  <si>
    <t>https://datatracker.ietf.org/doc/rfc5234/</t>
  </si>
  <si>
    <t>RFC7405</t>
  </si>
  <si>
    <t>Case-Sensitive String Support in ABNF</t>
  </si>
  <si>
    <t>2014-12-23</t>
  </si>
  <si>
    <t>https://www.rfc-editor.org/rfc/rfc7405.txt</t>
  </si>
  <si>
    <t>https://www.rfc-editor.org/rfc/rfc7405.html</t>
  </si>
  <si>
    <t>https://datatracker.ietf.org/doc/rfc7405/</t>
  </si>
  <si>
    <t>messageFormat</t>
  </si>
  <si>
    <t>documentation</t>
  </si>
  <si>
    <t>Withdrawn 30 October 2002 || Other URL is Fascicle VIII.4 of the Blue Book (1988), X.209 starts on page 131</t>
  </si>
  <si>
    <t>Withdrawn 30 October 2002 || Other URL is Fascicle VIII.4 of the Blue Book (1988), X.208 starts on page 57</t>
  </si>
  <si>
    <t>Withdrawn August 1995</t>
  </si>
  <si>
    <t>ITU-T Rec. X.680 (07/1994)/Amd 1 (04/1995)</t>
  </si>
  <si>
    <t>Withdrawn; Obsoleted</t>
  </si>
  <si>
    <t>ISO 8824:1987</t>
  </si>
  <si>
    <t>ISO 8825:1987</t>
  </si>
  <si>
    <t>CCITT SG 7 (1984)</t>
  </si>
  <si>
    <t>CCITT Study Group VII (Study Period 1981-1984) - Data Communication Networks</t>
  </si>
  <si>
    <t>DATA ENCODING FORMATS</t>
  </si>
  <si>
    <t>ASN.1 (Legacy)</t>
  </si>
  <si>
    <t>Abstract Notation One (ASN.1) — 1984-1994</t>
  </si>
  <si>
    <t>Legacy versions of ASN.1 syntax</t>
  </si>
  <si>
    <t>Abstract Notation One (ASN.1)</t>
  </si>
  <si>
    <t>Modern version of ASN.1</t>
  </si>
  <si>
    <t>CCITT Study Group VII (Study Period 1985-1988) - Data Communication Networks</t>
  </si>
  <si>
    <t>CCITT SG 7 (1988)</t>
  </si>
  <si>
    <t>Replaced by X.208 and X.209 || Other URL is Fascicle VIII.7 of the Red Book (1984), X.409 starts on page 62</t>
  </si>
  <si>
    <t>LEGACY SPECS</t>
  </si>
  <si>
    <t>CCITT Rec. X.200</t>
  </si>
  <si>
    <t>ISO 7498</t>
  </si>
  <si>
    <t>CCITT Rec. X.216</t>
  </si>
  <si>
    <t>ISO 8822</t>
  </si>
  <si>
    <t>CCITT Rec. X.226</t>
  </si>
  <si>
    <t>ISO 8823</t>
  </si>
  <si>
    <t>ISO 3166</t>
  </si>
  <si>
    <t>ISO 2014:1976</t>
  </si>
  <si>
    <t>ISO/R 2014:1971</t>
  </si>
  <si>
    <t>Writing of Calendar Dates in All-Numeric Form [ISO/R 2014:1971]</t>
  </si>
  <si>
    <t>Writing of Calendar Dates in All-Numeric Form [ISO 2014:1976]</t>
  </si>
  <si>
    <t>ISO Recommendation</t>
  </si>
  <si>
    <t>1971-01</t>
  </si>
  <si>
    <t>1976-04-01</t>
  </si>
  <si>
    <t>ISO 8601</t>
  </si>
  <si>
    <t>Date and time — Representations for information interchange</t>
  </si>
  <si>
    <t>ISO TC 154</t>
  </si>
  <si>
    <t>ISO Technical Committee for Processes, Data Elements and Documents in Commerce, Industry and Administration</t>
  </si>
  <si>
    <t>https://www.iso.org/committee/53186.html</t>
  </si>
  <si>
    <t>ISO/R 2015:1971</t>
  </si>
  <si>
    <t>Numbering of Weeks [ISO/R 2015:1971]</t>
  </si>
  <si>
    <t>ISO 2015:1976</t>
  </si>
  <si>
    <t>Numbering of Weeks [ISO 2015:1976]</t>
  </si>
  <si>
    <t>1976-06-15</t>
  </si>
  <si>
    <t>ISO 2711:1973</t>
  </si>
  <si>
    <t>Information Processing Interchange — Representation of Ordinal Dates [ISO 2711:1973]</t>
  </si>
  <si>
    <t>1973-01-15</t>
  </si>
  <si>
    <t>ISO 3307:1975</t>
  </si>
  <si>
    <t>Information Interchange — Representations of Time of the Day [ISO 3307:1975]</t>
  </si>
  <si>
    <t>1975-03-15</t>
  </si>
  <si>
    <t>ISO 4031:1978</t>
  </si>
  <si>
    <t>Information Interchange — Representation of Local Time Differentials [ISO 4031:1978]</t>
  </si>
  <si>
    <t>1978-12-15</t>
  </si>
  <si>
    <t>https://www.iso.org/standard/963.html</t>
  </si>
  <si>
    <t>Request</t>
  </si>
  <si>
    <t>https://www.iso.org/standard/2823.html</t>
  </si>
  <si>
    <t>https://www.iso.org/standard/4776.html</t>
  </si>
  <si>
    <t>https://www.iso.org/standard/1920.html</t>
  </si>
  <si>
    <t>https://www.iso.org/standard/6790.html</t>
  </si>
  <si>
    <t>https://www.iso.org/standard/6791.html</t>
  </si>
  <si>
    <t>https://www.iso.org/standard/2089.html</t>
  </si>
  <si>
    <t>https://www.iso.org/standard/7216.html</t>
  </si>
  <si>
    <t>https://www.iso.org/standard/7217.html</t>
  </si>
  <si>
    <t>https://www.iso.org/standard/32184.html</t>
  </si>
  <si>
    <t>https://www.iso.org/standard/10857.html</t>
  </si>
  <si>
    <t>https://www.iso.org/standard/10860.html</t>
  </si>
  <si>
    <t>https://www.iso.org/standard/10858.html</t>
  </si>
  <si>
    <t>https://www.iso.org/standard/12780.html</t>
  </si>
  <si>
    <t>https://www.iso.org/standard/12781.html</t>
  </si>
  <si>
    <t>https://www.iso.org/standard/13466.html</t>
  </si>
  <si>
    <t>https://www.iso.org/standard/13467.html</t>
  </si>
  <si>
    <t>https://www.iso.org/standard/13468.html</t>
  </si>
  <si>
    <t>https://www.iso.org/standard/13465.html</t>
  </si>
  <si>
    <t>https://www.iso.org/standard/16338.html</t>
  </si>
  <si>
    <t>https://www.iso.org/standard/16339.html</t>
  </si>
  <si>
    <t>https://www.iso.org/standard/16340.html</t>
  </si>
  <si>
    <t>https://www.iso.org/standard/16341.html</t>
  </si>
  <si>
    <t>https://www.iso.org/standard/16342.html</t>
  </si>
  <si>
    <t>https://www.iso.org/standard/16343.html</t>
  </si>
  <si>
    <t>https://www.iso.org/standard/16344.html</t>
  </si>
  <si>
    <t>https://www.iso.org/standard/16345.html</t>
  </si>
  <si>
    <t>https://www.iso.org/standard/16346.html</t>
  </si>
  <si>
    <t>https://www.iso.org/standard/16347.html</t>
  </si>
  <si>
    <t>https://www.iso.org/standard/26625.html</t>
  </si>
  <si>
    <t>https://www.iso.org/standard/30523.html</t>
  </si>
  <si>
    <t>https://www.iso.org/standard/26222.html</t>
  </si>
  <si>
    <t>https://www.iso.org/standard/26223.html</t>
  </si>
  <si>
    <t>https://www.iso.org/standard/26224.html</t>
  </si>
  <si>
    <t>https://www.iso.org/standard/26225.html</t>
  </si>
  <si>
    <t>https://www.iso.org/standard/26674.html</t>
  </si>
  <si>
    <t>https://www.iso.org/standard/27768.html</t>
  </si>
  <si>
    <t>https://www.iso.org/standard/27769.html</t>
  </si>
  <si>
    <t>https://www.iso.org/standard/27770.html</t>
  </si>
  <si>
    <t>https://www.iso.org/standard/28896.html</t>
  </si>
  <si>
    <t>https://www.iso.org/standard/28838.html</t>
  </si>
  <si>
    <t>https://www.iso.org/standard/28839.html</t>
  </si>
  <si>
    <t>https://www.iso.org/standard/28840.html</t>
  </si>
  <si>
    <t>https://www.iso.org/standard/29504.html</t>
  </si>
  <si>
    <t>https://www.iso.org/standard/29663.html</t>
  </si>
  <si>
    <t>https://www.iso.org/standard/30602.html</t>
  </si>
  <si>
    <t>https://www.iso.org/standard/30120.html</t>
  </si>
  <si>
    <t>https://www.iso.org/standard/29664.html</t>
  </si>
  <si>
    <t>https://www.iso.org/standard/29665.html</t>
  </si>
  <si>
    <t>https://www.iso.org/standard/30257.html</t>
  </si>
  <si>
    <t>https://www.iso.org/standard/30655.html</t>
  </si>
  <si>
    <t>https://www.iso.org/standard/35027.html</t>
  </si>
  <si>
    <t>https://www.iso.org/standard/33208.html</t>
  </si>
  <si>
    <t>https://www.iso.org/standard/40755.html</t>
  </si>
  <si>
    <t>https://www.iso.org/standard/41419.html</t>
  </si>
  <si>
    <t>https://www.iso.org/standard/44871.html</t>
  </si>
  <si>
    <t>https://www.iso.org/standard/46311.html</t>
  </si>
  <si>
    <t>https://www.iso.org/standard/46577.html</t>
  </si>
  <si>
    <t>https://www.iso.org/standard/51272.html</t>
  </si>
  <si>
    <t>https://www.iso.org/standard/53440.html</t>
  </si>
  <si>
    <t>https://www.iso.org/standard/51273.html</t>
  </si>
  <si>
    <t>https://www.iso.org/standard/61712.html</t>
  </si>
  <si>
    <t>https://www.iso.org/standard/65047.html</t>
  </si>
  <si>
    <t>https://www.iso.org/standard/66791.html</t>
  </si>
  <si>
    <t>https://www.iso.org/standard/70766.html</t>
  </si>
  <si>
    <t>https://www.iso.org/standard/73773.html</t>
  </si>
  <si>
    <t>https://www.iso.org/standard/3315.html</t>
  </si>
  <si>
    <t>https://www.iso.org/standard/6781.html</t>
  </si>
  <si>
    <t>https://www.iso.org/standard/3316.html</t>
  </si>
  <si>
    <t>https://www.iso.org/standard/6782.html</t>
  </si>
  <si>
    <t>https://www.iso.org/standard/7679.html</t>
  </si>
  <si>
    <t>https://www.iso.org/standard/8554.html</t>
  </si>
  <si>
    <t>https://www.iso.org/standard/9722.html</t>
  </si>
  <si>
    <t>ISO 8601:1988</t>
  </si>
  <si>
    <t>1988-06-16</t>
  </si>
  <si>
    <t>ISO 8601:1988/Cor 1:1991</t>
  </si>
  <si>
    <t>1991-05-09</t>
  </si>
  <si>
    <t>https://www.iso.org/standard/15903.html</t>
  </si>
  <si>
    <t>https://www.iso.org/standard/15905.html</t>
  </si>
  <si>
    <t>ISO 8601:2000</t>
  </si>
  <si>
    <t>2000-12-21</t>
  </si>
  <si>
    <t>https://www.iso.org/standard/26780.html</t>
  </si>
  <si>
    <t>ISO 8601:2004</t>
  </si>
  <si>
    <t>2004-12-03</t>
  </si>
  <si>
    <t>https://www.iso.org/standard/40874.html</t>
  </si>
  <si>
    <t>ISO 8601-1:2019</t>
  </si>
  <si>
    <t>2019-02-25</t>
  </si>
  <si>
    <t>https://www.iso.org/standard/70907.html</t>
  </si>
  <si>
    <t>ISO 8601-1:2019/Amd 1:2022</t>
  </si>
  <si>
    <t>Data Elements and Interchange Formats — Information Interchange — Representation of Dates and Times [ISO 8601:1988]</t>
  </si>
  <si>
    <t>Data Elements and Interchange Formats — Information Interchange — Representation of Dates and Times — Technical Corrigendum 1 [ISO 8601:1988/Cor 1:1991]</t>
  </si>
  <si>
    <t>Data Elements and Interchange Formats — Information Interchange — Representation of Dates and Times [ISO 8601:2000]</t>
  </si>
  <si>
    <t>Data Elements and Interchange Formats — Information Interchange — Representation of Dates and Times [ISO 8601:2004]</t>
  </si>
  <si>
    <t>Date and Time — Representations for Information Interchange — Part 1: Basic Rules [ISO 8601-1:2019]</t>
  </si>
  <si>
    <t>Date and Time — Representations for Information Interchange — Part 1: Basic Rules — Amendment 1: Technical Corrections</t>
  </si>
  <si>
    <t>2022-10-25</t>
  </si>
  <si>
    <t>https://www.iso.org/standard/81801.html</t>
  </si>
  <si>
    <t>ISO 8601-2:2019</t>
  </si>
  <si>
    <t>Date and Time — Representations for Information Interchange — Part 2: Extensions [ISO 8601-2:2019]</t>
  </si>
  <si>
    <t>https://www.iso.org/standard/70908.html</t>
  </si>
  <si>
    <t>ISO 8601-2:2019/Amd 1:2025</t>
  </si>
  <si>
    <t>Date and Time — Representations for Information Interchange — Part 2: Extensions — Amendment 1: Canonical Expressions, Extensions to Time Scale Components and Date Time Arithmetic [ISO 8601-2:2019/Amd 1:2025]</t>
  </si>
  <si>
    <t>2025-01-10</t>
  </si>
  <si>
    <t>https://www.iso.org/standard/86124.html</t>
  </si>
  <si>
    <t>ISO 8601:1988 (as amended)</t>
  </si>
  <si>
    <t>ISO 8601-1:2019 (as amended)</t>
  </si>
  <si>
    <t>ISO 8601-2:2019 (as amended)</t>
  </si>
  <si>
    <t>Date and Time — Representations for Information Interchange [ISO 8601:2019]</t>
  </si>
  <si>
    <t>ISO 8601 divided into multiple parts in 2019 revision</t>
  </si>
  <si>
    <t>ISO 8601:2019 (parts 1-2)</t>
  </si>
  <si>
    <t>ISO 3166:1974</t>
  </si>
  <si>
    <t>ISO 3166:1988</t>
  </si>
  <si>
    <t>ISO 3166:1981</t>
  </si>
  <si>
    <t>ISO 3166:1993</t>
  </si>
  <si>
    <t>ISO 3166-1:1997</t>
  </si>
  <si>
    <t>ISO 3166-1:2006</t>
  </si>
  <si>
    <t>ISO 3166-1:2006/Cor 1:2007</t>
  </si>
  <si>
    <t>ISO 3166-1:2013</t>
  </si>
  <si>
    <t>ISO 3166-1:2020</t>
  </si>
  <si>
    <t>ISO 3166-2:1998</t>
  </si>
  <si>
    <t>ISO 3166-2:2007</t>
  </si>
  <si>
    <t>ISO 3166-2:2013</t>
  </si>
  <si>
    <t>ISO 3166-2:2020</t>
  </si>
  <si>
    <t>ISO 3166-3:1999</t>
  </si>
  <si>
    <t>ISO 3166-3:2013</t>
  </si>
  <si>
    <t>ISO 3166-3:2020</t>
  </si>
  <si>
    <t>Codes for the representation of names of countries [ISO 3166:1981]</t>
  </si>
  <si>
    <t>Codes for the representation of names of countries [ISO 3166:1988]</t>
  </si>
  <si>
    <t>Codes for the representation of names of countries [ISO 3166:1993]</t>
  </si>
  <si>
    <t>1981-05-01</t>
  </si>
  <si>
    <t>1988-08-18</t>
  </si>
  <si>
    <t>1993-12-23</t>
  </si>
  <si>
    <t>1974-12-15</t>
  </si>
  <si>
    <t>Codes for the representation of names of countries [ISO 3166:1974]</t>
  </si>
  <si>
    <t>https://www.iso.org/standard/2448.html</t>
  </si>
  <si>
    <t>https://www.iso.org/standard/8347.html</t>
  </si>
  <si>
    <t>https://www.iso.org/standard/8348.html</t>
  </si>
  <si>
    <t>https://www.iso.org/standard/22748.html</t>
  </si>
  <si>
    <t>ISO TC 46</t>
  </si>
  <si>
    <t>ISO Technical Committee for Information and Documentation</t>
  </si>
  <si>
    <t>https://www.iso.org/committee/48750.html</t>
  </si>
  <si>
    <t>1947</t>
  </si>
  <si>
    <t>Codes for the representation of names of countries and their subdivisions</t>
  </si>
  <si>
    <t>Codes for the Representation of Names of Countries and their Subdivisions — Part 1: Country Codes [ISO 3166-1:1997]</t>
  </si>
  <si>
    <t>Codes for the Representation of Names of Countries and their Subdivisions — Part 1: Country Codes [ISO 3166-1:2006]</t>
  </si>
  <si>
    <t>Codes for the Representation of Names of Countries and their Subdivisions — Part 1: Country Codes [ISO 3166-1:2013]</t>
  </si>
  <si>
    <t>Codes for the Representation of Names of Countries and their Subdivisions — Part 1: Country Codes — Technical Corrigendum 1 [ISO 3166-1:2006/Cor 1:2007]</t>
  </si>
  <si>
    <t>Codes for the Representation of Names of Countries and their Subdivisions — Part 1: Country Code [ISO 3166-1:2020]</t>
  </si>
  <si>
    <t>1997-09-25</t>
  </si>
  <si>
    <t>2006-11-20</t>
  </si>
  <si>
    <t>2007-07-11</t>
  </si>
  <si>
    <t>2013-11-19</t>
  </si>
  <si>
    <t>2020-08-25</t>
  </si>
  <si>
    <t>https://www.iso.org/standard/24591.html</t>
  </si>
  <si>
    <t>https://www.iso.org/standard/39719.html</t>
  </si>
  <si>
    <t>https://www.iso.org/standard/46123.html</t>
  </si>
  <si>
    <t>https://www.iso.org/standard/63545.html</t>
  </si>
  <si>
    <t>https://www.iso.org/standard/72482.html</t>
  </si>
  <si>
    <t>https://www.iso.org/iso-3166-country-codes.html</t>
  </si>
  <si>
    <t>Other URL provides access to the country code database in multiple formats</t>
  </si>
  <si>
    <t>ISO 3166-1:2006 (as amended)</t>
  </si>
  <si>
    <t>Codes for the Representation of Names of Countries and their Subdivisions — Part 2: Country Subdivision Code [ISO 3166-2:1998]</t>
  </si>
  <si>
    <t>Codes for the Representation of Names of Countries and their Subdivisions — Part 2: Country Subdivision Code [ISO 3166-2:2007]</t>
  </si>
  <si>
    <t>Codes for the Representation of Names of Countries and their Subdivisions — Part 2: Country Subdivision Code [ISO 3166-2:2013]</t>
  </si>
  <si>
    <t>Codes for the Representation of Names of Countries and their Subdivisions — Part 2: Country Subdivision Code [ISO 3166-2:2020]</t>
  </si>
  <si>
    <t>1998-12-20</t>
  </si>
  <si>
    <t>2007-12-13</t>
  </si>
  <si>
    <t>https://www.iso.org/standard/8349.html</t>
  </si>
  <si>
    <t>https://www.iso.org/standard/39718.html</t>
  </si>
  <si>
    <t>https://www.iso.org/standard/63546.html</t>
  </si>
  <si>
    <t>https://www.iso.org/standard/72483.html</t>
  </si>
  <si>
    <t>Codes for the Representation of Names of Countries and their Subdivisions — Part 3: Code for Formerly Used Names of Countries [ISO 3166-3:1999]</t>
  </si>
  <si>
    <t>Codes for the Representation of Names of Countries and their Subdivisions — Part 3: Code for Formerly Used Names of Countries [ISO 3166-3:2013]</t>
  </si>
  <si>
    <t>Codes for the Representation of Names of Countries and their Subdivisions — Part 3: Code for Formerly Used Names of Countries [ISO 3166-3:2020]</t>
  </si>
  <si>
    <t>1999-03-11</t>
  </si>
  <si>
    <t>https://www.iso.org/standard/2130.html</t>
  </si>
  <si>
    <t>https://www.iso.org/standard/63547.html</t>
  </si>
  <si>
    <t>https://www.iso.org/standard/72484.html</t>
  </si>
  <si>
    <t>ISO 6523:1984</t>
  </si>
  <si>
    <t>ISO 6523:1984/Amd 1:1994</t>
  </si>
  <si>
    <t>ISO/IEC 6523-1:1998</t>
  </si>
  <si>
    <t>ISO/IEC 6523-1:2023</t>
  </si>
  <si>
    <t>ISO/IEC 6523-2:1998</t>
  </si>
  <si>
    <t>ISO/IEC 6523-2:2025</t>
  </si>
  <si>
    <t>Edition 9</t>
  </si>
  <si>
    <t>Edition U</t>
  </si>
  <si>
    <t>Edition t</t>
  </si>
  <si>
    <t>Edition p</t>
  </si>
  <si>
    <t>Edition e</t>
  </si>
  <si>
    <t>Edition O</t>
  </si>
  <si>
    <t>Edition J</t>
  </si>
  <si>
    <t>Data Interchange — Structures for the Identification of Organizations [ISO 6523:1984]</t>
  </si>
  <si>
    <t>Data Interchange — Structures for the Identification of Organizations — Amendment 1 [ISO 6523:1984/Amd 1:1994]</t>
  </si>
  <si>
    <t>Information Technology — Structure for the Identification of Organizations and Organization Parts — Part 1: Identification of Organization Identification Schemes [ISO/IEC 6523-1:1998]</t>
  </si>
  <si>
    <t>Information Technology — Structure for the Identification of Organizations and Organization Parts — Part 1: Identification of Organization Identification Schemes [ISO/IEC 6523-1:2023]</t>
  </si>
  <si>
    <t>Information Technology — Structure for the Identification of Organizations and Organization Parts — Part 2: Registration of Organization Identification Schemes [ISO/IEC 6523-2:1998]</t>
  </si>
  <si>
    <t>Information Technology — Structure for the Identification of Organizations and Organization Parts — Part 2: Registration of Organization Identification Schemes [ISO/IEC 6523-2:2025]</t>
  </si>
  <si>
    <t>JTC1 SC 14</t>
  </si>
  <si>
    <t>JTC1 subcommittee - Data Elements (SC 14)</t>
  </si>
  <si>
    <t>Reorganized into JTC1 SC32</t>
  </si>
  <si>
    <t>JTC1 SC 32</t>
  </si>
  <si>
    <t>JTC1 subcommittee - Data Management and Interchange (SC 32)</t>
  </si>
  <si>
    <t>https://jtc1info.org/technology/subcommittees/data-mgmt-and-interchange/</t>
  </si>
  <si>
    <t>JTC1 SC 21</t>
  </si>
  <si>
    <t>JTC1 subcommittee - Upper Layers of OSI (SC 21)</t>
  </si>
  <si>
    <t>Portions reorganized into ISO/IEC JTC1 SC32 and SC33</t>
  </si>
  <si>
    <t>JTC1 SC 30</t>
  </si>
  <si>
    <t>JTC1 subcommittee - Open Electronic Data Interchange</t>
  </si>
  <si>
    <t>Portions reorganized into ISO/IEC JTC1 SC32</t>
  </si>
  <si>
    <t>Reorganized from portions of ISO/IEC JTC SC14, SC21, SC30</t>
  </si>
  <si>
    <t>1984-02-01</t>
  </si>
  <si>
    <t>1994-04-28</t>
  </si>
  <si>
    <t>2023-08-14</t>
  </si>
  <si>
    <t>2025-09-05</t>
  </si>
  <si>
    <t>https://www.iso.org/standard/12908.html</t>
  </si>
  <si>
    <t>https://www.iso.org/standard/22323.html</t>
  </si>
  <si>
    <t>https://www.iso.org/standard/25773.html</t>
  </si>
  <si>
    <t>https://www.iso.org/standard/82246.html</t>
  </si>
  <si>
    <t>https://www.iso.org/standard/25774.html</t>
  </si>
  <si>
    <t>https://www.iso.org/standard/89595.html</t>
  </si>
  <si>
    <t>Information Technology — Structure for the Identification of Organizations and Organization Parts</t>
  </si>
  <si>
    <t>ISO 6523:1984 (as amended)</t>
  </si>
  <si>
    <t>ISO/IEC 6523:1998(parts 1-2)</t>
  </si>
  <si>
    <t>Information Technology — Structure for the Identification of Organizations and Organization Parts [ISO/IEC 6523:1998]</t>
  </si>
  <si>
    <t>ISO/IEC 6523 divided into multiple parts in 1998 revision</t>
  </si>
  <si>
    <t>ISO/IEC 6523</t>
  </si>
  <si>
    <t>CCITT Rec. X.121 (09/1978)</t>
  </si>
  <si>
    <t>International Numbering Plan for Public Data Networks [CCITT Rec. X.121 (09/1978)]</t>
  </si>
  <si>
    <t>1978-09</t>
  </si>
  <si>
    <t>CCITT Rec. X.121 (11/1980)</t>
  </si>
  <si>
    <t>International Numbering Plan for Public Data Networks [CCITT Rec. X.121 (11/1980)]</t>
  </si>
  <si>
    <t>https://search.itu.int/history/HistoryDigitalCollectionDocLibrary/4.258.43.en.1027.pdf</t>
  </si>
  <si>
    <t>Other URL is Fascicle VIII.3 of the Yellow Book (1980), X.121 starts on page 245</t>
  </si>
  <si>
    <t>CCITT Rec. X.121 (10/1984)</t>
  </si>
  <si>
    <t>International Numbering Plan for Public Data Networks [CCITT Rec. X.121 (10/1984)]</t>
  </si>
  <si>
    <t>https://search.itu.int/history/HistoryDigitalCollectionDocLibrary/4.259.43.en.1039.pdf</t>
  </si>
  <si>
    <t>Other URL is Fascicle VIII.4 of the Red Book (1984), X.121 starts on page 269</t>
  </si>
  <si>
    <t>CCITT Rec. X.121 (11/1988)</t>
  </si>
  <si>
    <t>International Numbering Plan for Public Data Networks [CCITT Rec. X.121 (11/1988)]</t>
  </si>
  <si>
    <t>https://search.itu.int/history/HistoryDigitalCollectionDocLibrary/4.260.43.en.1051.pdf</t>
  </si>
  <si>
    <t>Other URL is Fascicle VIII.3 of the Blue Book (1988), X.121 starts on page 317</t>
  </si>
  <si>
    <t>https://www.itu.int/rec/T-REC-X.121-198811-S</t>
  </si>
  <si>
    <t>CCITT Rec. X.121 (09/1992)</t>
  </si>
  <si>
    <t>International Numbering Plan for Public Data Networks [CCITT Rec. X.121 (09/1992)]</t>
  </si>
  <si>
    <t>1992-09-10</t>
  </si>
  <si>
    <t>https://www.itu.int/rec/T-REC-X.121-199209-S</t>
  </si>
  <si>
    <t>ITU-T Rec. X.121 (10/1996)</t>
  </si>
  <si>
    <t>International Numbering Plan for Public Data Networks [ITU-T Rec. X.121 (10/1996)]</t>
  </si>
  <si>
    <t>1996-10-05</t>
  </si>
  <si>
    <t>https://www.itu.int/rec/T-REC-X.121-199610-S</t>
  </si>
  <si>
    <t>ITU-T Rec. X.121 (10/2000)</t>
  </si>
  <si>
    <t>International Numbering Plan for Public Data Networks [ITU-T Rec. X.121 (10/2000)]</t>
  </si>
  <si>
    <t>2000-10-06</t>
  </si>
  <si>
    <t>https://www.itu.int/rec/T-REC-X.121-200010-I</t>
  </si>
  <si>
    <t/>
  </si>
  <si>
    <t>CCITT SG 7 (1980)</t>
  </si>
  <si>
    <t>CCITT SG 7 (1992)</t>
  </si>
  <si>
    <t>CCITT Study Group VII (Study Period 1989-1992) - Data Communication Networks</t>
  </si>
  <si>
    <t>ITU-T SG 7 (1996)</t>
  </si>
  <si>
    <t>ITU-T Study Group 7 (Study Period 1993-1996) - Data Networks and Open Systems Communications</t>
  </si>
  <si>
    <t>ITU-T SG 7 (2000)</t>
  </si>
  <si>
    <t>2000</t>
  </si>
  <si>
    <t>ITU-T SG 7 (2004)</t>
  </si>
  <si>
    <t>ITU-T Study Group 7 (Study Period 2001-2004) - Data Networks and Open Systems Communications</t>
  </si>
  <si>
    <t>CCITT Study Group VII (Study Period 1977-1980) - New Networks for Data Transmission</t>
  </si>
  <si>
    <t>CCITT SG 7 (1976)</t>
  </si>
  <si>
    <t>CCITT Study Group VII (Study Period 1973-1976) - New Networks for Data Transmission</t>
  </si>
  <si>
    <t>CCITT Joint Working Group NRD (Study Period 1968-1972) - New Data Networks</t>
  </si>
  <si>
    <t>Reorganized into CCITT SG 7 (1976)</t>
  </si>
  <si>
    <t>CCITT JWP NRD (1972)</t>
  </si>
  <si>
    <t>Reorganized from CCITT JWP NRD (1972)</t>
  </si>
  <si>
    <t>Reorganized into ITU-T SG 7 (1996)</t>
  </si>
  <si>
    <t>Reorganized into ITU-T SG 8 (1996)</t>
  </si>
  <si>
    <t>Reorganized from CCITT SG 7 (1992)</t>
  </si>
  <si>
    <t>CCITT SSG A (1964)</t>
  </si>
  <si>
    <t>CCITT Special Study Group A (Study Period 1961-1964) - Data Transmission</t>
  </si>
  <si>
    <t>1964</t>
  </si>
  <si>
    <t>CCITT SSG A (1976)</t>
  </si>
  <si>
    <t>CCITT Special Study Group A (Study Period 1973-1976) - Data Transmission</t>
  </si>
  <si>
    <t>CCITT SG 17 (1984)</t>
  </si>
  <si>
    <t>CCITT SG 17 (1988)</t>
  </si>
  <si>
    <t>CCITT Study Group XVII (Study Period 1985-1988) - Data Communication Over the Telephone Network</t>
  </si>
  <si>
    <t>CCITT Study Group XVII (Study Period 1981-1984) - Data Communication Over the Telephone Network</t>
  </si>
  <si>
    <t>CCITT SG 17 (1992)</t>
  </si>
  <si>
    <t>CCITT Study Group XVII (Study Period 1989-1992) - Data Communication Over the Telephone Network</t>
  </si>
  <si>
    <t>ITU-T SG 14 (1996)</t>
  </si>
  <si>
    <t>ITU-T Study Group 14 (Study Period 1993-1996) - Modems and Transmission Techniques for Data, Telegraph and Telematic Services</t>
  </si>
  <si>
    <t>Reorganized into ITU-T SG 14 (1996)</t>
  </si>
  <si>
    <t>CCITT SG 9 (1992)</t>
  </si>
  <si>
    <t>CCITT Study Group IX (Study Period 1989-1992) - Telegraph Networks and Telegraph Terminal Equipment</t>
  </si>
  <si>
    <t>Reorganized into ITU-T SG 14 (1996) for telex questions and SG 1 (1996) for other questions</t>
  </si>
  <si>
    <t>CCITT Study Group IX (Study Period 1985-1988) - Telegraph Networks and Telegraph Terminal Equipment</t>
  </si>
  <si>
    <t>CCITT SG 9 (1988)</t>
  </si>
  <si>
    <t>ITU-T Study Group 7 (Study Period 1996-2000) - Data Networks and Open Systems Communications</t>
  </si>
  <si>
    <t>ITU-T SG 16 (2000)</t>
  </si>
  <si>
    <t>ITU-T Study Group 16 (Study Period 1996-2000) - Multimedia Services and Systems</t>
  </si>
  <si>
    <t>ITU-T SG 16 (2004)</t>
  </si>
  <si>
    <t>ITU-T Study Group 16 (Study Period 2001-2004) - Multimedia Services, Systems and Terminals</t>
  </si>
  <si>
    <t>2004</t>
  </si>
  <si>
    <t>Incorporated questions from discontinued ITU-T SG 8 (2000)</t>
  </si>
  <si>
    <t>Reorganized from CCITT SG 17 (1992) and portions of SG 9 (1992) || Reorganized into existing ITU-T SG 15 (2000) and new SG 16 (2000)</t>
  </si>
  <si>
    <t>ITU-T SG 8 (2000)</t>
  </si>
  <si>
    <t>ITU-T Study Group 8 (Study Period 1996-2000) - Characteristics of Telematic Systems</t>
  </si>
  <si>
    <t>ITU-T Study Group 8 (Study Period 1993-1996) - Terminals for Telematic Services</t>
  </si>
  <si>
    <t>CCITT SG 14 (1980)</t>
  </si>
  <si>
    <t>CCITT Study Group XIV (Study Period 1977-1980) - Facsimile Telegraph Transmission and Equipment</t>
  </si>
  <si>
    <t>CCITT SG 14 (1976)</t>
  </si>
  <si>
    <t>CCITT Study Group XIV (Study Period 1973-1976) - Facsimile Telegraph Transmission and Equipment</t>
  </si>
  <si>
    <t>CCITT SG 14 (1972)</t>
  </si>
  <si>
    <t>CCITT Study Group XIV (Study Period 1969-1972) - Facsimile Telegraph Transmission and Equipment</t>
  </si>
  <si>
    <t>CCITT SG 14 (1968)</t>
  </si>
  <si>
    <t>CCITT Study Group XIV (Study Period 1965-1968) - Facsimile Telegraph Transmission and Equipment</t>
  </si>
  <si>
    <t>CCITT SG 14 (1964)</t>
  </si>
  <si>
    <t>CCITT Study Group XIV (Study Period 1961-1964) - Facsimile Telegraph Transmission and Equipment</t>
  </si>
  <si>
    <t>Reorganized from portions of CCITT SG 8 (1960)</t>
  </si>
  <si>
    <t>CCITT SG 8 (1960)</t>
  </si>
  <si>
    <t>CCITT SG 8 (1964)</t>
  </si>
  <si>
    <t>CCITT SG 8 (1968)</t>
  </si>
  <si>
    <t>CCITT SG 8 (1972)</t>
  </si>
  <si>
    <t>CCITT SG 8 (1976)</t>
  </si>
  <si>
    <t>1957</t>
  </si>
  <si>
    <t>Reorganized into CCITT SG 8 (1964) and SG 14 (1964)</t>
  </si>
  <si>
    <t>CCITT Study Group VIII (Study Period 1961-1964) - Alphabetic Telegraph Apparatus and Local Connecting Lines</t>
  </si>
  <si>
    <t>CCITT Study Group VIII (Study Period 1965-1968) - Telegraph Equipment and Local Connecting Lines</t>
  </si>
  <si>
    <t>CCITT Study Group VIII (Study Period 1969-1972) - Telegraph Equipment and Local Connecting Lines</t>
  </si>
  <si>
    <t>CCITT Study Group 8 (Study Period 1957-1960) - Telegraph Apparatus and Local Connecting Lines, Facsimile and Phototelegraphy</t>
  </si>
  <si>
    <t>CCITT Study Group VIII (Study Period 1973-1976) - Telegraph and Data Terminal Equipment, Local Connecting Lines</t>
  </si>
  <si>
    <t>CCITT SG 9 (1960)</t>
  </si>
  <si>
    <t>CCITT SG 9 (1964)</t>
  </si>
  <si>
    <t>CCITT SG 9 (1968)</t>
  </si>
  <si>
    <t>CCITT SG 9 (1972)</t>
  </si>
  <si>
    <t>CCITT SG 9 (1976)</t>
  </si>
  <si>
    <t>CCITT SG 9 (1980)</t>
  </si>
  <si>
    <t>CCITT SG 9 (1984)</t>
  </si>
  <si>
    <t>CCITT Study Group 9 (Study Period 1957-1960) - Quality of Telegraph Transmission, Specification of Channel Equipments and Directives for Maintenance of Telegraph Channels</t>
  </si>
  <si>
    <t>CCITT Study Group IX (Study Period 1961-1964) - Quality of Telegraph Transmission, Specification of Channel Equipments and Directives for Maintenance of Telegraph Channels</t>
  </si>
  <si>
    <t>CCITT Study Group IX (Study Period 1965-1968) - Quality of Telegraph Transmission, Specification of Channel Equipments and Directives for Maintenance of Telegraph Channels</t>
  </si>
  <si>
    <t>CCITT Study Group IX (Study Period 1969-1972) - Quality of Telegraph Transmission, Specification of Channel Equipments and Directives for Maintenance of Telegraph Channels</t>
  </si>
  <si>
    <t>CCITT Study Group IX (Study Period 1973-1976) - Telegraph Transmission Quality, Specification of Equipment and Rules for the Maintenance of Telegraph Channels</t>
  </si>
  <si>
    <t>CCITT Study Group IX (Study Period 1977-1980) - Telegraph Transmission Quality, Specification of Equipment and Rules for the Maintenance of Telegraph Channels</t>
  </si>
  <si>
    <t>CCITT Study Group IX (Study Period 1981-1984) - Telegraph Networks and Telegraph Terminal Equipment</t>
  </si>
  <si>
    <t>Reorganized into updated CCITT SG IX (1984)</t>
  </si>
  <si>
    <t>Reorganized from merging CCITT SG IX (1980) and SG X (1980), incorporating telex terminal questions from SG VIII (1980)</t>
  </si>
  <si>
    <t>Reorganized into updated CCITT SG VIII (1984), telex terminal questions to SG IX (1984)</t>
  </si>
  <si>
    <t>Reorganized from merging CCITT SG VIII (1980) and SG XIV (1980)</t>
  </si>
  <si>
    <t>Reorganized into updated CCITT SG 8 (1984)</t>
  </si>
  <si>
    <t>CCITT SG 10 (1980)</t>
  </si>
  <si>
    <t>CCITT Study Group X (Study Period 1977-1980) - Telegraph Switching</t>
  </si>
  <si>
    <t>CCITT SG 10 (1976)</t>
  </si>
  <si>
    <t>CCITT Study Group X (Study Period 1973-1976) - Telegraph Switching</t>
  </si>
  <si>
    <t>CCITT SG 10 (1972)</t>
  </si>
  <si>
    <t>CCITT Study Group X (Study Period 1969-1972) - Telegraph Switching</t>
  </si>
  <si>
    <t>CCITT SG 10 (1968)</t>
  </si>
  <si>
    <t>CCITT Study Group X (Study Period 1965-1968) - Telegraph Switching</t>
  </si>
  <si>
    <t>CCITT SG 10 (1964)</t>
  </si>
  <si>
    <t>CCITT Study Group X (Study Period 1961-1964) - Telegraph Switching</t>
  </si>
  <si>
    <t>CCITT SG 10 (1960)</t>
  </si>
  <si>
    <t>CCITT Study Group 10 (Study Period 1957-1960) - Telegraph Switching</t>
  </si>
  <si>
    <t>Continued</t>
  </si>
  <si>
    <t>CCITT SG 10 (1988)</t>
  </si>
  <si>
    <t>CCITT Study Group X (Study Period 1985-1988) - Languages and Methods for Telecommunications Applications</t>
  </si>
  <si>
    <t>New study group, unrelated to CCITT SG X (1980) || Incorporated questions moved from CCITT SG XI (1984) and SG VII (1984)</t>
  </si>
  <si>
    <t>CCITT SG 10 (1992)</t>
  </si>
  <si>
    <t>CCITT Study Group X (Study Period 1989-1992) - Languages for Telecommunications Applications</t>
  </si>
  <si>
    <t>Reorganized into ITU-T SG 10 (1996)</t>
  </si>
  <si>
    <t>CCITT SG 11 (1960)</t>
  </si>
  <si>
    <t>CCITT SG 11 (1964)</t>
  </si>
  <si>
    <t>CCITT Study Group 11 (Study Period 1957-1960) - Telephone Signalling and Switching</t>
  </si>
  <si>
    <t>CCITT Study Group XI (Study Period 1961-1964) - Telephone Signalling and Switching</t>
  </si>
  <si>
    <t>CCITT SG 11 (1968)</t>
  </si>
  <si>
    <t>CCITT Study Group XI (Study Period 1965-1968) - Telephone Signalling and Switching</t>
  </si>
  <si>
    <t>CCITT SG 11 (1972)</t>
  </si>
  <si>
    <t>CCITT Study Group XI (Study Period 1969-1972) - Telephone Signalling and Switching</t>
  </si>
  <si>
    <t>CCITT SG 11 (1976)</t>
  </si>
  <si>
    <t>CCITT Study Group XI (Study Period 1973-1976) - Telephone Signalling and Switching</t>
  </si>
  <si>
    <t>CCITT SG 11 (1980)</t>
  </si>
  <si>
    <t>CCITT Study Group XI (Study Period 1977-1980) - Telephone Signalling and Switching</t>
  </si>
  <si>
    <t>CCITT SG 11 (1984)</t>
  </si>
  <si>
    <t>CCITT Study Group XI (Study Period 1981-1984) - Telephone Signalling and Switching</t>
  </si>
  <si>
    <t>CCITT SG 11 (1988)</t>
  </si>
  <si>
    <t>CCITT Study Group XI (Study Period 1985-1988) - ISDN and Telephone Network and Signalling</t>
  </si>
  <si>
    <t>Reorganized into updated CCITT SG XI (1988) with some questions moved to CCITT SG X (1988)</t>
  </si>
  <si>
    <t>CCITT SG 11 (1992)</t>
  </si>
  <si>
    <t>CCITT Study Group XI (Study Period 1989-1992) - Switching and Signalling</t>
  </si>
  <si>
    <t>Reorganized into ITU-T 11 (1996)</t>
  </si>
  <si>
    <t>ITU-T SG 17 (2004)</t>
  </si>
  <si>
    <t>ITU-T Study Group 17 (Study Period 2001-2004) - Data Networks and Telecommunication Software</t>
  </si>
  <si>
    <t>2001-09-17</t>
  </si>
  <si>
    <t>2001-09-16</t>
  </si>
  <si>
    <t>ITU-T SG 10 (1996)</t>
  </si>
  <si>
    <t>ITU-T SG 10 (2000)</t>
  </si>
  <si>
    <t>ITU-T SG 10 (2004)</t>
  </si>
  <si>
    <t>Reorganized into ITU-T SG 17 (2004)</t>
  </si>
  <si>
    <t>ITU-T SG 17 (2028)</t>
  </si>
  <si>
    <t>ITU-T SG 4 (1996)</t>
  </si>
  <si>
    <t>ITU-T Study Group 4 (Study Period 1993-1996) - Network Maintenance</t>
  </si>
  <si>
    <t>Reorganized from CCITT IV (1992)</t>
  </si>
  <si>
    <t>ITU-T SG 4 (2000)</t>
  </si>
  <si>
    <t>ITU-T Study Group 4 (Study Period 1996-2000) - TMN and Network Maintenance</t>
  </si>
  <si>
    <t>Reorganized from CCITT SG 8 (1992) || Some questions transferred to ITU-T SG 16 (2000)</t>
  </si>
  <si>
    <t>ITU-T Study Group 10 (Study Period 1993-1996) - Languages for Telecommunication Applications</t>
  </si>
  <si>
    <t>Reorganized from CCITT SG 10 (1992)</t>
  </si>
  <si>
    <t>ITU-T Study Group 10 (Study Period 1996-2000) - Languages and General Software Aspects for Telecommunication Systems</t>
  </si>
  <si>
    <t>ITU-T Study Group 10 (Study Period 2000-2004) - Languages and General Software Aspects for Telecommunication Systems</t>
  </si>
  <si>
    <t>Reorganized from ITU-T SG 7 (2004) and SG 10 (2004) || Reorganized into ITU-T SG 13 (2008) and SG 17 (2008)</t>
  </si>
  <si>
    <t>ITU-T SG 17 (2008)</t>
  </si>
  <si>
    <t>ITU-T Study Group 17 (Study Period 2005-2008) - Security, Languages and Telecommunication Software</t>
  </si>
  <si>
    <t>2005</t>
  </si>
  <si>
    <t>2008</t>
  </si>
  <si>
    <t>Reorganized from ITU-T SG 17  (2004)</t>
  </si>
  <si>
    <t>ITU-T SG 13 (2008)</t>
  </si>
  <si>
    <t>ITU-T Study Group 13 (Study Period 2005-2008) - Next Generation Networks</t>
  </si>
  <si>
    <t>Reorganized from ITU-T SG 13 (2004) and SG 17 (2004)</t>
  </si>
  <si>
    <t>Reorganized into ITU-T SG 7 (2004) and SG 4 (2004)</t>
  </si>
  <si>
    <t>ITU-T SG 4 (2004)</t>
  </si>
  <si>
    <t>ITU-T Study Group 4 (Study Period 2001-2004) - Telecommunication Management, including TMN</t>
  </si>
  <si>
    <t>Incorporated questions from ITU-T SG 7 (2000)</t>
  </si>
  <si>
    <t>ITU-T SG 4 (2008)</t>
  </si>
  <si>
    <t>ITU-T Study Group 4 (Study Period 2005-2008) - Telecommunication Management</t>
  </si>
  <si>
    <t>Reorganized into ITU-T SG 16 (2004)</t>
  </si>
  <si>
    <t>ITU-T SG 16 (2008)</t>
  </si>
  <si>
    <t>ITU-T Study Group 16 (Study Period 2005-2008) - Multimedia Terminals, Systems and Applications</t>
  </si>
  <si>
    <t>Incorporated questions from ITU-T SG 15 (2004)</t>
  </si>
  <si>
    <t>ITU-T SG 16 (2012)</t>
  </si>
  <si>
    <t>ITU-T Study Group 16 (Study Period 2009-2012) - Multimedia Coding, Systems and Applications</t>
  </si>
  <si>
    <t>ITU-T SG 17 (2012)</t>
  </si>
  <si>
    <t>ITU-T Study Group 17 (Study Period 2009-2012) - Security</t>
  </si>
  <si>
    <t>Reorganized into ITU-T SG 2 (2012) and SG 15 (2012)</t>
  </si>
  <si>
    <t>ITU-T SG 16 (2016)</t>
  </si>
  <si>
    <t>ITU-T SG 16 (2021)</t>
  </si>
  <si>
    <t>ITU-T SG 16 (2024)</t>
  </si>
  <si>
    <t>ITU-T SG 17 (2016)</t>
  </si>
  <si>
    <t>ITU-T SG 17 (2021)</t>
  </si>
  <si>
    <t>ITU-T SG 17 (2024)</t>
  </si>
  <si>
    <t>ITU-T Study Group 16 (Study Period 2013-2016) - Multimedia Coding, Systems and Applications</t>
  </si>
  <si>
    <t>2013</t>
  </si>
  <si>
    <t>2016</t>
  </si>
  <si>
    <t>ITU-T Study Group 16 (Study Period 2017-2021) - Multimedia Coding, Systems and Applications</t>
  </si>
  <si>
    <t>2017</t>
  </si>
  <si>
    <t>2022</t>
  </si>
  <si>
    <t>2024</t>
  </si>
  <si>
    <t>Reorganized to ITU-T SG 21 (2028)</t>
  </si>
  <si>
    <t>ITU-T Study Group 17 (Study Period 2013-2016) - Security</t>
  </si>
  <si>
    <t>ITU-T Study Group 17 (Study Period 2017-2021) - Security</t>
  </si>
  <si>
    <t>ITU-T Study Group 17 (Study Period 2022-2024) - Security</t>
  </si>
  <si>
    <t>ITU-T Study Group 17 (Study Period 2025-2028) -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</si>
</sst>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22"/>
      <color rgb="FF3F3F76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5" fillId="6" borderId="0" applyNumberFormat="0" applyBorder="0" applyAlignment="0" applyProtection="0"/>
    <xf numFmtId="0" fontId="6" fillId="7" borderId="3" applyNumberFormat="0" applyAlignment="0" applyProtection="0"/>
    <xf numFmtId="0" fontId="7" fillId="0" borderId="0" applyNumberFormat="0" applyFill="0" applyBorder="0" applyAlignment="0" applyProtection="0"/>
    <xf numFmtId="0" fontId="9" fillId="8" borderId="4" applyNumberFormat="0" applyFont="0" applyAlignment="0" applyProtection="0"/>
  </cellStyleXfs>
  <cellXfs count="3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1" fillId="0" borderId="0" xfId="0" applyNumberFormat="1" applyFont="1"/>
    <xf numFmtId="0" fontId="3" fillId="2" borderId="1" xfId="0" applyFont="1" applyFill="1" applyBorder="1"/>
    <xf numFmtId="0" fontId="0" fillId="0" borderId="2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indent="2"/>
    </xf>
    <xf numFmtId="0" fontId="4" fillId="0" borderId="0" xfId="0" applyFont="1"/>
    <xf numFmtId="49" fontId="7" fillId="0" borderId="0" xfId="3" applyNumberFormat="1"/>
    <xf numFmtId="0" fontId="8" fillId="0" borderId="0" xfId="0" applyFont="1"/>
    <xf numFmtId="0" fontId="6" fillId="7" borderId="3" xfId="2"/>
    <xf numFmtId="0" fontId="5" fillId="6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6" fillId="7" borderId="3" xfId="2" applyNumberFormat="1"/>
    <xf numFmtId="0" fontId="0" fillId="8" borderId="4" xfId="4" applyFont="1"/>
    <xf numFmtId="49" fontId="0" fillId="8" borderId="4" xfId="4" applyNumberFormat="1" applyFont="1"/>
    <xf numFmtId="0" fontId="4" fillId="8" borderId="4" xfId="4" applyFont="1"/>
    <xf numFmtId="0" fontId="6" fillId="8" borderId="4" xfId="4" applyFont="1"/>
    <xf numFmtId="49" fontId="6" fillId="8" borderId="4" xfId="4" applyNumberFormat="1" applyFont="1"/>
    <xf numFmtId="0" fontId="10" fillId="8" borderId="4" xfId="4" applyFont="1"/>
    <xf numFmtId="0" fontId="11" fillId="8" borderId="4" xfId="4" applyFont="1"/>
    <xf numFmtId="0" fontId="8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NumberFormat="1"/>
    <xf numFmtId="0" fontId="0" fillId="0" borderId="0" xfId="0" applyFont="1"/>
    <xf numFmtId="0" fontId="0" fillId="0" borderId="0" xfId="0" quotePrefix="1"/>
  </cellXfs>
  <cellStyles count="5">
    <cellStyle name="Explanatory Text" xfId="3" builtinId="53"/>
    <cellStyle name="Input" xfId="2" builtinId="20"/>
    <cellStyle name="Neutral" xfId="1" builtinId="28"/>
    <cellStyle name="Normal" xfId="0" builtinId="0"/>
    <cellStyle name="Note" xfId="4" builtinId="10"/>
  </cellStyles>
  <dxfs count="4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B Chalmers" refreshedDate="46074.021543634262" createdVersion="8" refreshedVersion="8" minRefreshableVersion="3" recordCount="1682" xr:uid="{C60F5257-D015-4B0C-ACEC-B560C10E8DB0}">
  <cacheSource type="worksheet">
    <worksheetSource name="Relationships"/>
  </cacheSource>
  <cacheFields count="18">
    <cacheField name="relationshipId" numFmtId="0">
      <sharedItems containsNonDate="0" containsString="0" containsBlank="1"/>
    </cacheField>
    <cacheField name="createdTimestamp" numFmtId="0">
      <sharedItems containsNonDate="0" containsString="0" containsBlank="1"/>
    </cacheField>
    <cacheField name="updatedTimestamp" numFmtId="0">
      <sharedItems containsBlank="1"/>
    </cacheField>
    <cacheField name="relationshipType" numFmtId="0">
      <sharedItems containsBlank="1" count="21">
        <s v="HAS_CHILD_ORG"/>
        <s v="SUCCEEDED_ORG"/>
        <s v="PREVIOUSLY_KNOWN_AS"/>
        <s v="HAS_AFFILIATE_ORG"/>
        <m/>
        <s v="CONTROLS"/>
        <s v="MEMBER_OF"/>
        <s v="SUPERSEDES"/>
        <s v="HAS_RELATED_AUTHORITY"/>
        <s v="DEFINES"/>
        <s v="UPDATES"/>
        <s v="EXTENDS"/>
        <s v="REFERENCES"/>
        <s v="OBSOLETES"/>
        <s v="DEPRECATES"/>
        <s v="CONTAINS"/>
        <s v="IMPLEMENTS"/>
        <s v="HAS_REVISION"/>
        <s v="DRAFTED_BY"/>
        <s v="ALSO_PUBLISHED_AS"/>
        <s v="PROFILES"/>
      </sharedItems>
    </cacheField>
    <cacheField name="sourceNodeType" numFmtId="0">
      <sharedItems containsBlank="1" count="4">
        <s v="ControllingOrg"/>
        <m/>
        <s v="Authority"/>
        <s v="AuthorityGroup"/>
      </sharedItems>
    </cacheField>
    <cacheField name="sourceNodeAttr" numFmtId="0">
      <sharedItems containsBlank="1"/>
    </cacheField>
    <cacheField name="sourceNodeValue" numFmtId="0">
      <sharedItems containsBlank="1"/>
    </cacheField>
    <cacheField name="sourceNodeValue_old" numFmtId="0">
      <sharedItems containsBlank="1"/>
    </cacheField>
    <cacheField name="targetNodeType" numFmtId="0">
      <sharedItems containsBlank="1" count="5">
        <s v="ControllingOrg"/>
        <m/>
        <s v="Authority"/>
        <s v="AuthorityGroup"/>
        <s v="Format"/>
      </sharedItems>
    </cacheField>
    <cacheField name="targetNodeAttr" numFmtId="0">
      <sharedItems containsBlank="1"/>
    </cacheField>
    <cacheField name="targetNodeValue" numFmtId="0">
      <sharedItems containsBlank="1"/>
    </cacheField>
    <cacheField name="target:END_ID" numFmtId="0">
      <sharedItems containsBlank="1"/>
    </cacheField>
    <cacheField name="affiliation" numFmtId="0">
      <sharedItems containsBlank="1"/>
    </cacheField>
    <cacheField name="referenceType" numFmtId="0">
      <sharedItems containsBlank="1"/>
    </cacheField>
    <cacheField name="authoritySection" numFmtId="49">
      <sharedItems containsBlank="1" containsMixedTypes="1" containsNumber="1" minValue="1.1000000000000001" maxValue="1.1000000000000001"/>
    </cacheField>
    <cacheField name="relationship" numFmtId="49">
      <sharedItems containsBlank="1"/>
    </cacheField>
    <cacheField name="notes" numFmtId="49">
      <sharedItems containsBlank="1"/>
    </cacheField>
    <cacheField name="DNI_notes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">
  <r>
    <m/>
    <m/>
    <m/>
    <x v="0"/>
    <x v="0"/>
    <s v="shortName"/>
    <s v="ISO"/>
    <s v="ISO"/>
    <x v="0"/>
    <s v="shortName"/>
    <s v="ISO/IEC JTC 1"/>
    <s v="ISO/IEC JTC 1"/>
    <m/>
    <m/>
    <m/>
    <m/>
    <m/>
    <m/>
  </r>
  <r>
    <m/>
    <m/>
    <m/>
    <x v="0"/>
    <x v="0"/>
    <s v="shortName"/>
    <s v="IEC"/>
    <s v="IEC"/>
    <x v="0"/>
    <s v="shortName"/>
    <s v="ISO/IEC JTC 1"/>
    <s v="ISO/IEC JTC 1"/>
    <m/>
    <m/>
    <m/>
    <m/>
    <m/>
    <m/>
  </r>
  <r>
    <m/>
    <m/>
    <m/>
    <x v="1"/>
    <x v="0"/>
    <s v="shortName"/>
    <s v="ISO/IEC JTC 1"/>
    <m/>
    <x v="0"/>
    <s v="shortName"/>
    <s v="ISO TC 97"/>
    <m/>
    <m/>
    <m/>
    <m/>
    <m/>
    <m/>
    <m/>
  </r>
  <r>
    <m/>
    <m/>
    <m/>
    <x v="1"/>
    <x v="0"/>
    <s v="shortName"/>
    <s v="ISO/IEC JTC 1"/>
    <m/>
    <x v="0"/>
    <s v="shortName"/>
    <s v="IEC TC 83"/>
    <m/>
    <m/>
    <m/>
    <m/>
    <m/>
    <m/>
    <m/>
  </r>
  <r>
    <m/>
    <m/>
    <m/>
    <x v="0"/>
    <x v="0"/>
    <s v="shortName"/>
    <s v="ISO/IEC JTC 1"/>
    <m/>
    <x v="0"/>
    <s v="shortName"/>
    <s v="JTC1 SC 2"/>
    <m/>
    <m/>
    <m/>
    <m/>
    <m/>
    <m/>
    <m/>
  </r>
  <r>
    <m/>
    <m/>
    <m/>
    <x v="2"/>
    <x v="0"/>
    <s v="shortName"/>
    <s v="JTC1 SC 2"/>
    <m/>
    <x v="0"/>
    <s v="shortName"/>
    <s v="TC97 SC 2"/>
    <m/>
    <m/>
    <m/>
    <m/>
    <m/>
    <m/>
    <m/>
  </r>
  <r>
    <m/>
    <m/>
    <m/>
    <x v="0"/>
    <x v="0"/>
    <s v="shortName"/>
    <s v="ISO/IEC JTC 1"/>
    <m/>
    <x v="0"/>
    <s v="shortName"/>
    <s v="JTC1 SC 17"/>
    <m/>
    <m/>
    <m/>
    <m/>
    <m/>
    <m/>
    <m/>
  </r>
  <r>
    <m/>
    <m/>
    <m/>
    <x v="0"/>
    <x v="0"/>
    <s v="shortName"/>
    <s v="ISO/IEC JTC 1"/>
    <m/>
    <x v="0"/>
    <s v="shortName"/>
    <s v="JTC1 SC 27"/>
    <m/>
    <m/>
    <m/>
    <m/>
    <m/>
    <m/>
    <m/>
  </r>
  <r>
    <m/>
    <m/>
    <m/>
    <x v="0"/>
    <x v="0"/>
    <s v="shortName"/>
    <s v="ISO/IEC JTC 1"/>
    <m/>
    <x v="0"/>
    <s v="shortName"/>
    <s v="JTC1 SC 37"/>
    <m/>
    <m/>
    <m/>
    <m/>
    <m/>
    <m/>
    <m/>
  </r>
  <r>
    <m/>
    <m/>
    <m/>
    <x v="0"/>
    <x v="0"/>
    <s v="shortName"/>
    <s v="ISO"/>
    <m/>
    <x v="0"/>
    <s v="shortName"/>
    <s v="ISO TC 97"/>
    <m/>
    <m/>
    <m/>
    <m/>
    <m/>
    <m/>
    <m/>
  </r>
  <r>
    <m/>
    <m/>
    <m/>
    <x v="0"/>
    <x v="0"/>
    <s v="shortName"/>
    <s v="ISO TC 97"/>
    <m/>
    <x v="0"/>
    <s v="shortName"/>
    <s v="TC97 SC 2"/>
    <m/>
    <m/>
    <m/>
    <m/>
    <m/>
    <m/>
    <m/>
  </r>
  <r>
    <m/>
    <m/>
    <m/>
    <x v="0"/>
    <x v="0"/>
    <s v="shortName"/>
    <s v="ITU"/>
    <s v="ITU"/>
    <x v="0"/>
    <s v="shortName"/>
    <s v="ITU-T"/>
    <s v="ITU-T"/>
    <m/>
    <m/>
    <m/>
    <m/>
    <m/>
    <m/>
  </r>
  <r>
    <m/>
    <m/>
    <m/>
    <x v="0"/>
    <x v="0"/>
    <s v="shortName"/>
    <s v="ITU"/>
    <m/>
    <x v="0"/>
    <s v="shortName"/>
    <s v="CCITT (ITU-T)"/>
    <m/>
    <m/>
    <m/>
    <m/>
    <m/>
    <m/>
    <m/>
  </r>
  <r>
    <m/>
    <m/>
    <m/>
    <x v="0"/>
    <x v="0"/>
    <s v="shortName"/>
    <s v="CCITT (ITU-T)"/>
    <m/>
    <x v="0"/>
    <s v="shortName"/>
    <s v="CCITT SSG A (1968)"/>
    <m/>
    <m/>
    <m/>
    <m/>
    <m/>
    <m/>
    <m/>
  </r>
  <r>
    <m/>
    <m/>
    <m/>
    <x v="0"/>
    <x v="0"/>
    <s v="shortName"/>
    <s v="CCITT (ITU-T)"/>
    <m/>
    <x v="0"/>
    <s v="shortName"/>
    <s v="CCITT SSG A (1972)"/>
    <m/>
    <m/>
    <m/>
    <m/>
    <m/>
    <m/>
    <m/>
  </r>
  <r>
    <m/>
    <m/>
    <m/>
    <x v="2"/>
    <x v="0"/>
    <s v="shortName"/>
    <s v="CCITT SSG A (1972)"/>
    <m/>
    <x v="0"/>
    <s v="shortName"/>
    <s v="CCITT SSG A (1968)"/>
    <m/>
    <m/>
    <m/>
    <m/>
    <m/>
    <m/>
    <m/>
  </r>
  <r>
    <m/>
    <m/>
    <m/>
    <x v="0"/>
    <x v="0"/>
    <s v="shortName"/>
    <s v="CCITT (ITU-T)"/>
    <m/>
    <x v="0"/>
    <s v="shortName"/>
    <s v="CCITT SG 17 (1976)"/>
    <m/>
    <m/>
    <m/>
    <m/>
    <m/>
    <m/>
    <m/>
  </r>
  <r>
    <m/>
    <m/>
    <m/>
    <x v="1"/>
    <x v="0"/>
    <s v="shortName"/>
    <s v="CCITT SG 17 (1976)"/>
    <m/>
    <x v="0"/>
    <s v="shortName"/>
    <s v="CCITT SSG A (1972)"/>
    <m/>
    <m/>
    <m/>
    <m/>
    <m/>
    <m/>
    <m/>
  </r>
  <r>
    <m/>
    <m/>
    <m/>
    <x v="0"/>
    <x v="0"/>
    <s v="shortName"/>
    <s v="CCITT (ITU-T)"/>
    <m/>
    <x v="0"/>
    <s v="shortName"/>
    <s v="CCITT SG 17 (1980)"/>
    <m/>
    <m/>
    <m/>
    <m/>
    <m/>
    <m/>
    <m/>
  </r>
  <r>
    <m/>
    <m/>
    <m/>
    <x v="2"/>
    <x v="0"/>
    <s v="shortName"/>
    <s v="CCITT SG 17 (1980)"/>
    <m/>
    <x v="0"/>
    <s v="shortName"/>
    <s v="CCITT SG 17 (1976)"/>
    <m/>
    <m/>
    <m/>
    <m/>
    <m/>
    <m/>
    <m/>
  </r>
  <r>
    <m/>
    <m/>
    <m/>
    <x v="0"/>
    <x v="0"/>
    <s v="shortName"/>
    <s v="CCITT (ITU-T)"/>
    <m/>
    <x v="0"/>
    <s v="shortName"/>
    <s v="CCITT SG 8 (1980)"/>
    <m/>
    <m/>
    <m/>
    <m/>
    <m/>
    <m/>
    <m/>
  </r>
  <r>
    <m/>
    <m/>
    <m/>
    <x v="0"/>
    <x v="0"/>
    <s v="shortName"/>
    <s v="CCITT (ITU-T)"/>
    <m/>
    <x v="0"/>
    <s v="shortName"/>
    <s v="CCITT SG 8 (1984)"/>
    <m/>
    <m/>
    <m/>
    <m/>
    <m/>
    <m/>
    <m/>
  </r>
  <r>
    <m/>
    <m/>
    <m/>
    <x v="2"/>
    <x v="0"/>
    <s v="shortName"/>
    <s v="CCITT SG 8 (1984)"/>
    <m/>
    <x v="0"/>
    <s v="shortName"/>
    <s v="CCITT SG 8 (1980)"/>
    <m/>
    <m/>
    <m/>
    <m/>
    <m/>
    <m/>
    <m/>
  </r>
  <r>
    <m/>
    <m/>
    <m/>
    <x v="0"/>
    <x v="0"/>
    <s v="shortName"/>
    <s v="CCITT (ITU-T)"/>
    <m/>
    <x v="0"/>
    <s v="shortName"/>
    <s v="CCITT SG 8 (1988)"/>
    <m/>
    <m/>
    <m/>
    <m/>
    <m/>
    <m/>
    <m/>
  </r>
  <r>
    <m/>
    <m/>
    <m/>
    <x v="2"/>
    <x v="0"/>
    <s v="shortName"/>
    <s v="CCITT SG 8 (1988)"/>
    <m/>
    <x v="0"/>
    <s v="shortName"/>
    <s v="CCITT SG 8 (1984)"/>
    <m/>
    <m/>
    <m/>
    <m/>
    <m/>
    <m/>
    <m/>
  </r>
  <r>
    <m/>
    <m/>
    <m/>
    <x v="0"/>
    <x v="0"/>
    <s v="shortName"/>
    <s v="CCITT (ITU-T)"/>
    <m/>
    <x v="0"/>
    <s v="shortName"/>
    <s v="CCITT SG 8 (1992)"/>
    <m/>
    <m/>
    <m/>
    <m/>
    <m/>
    <m/>
    <m/>
  </r>
  <r>
    <m/>
    <m/>
    <m/>
    <x v="2"/>
    <x v="0"/>
    <s v="shortName"/>
    <s v="CCITT SG 8 (1992)"/>
    <m/>
    <x v="0"/>
    <s v="shortName"/>
    <s v="CCITT SG 8 (1988)"/>
    <m/>
    <m/>
    <m/>
    <m/>
    <m/>
    <m/>
    <m/>
  </r>
  <r>
    <m/>
    <m/>
    <m/>
    <x v="2"/>
    <x v="0"/>
    <s v="shortName"/>
    <s v="ITU-T"/>
    <m/>
    <x v="0"/>
    <s v="shortName"/>
    <s v="CCITT (ITU-T)"/>
    <m/>
    <m/>
    <m/>
    <m/>
    <m/>
    <m/>
    <m/>
  </r>
  <r>
    <m/>
    <m/>
    <m/>
    <x v="0"/>
    <x v="0"/>
    <s v="shortName"/>
    <s v="ITU-T"/>
    <m/>
    <x v="0"/>
    <s v="shortName"/>
    <s v="ITU-T SG 8 (1996)"/>
    <m/>
    <m/>
    <m/>
    <m/>
    <m/>
    <m/>
    <m/>
  </r>
  <r>
    <m/>
    <m/>
    <m/>
    <x v="2"/>
    <x v="0"/>
    <s v="shortName"/>
    <s v="ITU-T SG 8 (1996)"/>
    <m/>
    <x v="0"/>
    <s v="shortName"/>
    <s v="CCITT SG 8 (1992)"/>
    <m/>
    <m/>
    <m/>
    <m/>
    <m/>
    <m/>
    <m/>
  </r>
  <r>
    <m/>
    <m/>
    <m/>
    <x v="0"/>
    <x v="0"/>
    <s v="shortName"/>
    <s v="ITU-T"/>
    <s v="ITU-T"/>
    <x v="0"/>
    <s v="shortName"/>
    <s v="ITU-T SG17 (2028)"/>
    <s v="SG17"/>
    <m/>
    <m/>
    <m/>
    <m/>
    <m/>
    <m/>
  </r>
  <r>
    <m/>
    <m/>
    <m/>
    <x v="2"/>
    <x v="0"/>
    <s v="shortName"/>
    <s v="NIST"/>
    <m/>
    <x v="0"/>
    <s v="shortName"/>
    <s v="NBS (NIST)"/>
    <m/>
    <m/>
    <m/>
    <m/>
    <m/>
    <m/>
    <m/>
  </r>
  <r>
    <m/>
    <m/>
    <m/>
    <x v="2"/>
    <x v="0"/>
    <s v="shortName"/>
    <s v="ANSI"/>
    <m/>
    <x v="0"/>
    <s v="shortName"/>
    <s v="USASI (ANSI)"/>
    <m/>
    <m/>
    <m/>
    <m/>
    <m/>
    <m/>
    <m/>
  </r>
  <r>
    <m/>
    <m/>
    <m/>
    <x v="2"/>
    <x v="0"/>
    <s v="shortName"/>
    <s v="USASI (ANSI)"/>
    <m/>
    <x v="0"/>
    <s v="shortName"/>
    <s v="ASA (ANSI)"/>
    <m/>
    <m/>
    <m/>
    <m/>
    <m/>
    <m/>
    <m/>
  </r>
  <r>
    <m/>
    <m/>
    <m/>
    <x v="2"/>
    <x v="0"/>
    <s v="shortName"/>
    <s v="ASA (ANSI)"/>
    <m/>
    <x v="0"/>
    <s v="shortName"/>
    <s v="AESC (ANSI)"/>
    <m/>
    <m/>
    <m/>
    <m/>
    <m/>
    <m/>
    <m/>
  </r>
  <r>
    <m/>
    <m/>
    <m/>
    <x v="2"/>
    <x v="0"/>
    <s v="shortName"/>
    <s v="INCITS"/>
    <m/>
    <x v="0"/>
    <s v="shortName"/>
    <s v="NCITS (INCITS)"/>
    <m/>
    <m/>
    <m/>
    <m/>
    <m/>
    <m/>
    <m/>
  </r>
  <r>
    <m/>
    <m/>
    <m/>
    <x v="2"/>
    <x v="0"/>
    <s v="shortName"/>
    <s v="NCITS (INCITS)"/>
    <m/>
    <x v="0"/>
    <s v="shortName"/>
    <s v="X3 (INCITS)"/>
    <m/>
    <m/>
    <m/>
    <m/>
    <m/>
    <m/>
    <m/>
  </r>
  <r>
    <m/>
    <m/>
    <m/>
    <x v="0"/>
    <x v="0"/>
    <s v="shortName"/>
    <s v="INCITS"/>
    <m/>
    <x v="0"/>
    <s v="shortName"/>
    <s v="INCITS/L2"/>
    <m/>
    <m/>
    <m/>
    <m/>
    <m/>
    <m/>
    <m/>
  </r>
  <r>
    <m/>
    <m/>
    <m/>
    <x v="0"/>
    <x v="0"/>
    <s v="shortName"/>
    <s v="NCITS (INCITS)"/>
    <m/>
    <x v="0"/>
    <s v="shortName"/>
    <s v="INCITS/L2"/>
    <m/>
    <m/>
    <m/>
    <m/>
    <m/>
    <m/>
    <m/>
  </r>
  <r>
    <m/>
    <m/>
    <m/>
    <x v="0"/>
    <x v="0"/>
    <s v="shortName"/>
    <s v="X3 (INCITS)"/>
    <m/>
    <x v="0"/>
    <s v="shortName"/>
    <s v="X3L2"/>
    <m/>
    <m/>
    <m/>
    <m/>
    <m/>
    <m/>
    <m/>
  </r>
  <r>
    <m/>
    <m/>
    <m/>
    <x v="0"/>
    <x v="0"/>
    <s v="shortName"/>
    <s v="X3 (INCITS)"/>
    <m/>
    <x v="0"/>
    <s v="shortName"/>
    <s v="X3.2"/>
    <m/>
    <m/>
    <m/>
    <m/>
    <m/>
    <m/>
    <m/>
  </r>
  <r>
    <m/>
    <m/>
    <m/>
    <x v="2"/>
    <x v="0"/>
    <s v="shortName"/>
    <s v="INCITS/L2"/>
    <m/>
    <x v="0"/>
    <s v="shortName"/>
    <s v="X3L2"/>
    <m/>
    <m/>
    <m/>
    <m/>
    <m/>
    <m/>
    <m/>
  </r>
  <r>
    <m/>
    <m/>
    <m/>
    <x v="2"/>
    <x v="0"/>
    <s v="shortName"/>
    <s v="X3L2"/>
    <m/>
    <x v="0"/>
    <s v="shortName"/>
    <s v="X3.2"/>
    <m/>
    <m/>
    <m/>
    <m/>
    <m/>
    <m/>
    <m/>
  </r>
  <r>
    <m/>
    <m/>
    <m/>
    <x v="2"/>
    <x v="0"/>
    <s v="shortName"/>
    <s v="ITI"/>
    <m/>
    <x v="0"/>
    <s v="shortName"/>
    <s v="CBEMA (ITI)"/>
    <m/>
    <m/>
    <m/>
    <m/>
    <m/>
    <m/>
    <m/>
  </r>
  <r>
    <m/>
    <m/>
    <m/>
    <x v="2"/>
    <x v="0"/>
    <s v="shortName"/>
    <s v="CBEMA (ITI)"/>
    <m/>
    <x v="0"/>
    <s v="shortName"/>
    <s v="BEMA (ITI)"/>
    <m/>
    <m/>
    <m/>
    <m/>
    <m/>
    <m/>
    <m/>
  </r>
  <r>
    <m/>
    <m/>
    <m/>
    <x v="2"/>
    <x v="0"/>
    <s v="shortName"/>
    <s v="BEMA (ITI)"/>
    <m/>
    <x v="0"/>
    <s v="shortName"/>
    <s v="OEMI (ITI)"/>
    <m/>
    <m/>
    <m/>
    <m/>
    <m/>
    <m/>
    <m/>
  </r>
  <r>
    <m/>
    <m/>
    <m/>
    <x v="2"/>
    <x v="0"/>
    <s v="shortName"/>
    <s v="OEMI (ITI)"/>
    <m/>
    <x v="0"/>
    <s v="shortName"/>
    <s v="NAOAM (ITI)"/>
    <m/>
    <m/>
    <m/>
    <m/>
    <m/>
    <m/>
    <m/>
  </r>
  <r>
    <m/>
    <m/>
    <m/>
    <x v="3"/>
    <x v="0"/>
    <s v="shortName"/>
    <s v="ANSI"/>
    <m/>
    <x v="0"/>
    <s v="shortName"/>
    <s v="INCITS"/>
    <m/>
    <s v="accredits"/>
    <m/>
    <m/>
    <m/>
    <m/>
    <m/>
  </r>
  <r>
    <m/>
    <m/>
    <m/>
    <x v="3"/>
    <x v="0"/>
    <s v="shortName"/>
    <s v="ANSI"/>
    <m/>
    <x v="0"/>
    <s v="shortName"/>
    <s v="NCITS (INCITS)"/>
    <m/>
    <s v="accredits"/>
    <m/>
    <m/>
    <m/>
    <m/>
    <m/>
  </r>
  <r>
    <m/>
    <m/>
    <m/>
    <x v="3"/>
    <x v="0"/>
    <s v="shortName"/>
    <s v="ANSI"/>
    <m/>
    <x v="0"/>
    <s v="shortName"/>
    <s v="X3 (INCITS)"/>
    <m/>
    <s v="accredits"/>
    <m/>
    <m/>
    <m/>
    <m/>
    <m/>
  </r>
  <r>
    <m/>
    <m/>
    <m/>
    <x v="3"/>
    <x v="0"/>
    <s v="shortName"/>
    <s v="USASI (ANSI)"/>
    <m/>
    <x v="0"/>
    <s v="shortName"/>
    <s v="X3 (INCITS)"/>
    <m/>
    <s v="accredits"/>
    <m/>
    <m/>
    <m/>
    <m/>
    <m/>
  </r>
  <r>
    <m/>
    <m/>
    <m/>
    <x v="3"/>
    <x v="0"/>
    <s v="shortName"/>
    <s v="ASA (ANSI)"/>
    <m/>
    <x v="0"/>
    <s v="shortName"/>
    <s v="X3 (INCITS)"/>
    <m/>
    <s v="accredits"/>
    <m/>
    <m/>
    <m/>
    <m/>
    <m/>
  </r>
  <r>
    <m/>
    <m/>
    <m/>
    <x v="3"/>
    <x v="0"/>
    <s v="shortName"/>
    <s v="ITI"/>
    <m/>
    <x v="0"/>
    <s v="shortName"/>
    <s v="INCITS"/>
    <m/>
    <s v="sponsors"/>
    <m/>
    <m/>
    <m/>
    <m/>
    <m/>
  </r>
  <r>
    <m/>
    <m/>
    <m/>
    <x v="3"/>
    <x v="0"/>
    <s v="shortName"/>
    <s v="ITI"/>
    <m/>
    <x v="0"/>
    <s v="shortName"/>
    <s v="NCITS (INCITS)"/>
    <m/>
    <s v="sponsors"/>
    <m/>
    <m/>
    <m/>
    <m/>
    <m/>
  </r>
  <r>
    <m/>
    <m/>
    <m/>
    <x v="3"/>
    <x v="0"/>
    <s v="shortName"/>
    <s v="ITI"/>
    <m/>
    <x v="0"/>
    <s v="shortName"/>
    <s v="X3 (INCITS)"/>
    <m/>
    <s v="sponsors"/>
    <m/>
    <m/>
    <m/>
    <m/>
    <m/>
  </r>
  <r>
    <m/>
    <m/>
    <m/>
    <x v="3"/>
    <x v="0"/>
    <s v="shortName"/>
    <s v="CBEMA (ITI)"/>
    <m/>
    <x v="0"/>
    <s v="shortName"/>
    <s v="X3 (INCITS)"/>
    <m/>
    <s v="sponsors"/>
    <m/>
    <m/>
    <m/>
    <m/>
    <m/>
  </r>
  <r>
    <m/>
    <m/>
    <m/>
    <x v="3"/>
    <x v="0"/>
    <s v="shortName"/>
    <s v="BEMA (ITI)"/>
    <m/>
    <x v="0"/>
    <s v="shortName"/>
    <s v="X3 (INCITS)"/>
    <m/>
    <s v="sponsors"/>
    <m/>
    <m/>
    <m/>
    <m/>
    <m/>
  </r>
  <r>
    <m/>
    <m/>
    <m/>
    <x v="3"/>
    <x v="0"/>
    <s v="shortName"/>
    <s v="ANSI"/>
    <m/>
    <x v="0"/>
    <s v="shortName"/>
    <s v="ISO"/>
    <m/>
    <s v="national representative"/>
    <m/>
    <m/>
    <m/>
    <m/>
    <m/>
  </r>
  <r>
    <m/>
    <m/>
    <m/>
    <x v="0"/>
    <x v="0"/>
    <s v="shortName"/>
    <s v="ANSI"/>
    <m/>
    <x v="0"/>
    <s v="shortName"/>
    <s v="USNC (ANSI)"/>
    <m/>
    <m/>
    <m/>
    <m/>
    <m/>
    <m/>
    <m/>
  </r>
  <r>
    <m/>
    <m/>
    <m/>
    <x v="3"/>
    <x v="0"/>
    <s v="shortName"/>
    <s v="USNC (ANSI)"/>
    <m/>
    <x v="0"/>
    <s v="shortName"/>
    <s v="IEC"/>
    <m/>
    <s v="national representative"/>
    <m/>
    <m/>
    <m/>
    <m/>
    <m/>
  </r>
  <r>
    <m/>
    <m/>
    <m/>
    <x v="3"/>
    <x v="0"/>
    <s v="shortName"/>
    <s v="INCITS/L2"/>
    <m/>
    <x v="0"/>
    <s v="shortName"/>
    <s v="JTC1 SC 2"/>
    <m/>
    <s v="technical advisory group"/>
    <m/>
    <m/>
    <m/>
    <m/>
    <m/>
  </r>
  <r>
    <m/>
    <m/>
    <m/>
    <x v="2"/>
    <x v="0"/>
    <s v="shortName"/>
    <s v="Ecma"/>
    <m/>
    <x v="0"/>
    <s v="shortName"/>
    <s v="ECMA (Ecma)"/>
    <m/>
    <m/>
    <m/>
    <m/>
    <m/>
    <m/>
    <m/>
  </r>
  <r>
    <m/>
    <m/>
    <m/>
    <x v="0"/>
    <x v="0"/>
    <s v="shortName"/>
    <s v="Ecma"/>
    <m/>
    <x v="0"/>
    <s v="shortName"/>
    <s v="ECMA TC1"/>
    <m/>
    <m/>
    <m/>
    <m/>
    <m/>
    <m/>
    <m/>
  </r>
  <r>
    <m/>
    <m/>
    <m/>
    <x v="0"/>
    <x v="0"/>
    <s v="shortName"/>
    <s v="ECMA (Ecma)"/>
    <m/>
    <x v="0"/>
    <s v="shortName"/>
    <s v="ECMA TC1"/>
    <m/>
    <m/>
    <m/>
    <m/>
    <m/>
    <m/>
    <m/>
  </r>
  <r>
    <m/>
    <m/>
    <m/>
    <x v="0"/>
    <x v="0"/>
    <s v="shortName"/>
    <s v="IETF"/>
    <m/>
    <x v="0"/>
    <s v="shortName"/>
    <s v="IETF SEC Area"/>
    <m/>
    <m/>
    <m/>
    <m/>
    <m/>
    <m/>
    <m/>
  </r>
  <r>
    <m/>
    <m/>
    <m/>
    <x v="0"/>
    <x v="0"/>
    <s v="shortName"/>
    <s v="IETF SEC Area"/>
    <s v="IETF"/>
    <x v="0"/>
    <s v="shortName"/>
    <s v="oauth WG"/>
    <s v="oauth WG"/>
    <m/>
    <m/>
    <m/>
    <m/>
    <m/>
    <m/>
  </r>
  <r>
    <m/>
    <m/>
    <m/>
    <x v="0"/>
    <x v="0"/>
    <s v="shortName"/>
    <s v="IETF SEC Area"/>
    <s v="IETF"/>
    <x v="0"/>
    <s v="shortName"/>
    <s v="jose WG"/>
    <s v="jose WG"/>
    <m/>
    <m/>
    <m/>
    <m/>
    <m/>
    <m/>
  </r>
  <r>
    <m/>
    <m/>
    <m/>
    <x v="0"/>
    <x v="0"/>
    <s v="shortName"/>
    <s v="IETF SEC Area"/>
    <m/>
    <x v="0"/>
    <s v="shortName"/>
    <s v="scim WG"/>
    <m/>
    <m/>
    <m/>
    <m/>
    <m/>
    <m/>
    <m/>
  </r>
  <r>
    <m/>
    <m/>
    <m/>
    <x v="0"/>
    <x v="0"/>
    <s v="shortName"/>
    <s v="IETF SEC Area"/>
    <m/>
    <x v="0"/>
    <s v="shortName"/>
    <s v="cose WG"/>
    <m/>
    <m/>
    <m/>
    <m/>
    <m/>
    <m/>
    <m/>
  </r>
  <r>
    <m/>
    <m/>
    <m/>
    <x v="0"/>
    <x v="0"/>
    <s v="shortName"/>
    <s v="IETF SEC Area"/>
    <m/>
    <x v="0"/>
    <s v="shortName"/>
    <s v="spice WG"/>
    <m/>
    <m/>
    <m/>
    <m/>
    <m/>
    <m/>
    <m/>
  </r>
  <r>
    <m/>
    <m/>
    <m/>
    <x v="0"/>
    <x v="0"/>
    <s v="shortName"/>
    <s v="IETF SEC Area"/>
    <m/>
    <x v="0"/>
    <s v="shortName"/>
    <s v="rats WG"/>
    <m/>
    <m/>
    <m/>
    <m/>
    <m/>
    <m/>
    <m/>
  </r>
  <r>
    <m/>
    <m/>
    <m/>
    <x v="0"/>
    <x v="0"/>
    <s v="shortName"/>
    <s v="IETF SEC Area"/>
    <m/>
    <x v="0"/>
    <s v="shortName"/>
    <s v="scitt WG"/>
    <m/>
    <m/>
    <m/>
    <m/>
    <m/>
    <m/>
    <m/>
  </r>
  <r>
    <m/>
    <m/>
    <m/>
    <x v="0"/>
    <x v="0"/>
    <s v="shortName"/>
    <s v="IETF SEC Area"/>
    <m/>
    <x v="0"/>
    <s v="shortName"/>
    <s v="ace WG"/>
    <m/>
    <m/>
    <m/>
    <m/>
    <m/>
    <m/>
    <m/>
  </r>
  <r>
    <m/>
    <m/>
    <m/>
    <x v="0"/>
    <x v="0"/>
    <s v="shortName"/>
    <s v="IETF SEC Area"/>
    <m/>
    <x v="0"/>
    <s v="shortName"/>
    <s v="httpauth WG"/>
    <m/>
    <m/>
    <m/>
    <m/>
    <m/>
    <m/>
    <m/>
  </r>
  <r>
    <m/>
    <m/>
    <m/>
    <x v="0"/>
    <x v="0"/>
    <s v="shortName"/>
    <s v="IETF SEC Area"/>
    <m/>
    <x v="0"/>
    <s v="shortName"/>
    <s v="kitten WG"/>
    <m/>
    <m/>
    <m/>
    <m/>
    <m/>
    <m/>
    <m/>
  </r>
  <r>
    <m/>
    <m/>
    <m/>
    <x v="0"/>
    <x v="0"/>
    <s v="shortName"/>
    <s v="IETF SEC Area"/>
    <m/>
    <x v="0"/>
    <s v="shortName"/>
    <s v="radext WG"/>
    <m/>
    <m/>
    <m/>
    <m/>
    <m/>
    <m/>
    <m/>
  </r>
  <r>
    <m/>
    <m/>
    <m/>
    <x v="0"/>
    <x v="0"/>
    <s v="shortName"/>
    <s v="IETF SEC Area"/>
    <m/>
    <x v="0"/>
    <s v="shortName"/>
    <s v="tls WG"/>
    <m/>
    <m/>
    <m/>
    <m/>
    <m/>
    <m/>
    <m/>
  </r>
  <r>
    <m/>
    <m/>
    <m/>
    <x v="0"/>
    <x v="0"/>
    <s v="shortName"/>
    <s v="IETF SEC Area"/>
    <m/>
    <x v="0"/>
    <s v="shortName"/>
    <s v="uta WG"/>
    <m/>
    <m/>
    <m/>
    <m/>
    <m/>
    <m/>
    <m/>
  </r>
  <r>
    <m/>
    <m/>
    <m/>
    <x v="0"/>
    <x v="0"/>
    <s v="shortName"/>
    <s v="IETF"/>
    <m/>
    <x v="0"/>
    <s v="shortName"/>
    <s v="IETF ART Area"/>
    <m/>
    <m/>
    <m/>
    <m/>
    <m/>
    <m/>
    <m/>
  </r>
  <r>
    <m/>
    <m/>
    <m/>
    <x v="0"/>
    <x v="0"/>
    <s v="shortName"/>
    <s v="IETF ART Area"/>
    <m/>
    <x v="0"/>
    <s v="shortName"/>
    <s v="appsawg WG"/>
    <m/>
    <m/>
    <m/>
    <m/>
    <m/>
    <m/>
    <m/>
  </r>
  <r>
    <m/>
    <m/>
    <m/>
    <x v="0"/>
    <x v="0"/>
    <s v="shortName"/>
    <s v="IETF ART Area"/>
    <m/>
    <x v="0"/>
    <s v="shortName"/>
    <s v="wimse WG"/>
    <m/>
    <m/>
    <m/>
    <m/>
    <m/>
    <m/>
    <m/>
  </r>
  <r>
    <m/>
    <m/>
    <m/>
    <x v="0"/>
    <x v="0"/>
    <s v="shortName"/>
    <s v="IETF ART Area"/>
    <m/>
    <x v="0"/>
    <s v="shortName"/>
    <s v="xmpp WG"/>
    <m/>
    <m/>
    <m/>
    <m/>
    <m/>
    <m/>
    <m/>
  </r>
  <r>
    <m/>
    <m/>
    <m/>
    <x v="0"/>
    <x v="0"/>
    <s v="shortName"/>
    <s v="IETF"/>
    <m/>
    <x v="0"/>
    <s v="shortName"/>
    <s v="IETF APP Area"/>
    <m/>
    <m/>
    <m/>
    <m/>
    <m/>
    <m/>
    <m/>
  </r>
  <r>
    <m/>
    <m/>
    <m/>
    <x v="0"/>
    <x v="0"/>
    <s v="shortName"/>
    <s v="IETF APP Area"/>
    <m/>
    <x v="0"/>
    <s v="shortName"/>
    <s v="http WG"/>
    <m/>
    <m/>
    <m/>
    <m/>
    <m/>
    <m/>
    <m/>
  </r>
  <r>
    <m/>
    <m/>
    <m/>
    <x v="0"/>
    <x v="0"/>
    <s v="shortName"/>
    <s v="IETF APP Area"/>
    <m/>
    <x v="0"/>
    <s v="shortName"/>
    <s v="tn3270e WG"/>
    <m/>
    <m/>
    <m/>
    <m/>
    <m/>
    <m/>
    <m/>
  </r>
  <r>
    <m/>
    <m/>
    <m/>
    <x v="0"/>
    <x v="0"/>
    <s v="shortName"/>
    <s v="IETF APP Area"/>
    <m/>
    <x v="0"/>
    <s v="shortName"/>
    <s v="uribof WG"/>
    <m/>
    <m/>
    <m/>
    <m/>
    <m/>
    <m/>
    <m/>
  </r>
  <r>
    <m/>
    <m/>
    <m/>
    <x v="0"/>
    <x v="0"/>
    <s v="shortName"/>
    <s v="IETF APP Area"/>
    <m/>
    <x v="0"/>
    <s v="shortName"/>
    <s v="urlreg WG"/>
    <m/>
    <m/>
    <m/>
    <m/>
    <m/>
    <m/>
    <m/>
  </r>
  <r>
    <m/>
    <m/>
    <m/>
    <x v="0"/>
    <x v="0"/>
    <s v="shortName"/>
    <s v="IETF"/>
    <m/>
    <x v="0"/>
    <s v="shortName"/>
    <s v="IETF INT Area"/>
    <m/>
    <m/>
    <m/>
    <m/>
    <m/>
    <m/>
    <m/>
  </r>
  <r>
    <m/>
    <m/>
    <m/>
    <x v="0"/>
    <x v="0"/>
    <s v="shortName"/>
    <s v="IETF INT Area"/>
    <m/>
    <x v="0"/>
    <s v="shortName"/>
    <s v="6man WG"/>
    <m/>
    <m/>
    <m/>
    <m/>
    <m/>
    <m/>
    <m/>
  </r>
  <r>
    <m/>
    <m/>
    <m/>
    <x v="0"/>
    <x v="0"/>
    <s v="shortName"/>
    <s v="IETF INT Area"/>
    <m/>
    <x v="0"/>
    <s v="shortName"/>
    <s v="ipngwg WG"/>
    <m/>
    <m/>
    <m/>
    <m/>
    <m/>
    <m/>
    <m/>
  </r>
  <r>
    <m/>
    <m/>
    <m/>
    <x v="0"/>
    <x v="0"/>
    <s v="shortName"/>
    <s v="IETF INT Area"/>
    <m/>
    <x v="0"/>
    <s v="shortName"/>
    <s v="ipv6 WG"/>
    <m/>
    <m/>
    <m/>
    <m/>
    <m/>
    <m/>
    <m/>
  </r>
  <r>
    <m/>
    <m/>
    <m/>
    <x v="0"/>
    <x v="0"/>
    <s v="shortName"/>
    <s v="IETF"/>
    <m/>
    <x v="0"/>
    <s v="shortName"/>
    <s v="IETF WIT Area"/>
    <m/>
    <m/>
    <m/>
    <m/>
    <m/>
    <m/>
    <m/>
  </r>
  <r>
    <m/>
    <m/>
    <m/>
    <x v="0"/>
    <x v="0"/>
    <s v="shortName"/>
    <s v="IETF WIT Area"/>
    <m/>
    <x v="0"/>
    <s v="shortName"/>
    <s v="httpbis WG"/>
    <m/>
    <m/>
    <m/>
    <m/>
    <m/>
    <m/>
    <m/>
  </r>
  <r>
    <m/>
    <m/>
    <m/>
    <x v="0"/>
    <x v="0"/>
    <s v="shortName"/>
    <s v="IETF WIT Area"/>
    <m/>
    <x v="0"/>
    <s v="shortName"/>
    <s v="quic WG"/>
    <m/>
    <m/>
    <m/>
    <m/>
    <m/>
    <m/>
    <m/>
  </r>
  <r>
    <m/>
    <m/>
    <m/>
    <x v="0"/>
    <x v="0"/>
    <s v="shortName"/>
    <s v="OIDF"/>
    <s v="OIDF"/>
    <x v="0"/>
    <s v="shortName"/>
    <s v="AB/Connect WG"/>
    <s v="AB/Connect WG"/>
    <m/>
    <m/>
    <m/>
    <m/>
    <m/>
    <m/>
  </r>
  <r>
    <m/>
    <m/>
    <m/>
    <x v="0"/>
    <x v="0"/>
    <s v="shortName"/>
    <s v="OIDF"/>
    <m/>
    <x v="0"/>
    <s v="shortName"/>
    <s v="AuthZEN WG"/>
    <m/>
    <m/>
    <m/>
    <m/>
    <m/>
    <m/>
    <m/>
  </r>
  <r>
    <m/>
    <m/>
    <m/>
    <x v="0"/>
    <x v="0"/>
    <s v="shortName"/>
    <s v="OIDF"/>
    <m/>
    <x v="0"/>
    <s v="shortName"/>
    <s v="DCP WG"/>
    <m/>
    <m/>
    <m/>
    <m/>
    <m/>
    <m/>
    <m/>
  </r>
  <r>
    <m/>
    <m/>
    <m/>
    <x v="0"/>
    <x v="0"/>
    <s v="shortName"/>
    <s v="OIDF"/>
    <m/>
    <x v="0"/>
    <s v="shortName"/>
    <s v="EAP WG"/>
    <m/>
    <m/>
    <m/>
    <m/>
    <m/>
    <m/>
    <m/>
  </r>
  <r>
    <m/>
    <m/>
    <m/>
    <x v="0"/>
    <x v="0"/>
    <s v="shortName"/>
    <s v="OIDF"/>
    <s v="OIDF"/>
    <x v="0"/>
    <s v="shortName"/>
    <s v="eKYC-IDA WG"/>
    <s v="eKYC-IDA WG"/>
    <m/>
    <m/>
    <m/>
    <m/>
    <m/>
    <m/>
  </r>
  <r>
    <m/>
    <m/>
    <m/>
    <x v="0"/>
    <x v="0"/>
    <s v="shortName"/>
    <s v="OIDF"/>
    <s v="OIDF"/>
    <x v="0"/>
    <s v="shortName"/>
    <s v="FAPI WG"/>
    <s v="FAPI WG"/>
    <m/>
    <m/>
    <m/>
    <m/>
    <m/>
    <m/>
  </r>
  <r>
    <m/>
    <m/>
    <m/>
    <x v="0"/>
    <x v="0"/>
    <s v="shortName"/>
    <s v="OIDF"/>
    <m/>
    <x v="0"/>
    <s v="shortName"/>
    <s v="FastFed WG"/>
    <m/>
    <m/>
    <m/>
    <m/>
    <m/>
    <m/>
    <m/>
  </r>
  <r>
    <m/>
    <m/>
    <m/>
    <x v="0"/>
    <x v="0"/>
    <s v="shortName"/>
    <s v="OIDF"/>
    <m/>
    <x v="0"/>
    <s v="shortName"/>
    <s v="HEART WG"/>
    <m/>
    <m/>
    <m/>
    <m/>
    <m/>
    <m/>
    <m/>
  </r>
  <r>
    <m/>
    <m/>
    <m/>
    <x v="0"/>
    <x v="0"/>
    <s v="shortName"/>
    <s v="OIDF"/>
    <m/>
    <x v="0"/>
    <s v="shortName"/>
    <s v="iGov WG"/>
    <m/>
    <m/>
    <m/>
    <m/>
    <m/>
    <m/>
    <m/>
  </r>
  <r>
    <m/>
    <m/>
    <m/>
    <x v="0"/>
    <x v="0"/>
    <s v="shortName"/>
    <s v="OIDF"/>
    <m/>
    <x v="0"/>
    <s v="shortName"/>
    <s v="IPSIE WG"/>
    <m/>
    <m/>
    <m/>
    <m/>
    <m/>
    <m/>
    <m/>
  </r>
  <r>
    <m/>
    <m/>
    <m/>
    <x v="0"/>
    <x v="0"/>
    <s v="shortName"/>
    <s v="OIDF"/>
    <s v="OIDF"/>
    <x v="0"/>
    <s v="shortName"/>
    <s v="MODRNA WG"/>
    <s v="MODRNA WG"/>
    <m/>
    <m/>
    <m/>
    <m/>
    <m/>
    <m/>
  </r>
  <r>
    <m/>
    <m/>
    <m/>
    <x v="0"/>
    <x v="0"/>
    <s v="shortName"/>
    <s v="OIDF"/>
    <m/>
    <x v="0"/>
    <s v="shortName"/>
    <s v="R&amp;E WG"/>
    <m/>
    <m/>
    <m/>
    <m/>
    <m/>
    <m/>
    <m/>
  </r>
  <r>
    <m/>
    <m/>
    <m/>
    <x v="0"/>
    <x v="0"/>
    <s v="shortName"/>
    <s v="OIDF"/>
    <m/>
    <x v="0"/>
    <s v="shortName"/>
    <s v="Shared Signals WG"/>
    <m/>
    <m/>
    <m/>
    <m/>
    <m/>
    <m/>
    <m/>
  </r>
  <r>
    <m/>
    <m/>
    <m/>
    <x v="0"/>
    <x v="0"/>
    <s v="shortName"/>
    <s v="OASIS"/>
    <s v="OASIS Open"/>
    <x v="0"/>
    <s v="shortName"/>
    <s v="Security TC"/>
    <s v="SS TC"/>
    <m/>
    <m/>
    <m/>
    <m/>
    <m/>
    <m/>
  </r>
  <r>
    <m/>
    <m/>
    <m/>
    <x v="0"/>
    <x v="0"/>
    <s v="shortName"/>
    <s v="OASIS"/>
    <m/>
    <x v="0"/>
    <s v="shortName"/>
    <s v="WSFed TC"/>
    <m/>
    <m/>
    <m/>
    <m/>
    <m/>
    <m/>
    <m/>
  </r>
  <r>
    <m/>
    <m/>
    <m/>
    <x v="0"/>
    <x v="0"/>
    <s v="shortName"/>
    <s v="OASIS"/>
    <m/>
    <x v="0"/>
    <s v="shortName"/>
    <s v="WS-SX TC"/>
    <m/>
    <m/>
    <m/>
    <m/>
    <m/>
    <m/>
    <m/>
  </r>
  <r>
    <m/>
    <m/>
    <m/>
    <x v="0"/>
    <x v="0"/>
    <s v="shortName"/>
    <s v="OASIS"/>
    <m/>
    <x v="0"/>
    <s v="shortName"/>
    <s v="WSS TC"/>
    <m/>
    <m/>
    <m/>
    <m/>
    <m/>
    <m/>
    <m/>
  </r>
  <r>
    <m/>
    <m/>
    <m/>
    <x v="0"/>
    <x v="0"/>
    <s v="shortName"/>
    <s v="OASIS"/>
    <m/>
    <x v="0"/>
    <s v="shortName"/>
    <s v="WSS-M TC"/>
    <m/>
    <m/>
    <m/>
    <m/>
    <m/>
    <m/>
    <m/>
  </r>
  <r>
    <m/>
    <m/>
    <m/>
    <x v="0"/>
    <x v="0"/>
    <s v="shortName"/>
    <s v="OASIS"/>
    <m/>
    <x v="0"/>
    <s v="shortName"/>
    <s v="XACML TC"/>
    <m/>
    <m/>
    <m/>
    <m/>
    <m/>
    <m/>
    <m/>
  </r>
  <r>
    <m/>
    <m/>
    <m/>
    <x v="0"/>
    <x v="0"/>
    <s v="shortName"/>
    <s v="SVTA"/>
    <s v="SVTA"/>
    <x v="0"/>
    <s v="shortName"/>
    <s v="OATC"/>
    <s v="OATC"/>
    <m/>
    <m/>
    <m/>
    <m/>
    <m/>
    <m/>
  </r>
  <r>
    <m/>
    <m/>
    <m/>
    <x v="0"/>
    <x v="0"/>
    <s v="shortName"/>
    <s v="W3C"/>
    <m/>
    <x v="0"/>
    <s v="shortName"/>
    <s v="did WG"/>
    <m/>
    <m/>
    <m/>
    <m/>
    <m/>
    <m/>
    <m/>
  </r>
  <r>
    <m/>
    <m/>
    <m/>
    <x v="0"/>
    <x v="0"/>
    <s v="shortName"/>
    <s v="W3C"/>
    <m/>
    <x v="0"/>
    <s v="shortName"/>
    <s v="fedid WG"/>
    <m/>
    <m/>
    <m/>
    <m/>
    <m/>
    <m/>
    <m/>
  </r>
  <r>
    <m/>
    <m/>
    <m/>
    <x v="0"/>
    <x v="0"/>
    <s v="shortName"/>
    <s v="W3C"/>
    <m/>
    <x v="0"/>
    <s v="shortName"/>
    <s v="vc WG"/>
    <m/>
    <m/>
    <m/>
    <m/>
    <m/>
    <m/>
    <m/>
  </r>
  <r>
    <m/>
    <m/>
    <m/>
    <x v="0"/>
    <x v="0"/>
    <s v="shortName"/>
    <s v="W3C"/>
    <m/>
    <x v="0"/>
    <s v="shortName"/>
    <s v="webauthn WG"/>
    <m/>
    <m/>
    <m/>
    <m/>
    <m/>
    <m/>
    <m/>
  </r>
  <r>
    <m/>
    <m/>
    <m/>
    <x v="0"/>
    <x v="0"/>
    <s v="shortName"/>
    <s v="FIDO Alliance"/>
    <m/>
    <x v="0"/>
    <s v="shortName"/>
    <s v="FIDO2 TWG"/>
    <m/>
    <m/>
    <m/>
    <m/>
    <m/>
    <m/>
    <m/>
  </r>
  <r>
    <m/>
    <m/>
    <m/>
    <x v="0"/>
    <x v="0"/>
    <s v="shortName"/>
    <s v="FIDO Alliance"/>
    <m/>
    <x v="0"/>
    <s v="shortName"/>
    <s v="DO TWG"/>
    <m/>
    <m/>
    <m/>
    <m/>
    <m/>
    <m/>
    <m/>
  </r>
  <r>
    <m/>
    <m/>
    <m/>
    <x v="0"/>
    <x v="0"/>
    <s v="shortName"/>
    <s v="FIDO Alliance"/>
    <m/>
    <x v="0"/>
    <s v="shortName"/>
    <s v="Metadata TWG"/>
    <m/>
    <m/>
    <m/>
    <m/>
    <m/>
    <m/>
    <m/>
  </r>
  <r>
    <m/>
    <m/>
    <m/>
    <x v="0"/>
    <x v="0"/>
    <s v="shortName"/>
    <s v="FIDO Alliance"/>
    <m/>
    <x v="0"/>
    <s v="shortName"/>
    <s v="UAF TWG"/>
    <m/>
    <m/>
    <m/>
    <m/>
    <m/>
    <m/>
    <m/>
  </r>
  <r>
    <m/>
    <m/>
    <m/>
    <x v="0"/>
    <x v="0"/>
    <s v="shortName"/>
    <s v="Kantara"/>
    <m/>
    <x v="0"/>
    <s v="shortName"/>
    <s v="UMA WG"/>
    <m/>
    <m/>
    <m/>
    <m/>
    <m/>
    <m/>
    <m/>
  </r>
  <r>
    <m/>
    <m/>
    <m/>
    <x v="0"/>
    <x v="0"/>
    <s v="shortName"/>
    <s v="Kantara"/>
    <m/>
    <x v="0"/>
    <s v="shortName"/>
    <s v="IA WG"/>
    <m/>
    <m/>
    <m/>
    <m/>
    <m/>
    <m/>
    <m/>
  </r>
  <r>
    <m/>
    <m/>
    <m/>
    <x v="0"/>
    <x v="0"/>
    <s v="shortName"/>
    <s v="Kantara"/>
    <m/>
    <x v="0"/>
    <s v="shortName"/>
    <s v="RIUP WG"/>
    <m/>
    <m/>
    <m/>
    <m/>
    <m/>
    <m/>
    <m/>
  </r>
  <r>
    <m/>
    <m/>
    <m/>
    <x v="0"/>
    <x v="0"/>
    <s v="shortName"/>
    <s v="Kantara"/>
    <m/>
    <x v="0"/>
    <s v="shortName"/>
    <s v="PEMC WG"/>
    <m/>
    <m/>
    <m/>
    <m/>
    <m/>
    <m/>
    <m/>
  </r>
  <r>
    <m/>
    <m/>
    <m/>
    <x v="0"/>
    <x v="0"/>
    <s v="shortName"/>
    <s v="Kantara"/>
    <m/>
    <x v="0"/>
    <s v="shortName"/>
    <s v="ANCR WG"/>
    <m/>
    <m/>
    <m/>
    <m/>
    <m/>
    <m/>
    <m/>
  </r>
  <r>
    <m/>
    <m/>
    <m/>
    <x v="2"/>
    <x v="0"/>
    <s v="shortName"/>
    <s v="Netscape"/>
    <m/>
    <x v="0"/>
    <s v="shortName"/>
    <s v="Mosaic (Netscape)"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s v="ASCII"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5"/>
    <x v="0"/>
    <s v="shortName"/>
    <s v="X3.2"/>
    <m/>
    <x v="2"/>
    <s v="reference"/>
    <s v="US-ASCII [ASA X3.4-1963]"/>
    <m/>
    <m/>
    <m/>
    <m/>
    <m/>
    <m/>
    <m/>
  </r>
  <r>
    <m/>
    <m/>
    <m/>
    <x v="6"/>
    <x v="2"/>
    <s v="reference"/>
    <s v="US-ASCII [ASA X3.4-1963]"/>
    <m/>
    <x v="3"/>
    <s v="reference"/>
    <s v="US-ASCII"/>
    <m/>
    <m/>
    <m/>
    <m/>
    <m/>
    <m/>
    <m/>
  </r>
  <r>
    <m/>
    <m/>
    <m/>
    <x v="5"/>
    <x v="0"/>
    <s v="shortName"/>
    <s v="X3.2"/>
    <m/>
    <x v="2"/>
    <s v="reference"/>
    <s v="US-ASCII [ASA X3.4-1965]"/>
    <m/>
    <m/>
    <m/>
    <m/>
    <m/>
    <m/>
    <m/>
  </r>
  <r>
    <m/>
    <m/>
    <m/>
    <x v="6"/>
    <x v="2"/>
    <s v="reference"/>
    <s v="US-ASCII [ASA X3.4-1965]"/>
    <m/>
    <x v="3"/>
    <s v="reference"/>
    <s v="US-ASCII"/>
    <m/>
    <m/>
    <m/>
    <m/>
    <m/>
    <m/>
    <m/>
  </r>
  <r>
    <m/>
    <m/>
    <m/>
    <x v="7"/>
    <x v="2"/>
    <s v="reference"/>
    <s v="US-ASCII [ASA X3.4-1965]"/>
    <m/>
    <x v="2"/>
    <s v="reference"/>
    <s v="US-ASCII [ASA X3.4-1963]"/>
    <m/>
    <m/>
    <m/>
    <m/>
    <m/>
    <m/>
    <m/>
  </r>
  <r>
    <m/>
    <m/>
    <m/>
    <x v="5"/>
    <x v="0"/>
    <s v="shortName"/>
    <s v="X3.2"/>
    <m/>
    <x v="2"/>
    <s v="reference"/>
    <s v="US-ASCII [USAS X3.4-1967]"/>
    <m/>
    <m/>
    <m/>
    <m/>
    <m/>
    <m/>
    <m/>
  </r>
  <r>
    <m/>
    <m/>
    <m/>
    <x v="6"/>
    <x v="2"/>
    <s v="reference"/>
    <s v="US-ASCII [USAS X3.4-1967]"/>
    <m/>
    <x v="3"/>
    <s v="reference"/>
    <s v="US-ASCII"/>
    <m/>
    <m/>
    <m/>
    <m/>
    <m/>
    <m/>
    <m/>
  </r>
  <r>
    <m/>
    <m/>
    <m/>
    <x v="7"/>
    <x v="2"/>
    <s v="reference"/>
    <s v="US-ASCII [USAS X3.4-1967]"/>
    <m/>
    <x v="2"/>
    <s v="reference"/>
    <s v="US-ASCII [ASA X3.4-1965]"/>
    <m/>
    <m/>
    <m/>
    <m/>
    <m/>
    <m/>
    <m/>
  </r>
  <r>
    <m/>
    <m/>
    <m/>
    <x v="5"/>
    <x v="0"/>
    <s v="shortName"/>
    <s v="X3.2"/>
    <m/>
    <x v="2"/>
    <s v="reference"/>
    <s v="US-ASCII [USAS X3.4-1968]"/>
    <m/>
    <m/>
    <m/>
    <m/>
    <m/>
    <m/>
    <m/>
  </r>
  <r>
    <m/>
    <m/>
    <m/>
    <x v="6"/>
    <x v="2"/>
    <s v="reference"/>
    <s v="US-ASCII [USAS X3.4-1968]"/>
    <m/>
    <x v="3"/>
    <s v="reference"/>
    <s v="US-ASCII"/>
    <m/>
    <m/>
    <m/>
    <m/>
    <m/>
    <m/>
    <m/>
  </r>
  <r>
    <m/>
    <m/>
    <m/>
    <x v="7"/>
    <x v="2"/>
    <s v="reference"/>
    <s v="US-ASCII [USAS X3.4-1968]"/>
    <m/>
    <x v="2"/>
    <s v="reference"/>
    <s v="US-ASCII [USAS X3.4-1967]"/>
    <m/>
    <m/>
    <m/>
    <m/>
    <m/>
    <m/>
    <m/>
  </r>
  <r>
    <m/>
    <m/>
    <m/>
    <x v="8"/>
    <x v="2"/>
    <s v="reference"/>
    <s v="US-ASCII [USAS X3.4-1968]"/>
    <m/>
    <x v="2"/>
    <s v="reference"/>
    <s v="RFC20"/>
    <m/>
    <m/>
    <m/>
    <m/>
    <s v="textually equivalent"/>
    <m/>
    <m/>
  </r>
  <r>
    <m/>
    <m/>
    <m/>
    <x v="8"/>
    <x v="2"/>
    <s v="reference"/>
    <s v="US-ASCII [USAS X3.4-1968]"/>
    <m/>
    <x v="2"/>
    <s v="reference"/>
    <s v="ISO 646:1973"/>
    <m/>
    <m/>
    <m/>
    <m/>
    <s v="influenced"/>
    <m/>
    <m/>
  </r>
  <r>
    <m/>
    <m/>
    <m/>
    <x v="5"/>
    <x v="0"/>
    <s v="shortName"/>
    <s v="X3L2"/>
    <m/>
    <x v="2"/>
    <s v="reference"/>
    <s v="US-ASCII [ANSI X3.4-1977]"/>
    <m/>
    <m/>
    <m/>
    <m/>
    <m/>
    <m/>
    <m/>
  </r>
  <r>
    <m/>
    <m/>
    <m/>
    <x v="6"/>
    <x v="2"/>
    <s v="reference"/>
    <s v="US-ASCII [ANSI X3.4-1977]"/>
    <m/>
    <x v="3"/>
    <s v="reference"/>
    <s v="US-ASCII"/>
    <m/>
    <m/>
    <m/>
    <m/>
    <m/>
    <m/>
    <m/>
  </r>
  <r>
    <m/>
    <m/>
    <m/>
    <x v="7"/>
    <x v="2"/>
    <s v="reference"/>
    <s v="US-ASCII [ANSI X3.4-1977]"/>
    <m/>
    <x v="2"/>
    <s v="reference"/>
    <s v="US-ASCII [USAS X3.4-1968]"/>
    <m/>
    <m/>
    <m/>
    <m/>
    <m/>
    <m/>
    <m/>
  </r>
  <r>
    <m/>
    <m/>
    <m/>
    <x v="8"/>
    <x v="2"/>
    <s v="reference"/>
    <s v="US-ASCII [ANSI X3.4-1977]"/>
    <m/>
    <x v="2"/>
    <s v="reference"/>
    <s v="US-ASCII [ANSI X3.4-1986]"/>
    <m/>
    <m/>
    <m/>
    <m/>
    <s v="technically equivalent"/>
    <m/>
    <m/>
  </r>
  <r>
    <m/>
    <m/>
    <m/>
    <x v="5"/>
    <x v="0"/>
    <s v="shortName"/>
    <s v="X3L2"/>
    <m/>
    <x v="2"/>
    <s v="reference"/>
    <s v="US-ASCII [ANSI X3.4-1986]"/>
    <m/>
    <m/>
    <m/>
    <m/>
    <m/>
    <m/>
    <m/>
  </r>
  <r>
    <m/>
    <m/>
    <m/>
    <x v="6"/>
    <x v="2"/>
    <s v="reference"/>
    <s v="US-ASCII [ANSI X3.4-1986]"/>
    <m/>
    <x v="3"/>
    <s v="reference"/>
    <s v="US-ASCII"/>
    <m/>
    <m/>
    <m/>
    <m/>
    <m/>
    <m/>
    <m/>
  </r>
  <r>
    <m/>
    <m/>
    <m/>
    <x v="7"/>
    <x v="2"/>
    <s v="reference"/>
    <s v="US-ASCII [ANSI X3.4-1986]"/>
    <m/>
    <x v="2"/>
    <s v="reference"/>
    <s v="US-ASCII [ANSI X3.4-1977]"/>
    <m/>
    <m/>
    <m/>
    <m/>
    <m/>
    <m/>
    <m/>
  </r>
  <r>
    <m/>
    <m/>
    <m/>
    <x v="8"/>
    <x v="2"/>
    <s v="reference"/>
    <s v="US-ASCII [ANSI X3.4-1986]"/>
    <m/>
    <x v="2"/>
    <s v="reference"/>
    <s v="US-ASCII [ANSI X3.4-1977]"/>
    <m/>
    <m/>
    <m/>
    <m/>
    <s v="technically equivalent"/>
    <m/>
    <m/>
  </r>
  <r>
    <m/>
    <m/>
    <m/>
    <x v="8"/>
    <x v="2"/>
    <s v="reference"/>
    <s v="US-ASCII [ANSI X3.4-1986]"/>
    <m/>
    <x v="2"/>
    <s v="reference"/>
    <s v="ISO/IEC 646:1991"/>
    <m/>
    <m/>
    <m/>
    <m/>
    <s v="partially equivalent"/>
    <s v="ASCII is equivalent to IRV"/>
    <m/>
  </r>
  <r>
    <m/>
    <m/>
    <m/>
    <x v="8"/>
    <x v="2"/>
    <s v="reference"/>
    <s v="US-ASCII [ANSI X3.4-1986]"/>
    <m/>
    <x v="2"/>
    <s v="reference"/>
    <s v="ECMA-6 (12/1991)"/>
    <m/>
    <m/>
    <m/>
    <m/>
    <s v="partially equivalent"/>
    <s v="ASCII is equivalent to IRV"/>
    <m/>
  </r>
  <r>
    <m/>
    <m/>
    <m/>
    <x v="8"/>
    <x v="2"/>
    <s v="reference"/>
    <s v="US-ASCII [ANSI X3.4-1986]"/>
    <m/>
    <x v="2"/>
    <s v="reference"/>
    <s v="ITU-T Rec. T.50 (09/1992)"/>
    <m/>
    <m/>
    <m/>
    <m/>
    <s v="partially equivalent"/>
    <s v="ASCII is equivalent to IRV"/>
    <m/>
  </r>
  <r>
    <m/>
    <m/>
    <m/>
    <x v="5"/>
    <x v="0"/>
    <s v="shortName"/>
    <s v="X3L2"/>
    <m/>
    <x v="2"/>
    <s v="reference"/>
    <s v="US-ASCII [ANSI X3.4-1986 (R1992)]"/>
    <m/>
    <m/>
    <m/>
    <m/>
    <m/>
    <m/>
    <m/>
  </r>
  <r>
    <m/>
    <m/>
    <m/>
    <x v="6"/>
    <x v="2"/>
    <s v="reference"/>
    <s v="US-ASCII [ANSI X3.4-1986 (R1992)]"/>
    <m/>
    <x v="3"/>
    <s v="reference"/>
    <s v="US-ASCII"/>
    <m/>
    <m/>
    <m/>
    <m/>
    <m/>
    <m/>
    <m/>
  </r>
  <r>
    <m/>
    <m/>
    <m/>
    <x v="7"/>
    <x v="2"/>
    <s v="reference"/>
    <s v="US-ASCII [ANSI X3.4-1986 (R1992)]"/>
    <m/>
    <x v="2"/>
    <s v="reference"/>
    <s v="US-ASCII [ANSI X3.4-1986]"/>
    <m/>
    <m/>
    <m/>
    <m/>
    <m/>
    <m/>
    <m/>
  </r>
  <r>
    <m/>
    <m/>
    <m/>
    <x v="8"/>
    <x v="2"/>
    <s v="reference"/>
    <s v="US-ASCII [ANSI X3.4-1986 (R1992)]"/>
    <m/>
    <x v="2"/>
    <s v="reference"/>
    <s v="US-ASCII [ANSI X3.4-1986]"/>
    <m/>
    <m/>
    <m/>
    <m/>
    <s v="republication"/>
    <m/>
    <m/>
  </r>
  <r>
    <m/>
    <m/>
    <m/>
    <x v="8"/>
    <x v="2"/>
    <s v="reference"/>
    <s v="US-ASCII [ANSI X3.4-1986 (R1992)]"/>
    <m/>
    <x v="2"/>
    <s v="reference"/>
    <s v="US-ASCII [ANSI X3.4-1977]"/>
    <m/>
    <m/>
    <m/>
    <m/>
    <s v="technically equivalent"/>
    <m/>
    <m/>
  </r>
  <r>
    <m/>
    <m/>
    <m/>
    <x v="8"/>
    <x v="2"/>
    <s v="reference"/>
    <s v="US-ASCII [ANSI X3.4-1986 (R1992)]"/>
    <m/>
    <x v="2"/>
    <s v="reference"/>
    <s v="ISO/IEC 646:1991"/>
    <m/>
    <m/>
    <m/>
    <m/>
    <s v="partially equivalent"/>
    <s v="ASCII is equivalent to IRV"/>
    <m/>
  </r>
  <r>
    <m/>
    <m/>
    <m/>
    <x v="8"/>
    <x v="2"/>
    <s v="reference"/>
    <s v="US-ASCII [ANSI X3.4-1986 (R1992)]"/>
    <m/>
    <x v="2"/>
    <s v="reference"/>
    <s v="ECMA-6 (12/1991)"/>
    <m/>
    <m/>
    <m/>
    <m/>
    <s v="partially equivalent"/>
    <s v="ASCII is equivalent to IRV"/>
    <m/>
  </r>
  <r>
    <m/>
    <m/>
    <m/>
    <x v="8"/>
    <x v="2"/>
    <s v="reference"/>
    <s v="US-ASCII [ANSI X3.4-1986 (R1992)]"/>
    <m/>
    <x v="2"/>
    <s v="reference"/>
    <s v="ITU-T Rec. T.50 (09/1992)"/>
    <m/>
    <m/>
    <m/>
    <m/>
    <s v="partially equivalent"/>
    <s v="ASCII is equivalent to IRV"/>
    <m/>
  </r>
  <r>
    <m/>
    <m/>
    <m/>
    <x v="5"/>
    <x v="0"/>
    <s v="shortName"/>
    <s v="X3L2"/>
    <m/>
    <x v="2"/>
    <s v="reference"/>
    <s v="US-ASCII [ANSI X3.4-1986 (R1997)]"/>
    <m/>
    <m/>
    <m/>
    <m/>
    <m/>
    <m/>
    <m/>
  </r>
  <r>
    <m/>
    <m/>
    <m/>
    <x v="6"/>
    <x v="2"/>
    <s v="reference"/>
    <s v="US-ASCII [ANSI X3.4-1986 (R1997)]"/>
    <m/>
    <x v="3"/>
    <s v="reference"/>
    <s v="US-ASCII"/>
    <m/>
    <m/>
    <m/>
    <m/>
    <m/>
    <m/>
    <m/>
  </r>
  <r>
    <m/>
    <m/>
    <m/>
    <x v="7"/>
    <x v="2"/>
    <s v="reference"/>
    <s v="US-ASCII [ANSI X3.4-1986 (R1997)]"/>
    <m/>
    <x v="2"/>
    <s v="reference"/>
    <s v="US-ASCII [ANSI X3.4-1986 (R1992)]"/>
    <m/>
    <m/>
    <m/>
    <m/>
    <m/>
    <m/>
    <m/>
  </r>
  <r>
    <m/>
    <m/>
    <m/>
    <x v="8"/>
    <x v="2"/>
    <s v="reference"/>
    <s v="US-ASCII [ANSI X3.4-1986 (R1997)]"/>
    <m/>
    <x v="2"/>
    <s v="reference"/>
    <s v="US-ASCII [ANSI X3.4-1986]"/>
    <m/>
    <m/>
    <m/>
    <m/>
    <s v="republication"/>
    <m/>
    <m/>
  </r>
  <r>
    <m/>
    <m/>
    <m/>
    <x v="8"/>
    <x v="2"/>
    <s v="reference"/>
    <s v="US-ASCII [ANSI X3.4-1986 (R1997)]"/>
    <m/>
    <x v="2"/>
    <s v="reference"/>
    <s v="US-ASCII [ANSI X3.4-1977]"/>
    <m/>
    <m/>
    <m/>
    <m/>
    <s v="technically equivalent"/>
    <m/>
    <m/>
  </r>
  <r>
    <m/>
    <m/>
    <m/>
    <x v="8"/>
    <x v="2"/>
    <s v="reference"/>
    <s v="US-ASCII [ANSI X3.4-1986 (R1997)]"/>
    <m/>
    <x v="2"/>
    <s v="reference"/>
    <s v="ISO/IEC 646:1991"/>
    <m/>
    <m/>
    <m/>
    <m/>
    <s v="partially equivalent"/>
    <s v="ASCII is equivalent to IRV"/>
    <m/>
  </r>
  <r>
    <m/>
    <m/>
    <m/>
    <x v="8"/>
    <x v="2"/>
    <s v="reference"/>
    <s v="US-ASCII [ANSI X3.4-1986 (R1997)]"/>
    <m/>
    <x v="2"/>
    <s v="reference"/>
    <s v="ECMA-6 (12/1991)"/>
    <m/>
    <m/>
    <m/>
    <m/>
    <s v="partially equivalent"/>
    <s v="ASCII is equivalent to IRV"/>
    <m/>
  </r>
  <r>
    <m/>
    <m/>
    <m/>
    <x v="8"/>
    <x v="2"/>
    <s v="reference"/>
    <s v="US-ASCII [ANSI X3.4-1986 (R1997)]"/>
    <m/>
    <x v="2"/>
    <s v="reference"/>
    <s v="ITU-T Rec. T.50 (09/1992)"/>
    <m/>
    <m/>
    <m/>
    <m/>
    <s v="partially equivalent"/>
    <s v="ASCII is equivalent to IRV"/>
    <m/>
  </r>
  <r>
    <m/>
    <m/>
    <m/>
    <x v="5"/>
    <x v="0"/>
    <s v="shortName"/>
    <s v="INCITS/L2"/>
    <m/>
    <x v="2"/>
    <s v="reference"/>
    <s v="US-ASCII [ANSI INCITS 4-1986 (R2002)]"/>
    <m/>
    <m/>
    <m/>
    <m/>
    <m/>
    <m/>
    <m/>
  </r>
  <r>
    <m/>
    <m/>
    <m/>
    <x v="6"/>
    <x v="2"/>
    <s v="reference"/>
    <s v="US-ASCII [ANSI INCITS 4-1986 (R2002)]"/>
    <m/>
    <x v="3"/>
    <s v="reference"/>
    <s v="US-ASCII"/>
    <m/>
    <m/>
    <m/>
    <m/>
    <m/>
    <m/>
    <m/>
  </r>
  <r>
    <m/>
    <m/>
    <m/>
    <x v="7"/>
    <x v="2"/>
    <s v="reference"/>
    <s v="US-ASCII [ANSI INCITS 4-1986 (R2002)]"/>
    <m/>
    <x v="2"/>
    <s v="reference"/>
    <s v="US-ASCII [ANSI X3.4-1986 (R1997)]"/>
    <m/>
    <m/>
    <m/>
    <m/>
    <m/>
    <m/>
    <m/>
  </r>
  <r>
    <m/>
    <m/>
    <m/>
    <x v="8"/>
    <x v="2"/>
    <s v="reference"/>
    <s v="US-ASCII [ANSI INCITS 4-1986 (R2002)]"/>
    <m/>
    <x v="2"/>
    <s v="reference"/>
    <s v="US-ASCII [ANSI X3.4-1986]"/>
    <m/>
    <m/>
    <m/>
    <m/>
    <s v="republication"/>
    <m/>
    <m/>
  </r>
  <r>
    <m/>
    <m/>
    <m/>
    <x v="8"/>
    <x v="2"/>
    <s v="reference"/>
    <s v="US-ASCII [ANSI INCITS 4-1986 (R2002)]"/>
    <m/>
    <x v="2"/>
    <s v="reference"/>
    <s v="US-ASCII [ANSI X3.4-1977]"/>
    <m/>
    <m/>
    <m/>
    <m/>
    <s v="technically equivalent"/>
    <m/>
    <m/>
  </r>
  <r>
    <m/>
    <m/>
    <m/>
    <x v="8"/>
    <x v="2"/>
    <s v="reference"/>
    <s v="US-ASCII [ANSI INCITS 4-1986 (R2002)]"/>
    <m/>
    <x v="2"/>
    <s v="reference"/>
    <s v="ISO/IEC 646:1991"/>
    <m/>
    <m/>
    <m/>
    <m/>
    <s v="partially equivalent"/>
    <s v="ASCII is equivalent to IRV"/>
    <m/>
  </r>
  <r>
    <m/>
    <m/>
    <m/>
    <x v="8"/>
    <x v="2"/>
    <s v="reference"/>
    <s v="US-ASCII [ANSI INCITS 4-1986 (R2002)]"/>
    <m/>
    <x v="2"/>
    <s v="reference"/>
    <s v="ECMA-6 (12/1991)"/>
    <m/>
    <m/>
    <m/>
    <m/>
    <s v="partially equivalent"/>
    <s v="ASCII is equivalent to IRV"/>
    <m/>
  </r>
  <r>
    <m/>
    <m/>
    <m/>
    <x v="8"/>
    <x v="2"/>
    <s v="reference"/>
    <s v="US-ASCII [ANSI INCITS 4-1986 (R2002)]"/>
    <m/>
    <x v="2"/>
    <s v="reference"/>
    <s v="ITU-T Rec. T.50 (09/1992)"/>
    <m/>
    <m/>
    <m/>
    <m/>
    <s v="partially equivalent"/>
    <s v="ASCII is equivalent to IRV"/>
    <m/>
  </r>
  <r>
    <m/>
    <m/>
    <m/>
    <x v="5"/>
    <x v="0"/>
    <s v="shortName"/>
    <s v="INCITS/L2"/>
    <m/>
    <x v="2"/>
    <s v="reference"/>
    <s v="US-ASCII [ANSI INCITS 4-1986 (R2007)]"/>
    <m/>
    <m/>
    <m/>
    <m/>
    <m/>
    <m/>
    <m/>
  </r>
  <r>
    <m/>
    <m/>
    <m/>
    <x v="6"/>
    <x v="2"/>
    <s v="reference"/>
    <s v="US-ASCII [ANSI INCITS 4-1986 (R2007)]"/>
    <m/>
    <x v="3"/>
    <s v="reference"/>
    <s v="US-ASCII"/>
    <m/>
    <m/>
    <m/>
    <m/>
    <m/>
    <m/>
    <m/>
  </r>
  <r>
    <m/>
    <m/>
    <m/>
    <x v="7"/>
    <x v="2"/>
    <s v="reference"/>
    <s v="US-ASCII [ANSI INCITS 4-1986 (R2007)]"/>
    <m/>
    <x v="2"/>
    <s v="reference"/>
    <s v="US-ASCII [ANSI INCITS 4-1986 (R2002)]"/>
    <m/>
    <m/>
    <m/>
    <m/>
    <m/>
    <m/>
    <m/>
  </r>
  <r>
    <m/>
    <m/>
    <m/>
    <x v="8"/>
    <x v="2"/>
    <s v="reference"/>
    <s v="US-ASCII [ANSI INCITS 4-1986 (R2007)]"/>
    <m/>
    <x v="2"/>
    <s v="reference"/>
    <s v="US-ASCII [ANSI X3.4-1986]"/>
    <m/>
    <m/>
    <m/>
    <m/>
    <s v="republication"/>
    <m/>
    <m/>
  </r>
  <r>
    <m/>
    <m/>
    <m/>
    <x v="8"/>
    <x v="2"/>
    <s v="reference"/>
    <s v="US-ASCII [ANSI INCITS 4-1986 (R2007)]"/>
    <m/>
    <x v="2"/>
    <s v="reference"/>
    <s v="US-ASCII [ANSI X3.4-1977]"/>
    <m/>
    <m/>
    <m/>
    <m/>
    <s v="technically equivalent"/>
    <m/>
    <m/>
  </r>
  <r>
    <m/>
    <m/>
    <m/>
    <x v="8"/>
    <x v="2"/>
    <s v="reference"/>
    <s v="US-ASCII [ANSI INCITS 4-1986 (R2007)]"/>
    <m/>
    <x v="2"/>
    <s v="reference"/>
    <s v="ISO/IEC 646:1991"/>
    <m/>
    <m/>
    <m/>
    <m/>
    <s v="partially equivalent"/>
    <s v="ASCII is equivalent to IRV"/>
    <m/>
  </r>
  <r>
    <m/>
    <m/>
    <m/>
    <x v="8"/>
    <x v="2"/>
    <s v="reference"/>
    <s v="US-ASCII [ANSI INCITS 4-1986 (R2007)]"/>
    <m/>
    <x v="2"/>
    <s v="reference"/>
    <s v="ECMA-6 (12/1991)"/>
    <m/>
    <m/>
    <m/>
    <m/>
    <s v="partially equivalent"/>
    <s v="ASCII is equivalent to IRV"/>
    <m/>
  </r>
  <r>
    <m/>
    <m/>
    <m/>
    <x v="8"/>
    <x v="2"/>
    <s v="reference"/>
    <s v="US-ASCII [ANSI INCITS 4-1986 (R2007)]"/>
    <m/>
    <x v="2"/>
    <s v="reference"/>
    <s v="ITU-T Rec. T.50 (09/1992)"/>
    <m/>
    <m/>
    <m/>
    <m/>
    <s v="partially equivalent"/>
    <s v="ASCII is equivalent to IRV"/>
    <m/>
  </r>
  <r>
    <m/>
    <m/>
    <m/>
    <x v="5"/>
    <x v="0"/>
    <s v="shortName"/>
    <s v="INCITS/L2"/>
    <m/>
    <x v="2"/>
    <s v="reference"/>
    <s v="US-ASCII [INCITS 4-1986 (R2012)]"/>
    <m/>
    <m/>
    <m/>
    <m/>
    <m/>
    <m/>
    <m/>
  </r>
  <r>
    <m/>
    <m/>
    <m/>
    <x v="6"/>
    <x v="2"/>
    <s v="reference"/>
    <s v="US-ASCII [INCITS 4-1986 (R2012)]"/>
    <m/>
    <x v="3"/>
    <s v="reference"/>
    <s v="US-ASCII"/>
    <m/>
    <m/>
    <m/>
    <m/>
    <m/>
    <m/>
    <m/>
  </r>
  <r>
    <m/>
    <m/>
    <m/>
    <x v="7"/>
    <x v="2"/>
    <s v="reference"/>
    <s v="US-ASCII [INCITS 4-1986 (R2012)]"/>
    <m/>
    <x v="2"/>
    <s v="reference"/>
    <s v="US-ASCII [ANSI INCITS 4-1986 (R2007)]"/>
    <m/>
    <m/>
    <m/>
    <m/>
    <m/>
    <m/>
    <m/>
  </r>
  <r>
    <m/>
    <m/>
    <m/>
    <x v="8"/>
    <x v="2"/>
    <s v="reference"/>
    <s v="US-ASCII [INCITS 4-1986 (R2012)]"/>
    <m/>
    <x v="2"/>
    <s v="reference"/>
    <s v="US-ASCII [ANSI X3.4-1986]"/>
    <m/>
    <m/>
    <m/>
    <m/>
    <s v="republication"/>
    <m/>
    <m/>
  </r>
  <r>
    <m/>
    <m/>
    <m/>
    <x v="8"/>
    <x v="2"/>
    <s v="reference"/>
    <s v="US-ASCII [INCITS 4-1986 (R2012)]"/>
    <m/>
    <x v="2"/>
    <s v="reference"/>
    <s v="US-ASCII [ANSI X3.4-1977]"/>
    <m/>
    <m/>
    <m/>
    <m/>
    <s v="technically equivalent"/>
    <m/>
    <m/>
  </r>
  <r>
    <m/>
    <m/>
    <m/>
    <x v="8"/>
    <x v="2"/>
    <s v="reference"/>
    <s v="US-ASCII [INCITS 4-1986 (R2012)]"/>
    <m/>
    <x v="2"/>
    <s v="reference"/>
    <s v="ISO/IEC 646:1991"/>
    <m/>
    <m/>
    <m/>
    <m/>
    <s v="partially equivalent"/>
    <s v="ASCII is equivalent to IRV"/>
    <m/>
  </r>
  <r>
    <m/>
    <m/>
    <m/>
    <x v="8"/>
    <x v="2"/>
    <s v="reference"/>
    <s v="US-ASCII [INCITS 4-1986 (R2012)]"/>
    <m/>
    <x v="2"/>
    <s v="reference"/>
    <s v="ECMA-6 (12/1991)"/>
    <m/>
    <m/>
    <m/>
    <m/>
    <s v="partially equivalent"/>
    <s v="ASCII is equivalent to IRV"/>
    <m/>
  </r>
  <r>
    <m/>
    <m/>
    <m/>
    <x v="8"/>
    <x v="2"/>
    <s v="reference"/>
    <s v="US-ASCII [INCITS 4-1986 (R2012)]"/>
    <m/>
    <x v="2"/>
    <s v="reference"/>
    <s v="ITU-T Rec. T.50 (09/1992)"/>
    <m/>
    <m/>
    <m/>
    <m/>
    <s v="partially equivalent"/>
    <s v="ASCII is equivalent to IRV"/>
    <m/>
  </r>
  <r>
    <m/>
    <m/>
    <m/>
    <x v="5"/>
    <x v="0"/>
    <s v="shortName"/>
    <s v="INCITS/L2"/>
    <m/>
    <x v="2"/>
    <s v="reference"/>
    <s v="US-ASCII [INCITS 4-1986 (R2017)]"/>
    <m/>
    <m/>
    <m/>
    <m/>
    <m/>
    <m/>
    <m/>
  </r>
  <r>
    <m/>
    <m/>
    <m/>
    <x v="6"/>
    <x v="2"/>
    <s v="reference"/>
    <s v="US-ASCII [INCITS 4-1986 (R2017)]"/>
    <m/>
    <x v="3"/>
    <s v="reference"/>
    <s v="US-ASCII"/>
    <m/>
    <m/>
    <m/>
    <m/>
    <m/>
    <m/>
    <m/>
  </r>
  <r>
    <m/>
    <m/>
    <m/>
    <x v="7"/>
    <x v="2"/>
    <s v="reference"/>
    <s v="US-ASCII [INCITS 4-1986 (R2017)]"/>
    <m/>
    <x v="2"/>
    <s v="reference"/>
    <s v="US-ASCII [INCITS 4-1986 (R2012)]"/>
    <m/>
    <m/>
    <m/>
    <m/>
    <m/>
    <m/>
    <m/>
  </r>
  <r>
    <m/>
    <m/>
    <m/>
    <x v="8"/>
    <x v="2"/>
    <s v="reference"/>
    <s v="US-ASCII [INCITS 4-1986 (R2017)]"/>
    <m/>
    <x v="2"/>
    <s v="reference"/>
    <s v="US-ASCII [ANSI X3.4-1986]"/>
    <m/>
    <m/>
    <m/>
    <m/>
    <s v="republication"/>
    <m/>
    <m/>
  </r>
  <r>
    <m/>
    <m/>
    <m/>
    <x v="8"/>
    <x v="2"/>
    <s v="reference"/>
    <s v="US-ASCII [INCITS 4-1986 (R2017)]"/>
    <m/>
    <x v="2"/>
    <s v="reference"/>
    <s v="US-ASCII [ANSI X3.4-1977]"/>
    <m/>
    <m/>
    <m/>
    <m/>
    <s v="technically equivalent"/>
    <m/>
    <m/>
  </r>
  <r>
    <m/>
    <m/>
    <m/>
    <x v="8"/>
    <x v="2"/>
    <s v="reference"/>
    <s v="US-ASCII [INCITS 4-1986 (R2017)]"/>
    <m/>
    <x v="2"/>
    <s v="reference"/>
    <s v="ISO/IEC 646:1991"/>
    <m/>
    <m/>
    <m/>
    <m/>
    <s v="partially equivalent"/>
    <s v="ASCII is equivalent to IRV"/>
    <m/>
  </r>
  <r>
    <m/>
    <m/>
    <m/>
    <x v="8"/>
    <x v="2"/>
    <s v="reference"/>
    <s v="US-ASCII [INCITS 4-1986 (R2017)]"/>
    <m/>
    <x v="2"/>
    <s v="reference"/>
    <s v="ECMA-6 (12/1991)"/>
    <m/>
    <m/>
    <m/>
    <m/>
    <s v="partially equivalent"/>
    <s v="ASCII is equivalent to IRV"/>
    <m/>
  </r>
  <r>
    <m/>
    <m/>
    <m/>
    <x v="8"/>
    <x v="2"/>
    <s v="reference"/>
    <s v="US-ASCII [INCITS 4-1986 (R2017)]"/>
    <m/>
    <x v="2"/>
    <s v="reference"/>
    <s v="ITU-T Rec. T.50 (09/1992)"/>
    <m/>
    <m/>
    <m/>
    <m/>
    <s v="partially equivalent"/>
    <s v="ASCII is equivalent to IRV"/>
    <m/>
  </r>
  <r>
    <m/>
    <m/>
    <m/>
    <x v="5"/>
    <x v="0"/>
    <s v="shortName"/>
    <s v="INCITS/L2"/>
    <m/>
    <x v="2"/>
    <s v="reference"/>
    <s v="US-ASCII [INCITS 4-1986 (R2022)]"/>
    <m/>
    <m/>
    <m/>
    <m/>
    <m/>
    <m/>
    <m/>
  </r>
  <r>
    <m/>
    <m/>
    <m/>
    <x v="6"/>
    <x v="2"/>
    <s v="reference"/>
    <s v="US-ASCII [INCITS 4-1986 (R2022)]"/>
    <m/>
    <x v="3"/>
    <s v="reference"/>
    <s v="US-ASCII"/>
    <m/>
    <m/>
    <m/>
    <m/>
    <m/>
    <m/>
    <m/>
  </r>
  <r>
    <m/>
    <m/>
    <m/>
    <x v="7"/>
    <x v="2"/>
    <s v="reference"/>
    <s v="US-ASCII [INCITS 4-1986 (R2022)]"/>
    <m/>
    <x v="2"/>
    <s v="reference"/>
    <s v="US-ASCII [INCITS 4-1986 (R2017)]"/>
    <m/>
    <m/>
    <m/>
    <m/>
    <m/>
    <m/>
    <m/>
  </r>
  <r>
    <m/>
    <m/>
    <m/>
    <x v="8"/>
    <x v="2"/>
    <s v="reference"/>
    <s v="US-ASCII [INCITS 4-1986 (R2022)]"/>
    <m/>
    <x v="2"/>
    <s v="reference"/>
    <s v="US-ASCII [ANSI X3.4-1986]"/>
    <m/>
    <m/>
    <m/>
    <m/>
    <s v="republication"/>
    <m/>
    <m/>
  </r>
  <r>
    <m/>
    <m/>
    <m/>
    <x v="8"/>
    <x v="2"/>
    <s v="reference"/>
    <s v="US-ASCII [INCITS 4-1986 (R2022)]"/>
    <m/>
    <x v="2"/>
    <s v="reference"/>
    <s v="US-ASCII [ANSI X3.4-1977]"/>
    <m/>
    <m/>
    <m/>
    <m/>
    <s v="technically equivalent"/>
    <m/>
    <m/>
  </r>
  <r>
    <m/>
    <m/>
    <m/>
    <x v="8"/>
    <x v="2"/>
    <s v="reference"/>
    <s v="US-ASCII [INCITS 4-1986 (R2022)]"/>
    <m/>
    <x v="2"/>
    <s v="reference"/>
    <s v="ISO/IEC 646:1991"/>
    <m/>
    <m/>
    <m/>
    <m/>
    <s v="partially equivalent"/>
    <s v="ASCII is equivalent to IRV"/>
    <m/>
  </r>
  <r>
    <m/>
    <m/>
    <m/>
    <x v="8"/>
    <x v="2"/>
    <s v="reference"/>
    <s v="US-ASCII [INCITS 4-1986 (R2022)]"/>
    <m/>
    <x v="2"/>
    <s v="reference"/>
    <s v="ECMA-6 (12/1991)"/>
    <m/>
    <m/>
    <m/>
    <m/>
    <s v="partially equivalent"/>
    <s v="ASCII is equivalent to IRV"/>
    <m/>
  </r>
  <r>
    <m/>
    <m/>
    <m/>
    <x v="8"/>
    <x v="2"/>
    <s v="reference"/>
    <s v="US-ASCII [INCITS 4-1986 (R2022)]"/>
    <m/>
    <x v="2"/>
    <s v="reference"/>
    <s v="ITU-T Rec. T.50 (09/1992)"/>
    <m/>
    <m/>
    <m/>
    <m/>
    <s v="partially equivalent"/>
    <s v="ASCII is equivalent to IRV"/>
    <m/>
  </r>
  <r>
    <m/>
    <m/>
    <m/>
    <x v="9"/>
    <x v="3"/>
    <s v="reference"/>
    <s v="US-ASCII"/>
    <m/>
    <x v="4"/>
    <s v="shortName"/>
    <s v="US-ASCII"/>
    <m/>
    <m/>
    <m/>
    <m/>
    <m/>
    <m/>
    <m/>
  </r>
  <r>
    <m/>
    <m/>
    <m/>
    <x v="5"/>
    <x v="0"/>
    <s v="shortName"/>
    <s v="ECMA TC1"/>
    <m/>
    <x v="2"/>
    <s v="reference"/>
    <s v="ECMA-6 (04/1965)"/>
    <m/>
    <m/>
    <m/>
    <m/>
    <m/>
    <m/>
    <m/>
  </r>
  <r>
    <m/>
    <m/>
    <m/>
    <x v="6"/>
    <x v="2"/>
    <s v="reference"/>
    <s v="ECMA-6 (04/1965)"/>
    <m/>
    <x v="3"/>
    <s v="reference"/>
    <s v="ECMA-6"/>
    <m/>
    <m/>
    <m/>
    <m/>
    <m/>
    <m/>
    <m/>
  </r>
  <r>
    <m/>
    <m/>
    <m/>
    <x v="5"/>
    <x v="0"/>
    <s v="shortName"/>
    <s v="ECMA TC1"/>
    <m/>
    <x v="2"/>
    <s v="reference"/>
    <s v="ECMA-6 (06/1967)"/>
    <m/>
    <m/>
    <m/>
    <m/>
    <m/>
    <m/>
    <m/>
  </r>
  <r>
    <m/>
    <m/>
    <m/>
    <x v="6"/>
    <x v="2"/>
    <s v="reference"/>
    <s v="ECMA-6 (06/1967)"/>
    <m/>
    <x v="3"/>
    <s v="reference"/>
    <s v="ECMA-6"/>
    <m/>
    <m/>
    <m/>
    <m/>
    <m/>
    <m/>
    <m/>
  </r>
  <r>
    <m/>
    <m/>
    <m/>
    <x v="7"/>
    <x v="2"/>
    <s v="reference"/>
    <s v="ECMA-6 (06/1967)"/>
    <m/>
    <x v="2"/>
    <s v="reference"/>
    <s v="ECMA-6 (04/1965)"/>
    <m/>
    <m/>
    <m/>
    <m/>
    <m/>
    <m/>
    <m/>
  </r>
  <r>
    <m/>
    <m/>
    <m/>
    <x v="5"/>
    <x v="0"/>
    <s v="shortName"/>
    <s v="ECMA TC1"/>
    <m/>
    <x v="2"/>
    <s v="reference"/>
    <s v="ECMA-6 (07/1970)"/>
    <m/>
    <m/>
    <m/>
    <m/>
    <m/>
    <m/>
    <m/>
  </r>
  <r>
    <m/>
    <m/>
    <m/>
    <x v="6"/>
    <x v="2"/>
    <s v="reference"/>
    <s v="ECMA-6 (07/1970)"/>
    <m/>
    <x v="3"/>
    <s v="reference"/>
    <s v="ECMA-6"/>
    <m/>
    <m/>
    <m/>
    <m/>
    <m/>
    <m/>
    <m/>
  </r>
  <r>
    <m/>
    <m/>
    <m/>
    <x v="7"/>
    <x v="2"/>
    <s v="reference"/>
    <s v="ECMA-6 (07/1970)"/>
    <m/>
    <x v="2"/>
    <s v="reference"/>
    <s v="ECMA-6 (06/1967)"/>
    <m/>
    <m/>
    <m/>
    <m/>
    <m/>
    <m/>
    <m/>
  </r>
  <r>
    <m/>
    <m/>
    <m/>
    <x v="8"/>
    <x v="2"/>
    <s v="reference"/>
    <s v="ECMA-6 (07/1970)"/>
    <m/>
    <x v="2"/>
    <s v="reference"/>
    <s v="ISO 646:1973"/>
    <m/>
    <m/>
    <m/>
    <m/>
    <s v="influenced"/>
    <m/>
    <m/>
  </r>
  <r>
    <m/>
    <m/>
    <m/>
    <x v="8"/>
    <x v="2"/>
    <s v="reference"/>
    <s v="ECMA-6 (07/1970)"/>
    <m/>
    <x v="2"/>
    <s v="reference"/>
    <s v="CCITT Rec. V.3 (1972)"/>
    <m/>
    <m/>
    <m/>
    <m/>
    <s v="influenced"/>
    <m/>
    <m/>
  </r>
  <r>
    <m/>
    <m/>
    <m/>
    <x v="5"/>
    <x v="0"/>
    <s v="shortName"/>
    <s v="ECMA TC1"/>
    <m/>
    <x v="2"/>
    <s v="reference"/>
    <s v="ECMA-6 (08/1973)"/>
    <m/>
    <m/>
    <m/>
    <m/>
    <m/>
    <m/>
    <m/>
  </r>
  <r>
    <m/>
    <m/>
    <m/>
    <x v="6"/>
    <x v="2"/>
    <s v="reference"/>
    <s v="ECMA-6 (08/1973)"/>
    <m/>
    <x v="3"/>
    <s v="reference"/>
    <s v="ECMA-6"/>
    <m/>
    <m/>
    <m/>
    <m/>
    <m/>
    <m/>
    <m/>
  </r>
  <r>
    <m/>
    <m/>
    <m/>
    <x v="7"/>
    <x v="2"/>
    <s v="reference"/>
    <s v="ECMA-6 (08/1973)"/>
    <m/>
    <x v="2"/>
    <s v="reference"/>
    <s v="ECMA-6 (07/1970)"/>
    <m/>
    <m/>
    <m/>
    <m/>
    <m/>
    <m/>
    <m/>
  </r>
  <r>
    <m/>
    <m/>
    <m/>
    <x v="8"/>
    <x v="2"/>
    <s v="reference"/>
    <s v="ECMA-6 (08/1973)"/>
    <m/>
    <x v="2"/>
    <s v="reference"/>
    <s v="ECMA-6 (03/1985)"/>
    <m/>
    <m/>
    <m/>
    <m/>
    <s v="technically equivalent"/>
    <m/>
    <m/>
  </r>
  <r>
    <m/>
    <m/>
    <m/>
    <x v="8"/>
    <x v="2"/>
    <s v="reference"/>
    <s v="ECMA-6 (08/1973)"/>
    <m/>
    <x v="2"/>
    <s v="reference"/>
    <s v="ISO 646:1973"/>
    <m/>
    <m/>
    <m/>
    <m/>
    <s v="technically equivalent"/>
    <m/>
    <m/>
  </r>
  <r>
    <m/>
    <m/>
    <m/>
    <x v="8"/>
    <x v="2"/>
    <s v="reference"/>
    <s v="ECMA-6 (08/1973)"/>
    <m/>
    <x v="2"/>
    <s v="reference"/>
    <s v="CCITT Rec. V.3 (1972)"/>
    <m/>
    <m/>
    <m/>
    <m/>
    <s v="technically equivalent"/>
    <m/>
    <m/>
  </r>
  <r>
    <m/>
    <m/>
    <m/>
    <x v="5"/>
    <x v="0"/>
    <s v="shortName"/>
    <s v="ECMA TC1"/>
    <m/>
    <x v="2"/>
    <s v="reference"/>
    <s v="ECMA-6 (03/1985)"/>
    <m/>
    <m/>
    <m/>
    <m/>
    <m/>
    <m/>
    <m/>
  </r>
  <r>
    <m/>
    <m/>
    <m/>
    <x v="6"/>
    <x v="2"/>
    <s v="reference"/>
    <s v="ECMA-6 (03/1985)"/>
    <m/>
    <x v="3"/>
    <s v="reference"/>
    <s v="ECMA-6"/>
    <m/>
    <m/>
    <m/>
    <m/>
    <m/>
    <m/>
    <m/>
  </r>
  <r>
    <m/>
    <m/>
    <m/>
    <x v="7"/>
    <x v="2"/>
    <s v="reference"/>
    <s v="ECMA-6 (03/1985)"/>
    <m/>
    <x v="2"/>
    <s v="reference"/>
    <s v="ECMA-6 (08/1973)"/>
    <m/>
    <m/>
    <m/>
    <m/>
    <m/>
    <m/>
    <m/>
  </r>
  <r>
    <m/>
    <m/>
    <m/>
    <x v="8"/>
    <x v="2"/>
    <s v="reference"/>
    <s v="ECMA-6 (03/1985)"/>
    <m/>
    <x v="2"/>
    <s v="reference"/>
    <s v="ECMA-6 (08/1973)"/>
    <m/>
    <m/>
    <m/>
    <m/>
    <s v="technically equivalent"/>
    <m/>
    <m/>
  </r>
  <r>
    <m/>
    <m/>
    <m/>
    <x v="8"/>
    <x v="2"/>
    <s v="reference"/>
    <s v="ECMA-6 (03/1985)"/>
    <m/>
    <x v="2"/>
    <s v="reference"/>
    <s v="CCITT Rec. T.50 (10/1984)"/>
    <m/>
    <m/>
    <m/>
    <m/>
    <s v="textually equivalent"/>
    <m/>
    <m/>
  </r>
  <r>
    <m/>
    <m/>
    <m/>
    <x v="8"/>
    <x v="2"/>
    <s v="reference"/>
    <s v="ECMA-6 (03/1985)"/>
    <m/>
    <x v="2"/>
    <s v="reference"/>
    <s v="ISO 646:1983"/>
    <m/>
    <m/>
    <m/>
    <m/>
    <s v="textually equivalent"/>
    <m/>
    <m/>
  </r>
  <r>
    <m/>
    <m/>
    <m/>
    <x v="5"/>
    <x v="0"/>
    <s v="shortName"/>
    <s v="ECMA TC1"/>
    <m/>
    <x v="2"/>
    <s v="reference"/>
    <s v="ECMA-6 (12/1991)"/>
    <m/>
    <m/>
    <m/>
    <m/>
    <m/>
    <m/>
    <m/>
  </r>
  <r>
    <m/>
    <m/>
    <m/>
    <x v="6"/>
    <x v="2"/>
    <s v="reference"/>
    <s v="ECMA-6 (12/1991)"/>
    <m/>
    <x v="3"/>
    <s v="reference"/>
    <s v="ECMA-6"/>
    <m/>
    <m/>
    <m/>
    <m/>
    <m/>
    <m/>
    <m/>
  </r>
  <r>
    <m/>
    <m/>
    <m/>
    <x v="7"/>
    <x v="2"/>
    <s v="reference"/>
    <s v="ECMA-6 (12/1991)"/>
    <m/>
    <x v="2"/>
    <s v="reference"/>
    <s v="ECMA-6 (03/1985)"/>
    <m/>
    <m/>
    <m/>
    <m/>
    <m/>
    <m/>
    <m/>
  </r>
  <r>
    <m/>
    <m/>
    <m/>
    <x v="8"/>
    <x v="2"/>
    <s v="reference"/>
    <s v="ECMA-6 (12/1991)"/>
    <m/>
    <x v="2"/>
    <s v="reference"/>
    <s v="US-ASCII [ANSI X3.4-1986]"/>
    <m/>
    <m/>
    <m/>
    <m/>
    <s v="partially equivalent"/>
    <s v="ASCII is equivalent to IRV"/>
    <m/>
  </r>
  <r>
    <m/>
    <m/>
    <m/>
    <x v="8"/>
    <x v="2"/>
    <s v="reference"/>
    <s v="ECMA-6 (12/1991)"/>
    <m/>
    <x v="2"/>
    <s v="reference"/>
    <s v="US-ASCII [ANSI X3.4-1986 (R1992)]"/>
    <m/>
    <m/>
    <m/>
    <m/>
    <s v="partially equivalent"/>
    <s v="ASCII is equivalent to IRV"/>
    <m/>
  </r>
  <r>
    <m/>
    <m/>
    <m/>
    <x v="8"/>
    <x v="2"/>
    <s v="reference"/>
    <s v="ECMA-6 (12/1991)"/>
    <m/>
    <x v="2"/>
    <s v="reference"/>
    <s v="US-ASCII [ANSI X3.4-1986 (R1997)]"/>
    <m/>
    <m/>
    <m/>
    <m/>
    <s v="partially equivalent"/>
    <s v="ASCII is equivalent to IRV"/>
    <m/>
  </r>
  <r>
    <m/>
    <m/>
    <m/>
    <x v="8"/>
    <x v="2"/>
    <s v="reference"/>
    <s v="ECMA-6 (12/1991)"/>
    <m/>
    <x v="2"/>
    <s v="reference"/>
    <s v="US-ASCII [ANSI INCITS 4-1986 (R2002)]"/>
    <m/>
    <m/>
    <m/>
    <m/>
    <s v="partially equivalent"/>
    <s v="ASCII is equivalent to IRV"/>
    <m/>
  </r>
  <r>
    <m/>
    <m/>
    <m/>
    <x v="8"/>
    <x v="2"/>
    <s v="reference"/>
    <s v="ECMA-6 (12/1991)"/>
    <m/>
    <x v="2"/>
    <s v="reference"/>
    <s v="US-ASCII [ANSI INCITS 4-1986 (R2007)]"/>
    <m/>
    <m/>
    <m/>
    <m/>
    <s v="partially equivalent"/>
    <s v="ASCII is equivalent to IRV"/>
    <m/>
  </r>
  <r>
    <m/>
    <m/>
    <m/>
    <x v="8"/>
    <x v="2"/>
    <s v="reference"/>
    <s v="ECMA-6 (12/1991)"/>
    <m/>
    <x v="2"/>
    <s v="reference"/>
    <s v="US-ASCII [INCITS 4-1986 (R2012)]"/>
    <m/>
    <m/>
    <m/>
    <m/>
    <s v="partially equivalent"/>
    <s v="ASCII is equivalent to IRV"/>
    <m/>
  </r>
  <r>
    <m/>
    <m/>
    <m/>
    <x v="8"/>
    <x v="2"/>
    <s v="reference"/>
    <s v="ECMA-6 (12/1991)"/>
    <m/>
    <x v="2"/>
    <s v="reference"/>
    <s v="US-ASCII [INCITS 4-1986 (R2017)]"/>
    <m/>
    <m/>
    <m/>
    <m/>
    <s v="partially equivalent"/>
    <s v="ASCII is equivalent to IRV"/>
    <m/>
  </r>
  <r>
    <m/>
    <m/>
    <m/>
    <x v="8"/>
    <x v="2"/>
    <s v="reference"/>
    <s v="ECMA-6 (12/1991)"/>
    <m/>
    <x v="2"/>
    <s v="reference"/>
    <s v="US-ASCII [INCITS 4-1986 (R2022)]"/>
    <m/>
    <m/>
    <m/>
    <m/>
    <s v="partially equivalent"/>
    <s v="ASCII is equivalent to IRV"/>
    <m/>
  </r>
  <r>
    <m/>
    <m/>
    <m/>
    <x v="8"/>
    <x v="2"/>
    <s v="reference"/>
    <s v="ECMA-6 (12/1991)"/>
    <m/>
    <x v="2"/>
    <s v="reference"/>
    <s v="ISO/IEC 646:1991"/>
    <m/>
    <m/>
    <m/>
    <m/>
    <s v="textually equivalent"/>
    <m/>
    <m/>
  </r>
  <r>
    <m/>
    <m/>
    <m/>
    <x v="8"/>
    <x v="2"/>
    <s v="reference"/>
    <s v="ECMA-6 (12/1991)"/>
    <m/>
    <x v="2"/>
    <s v="reference"/>
    <s v="ITU-T Rec. T.50 (09/1992)"/>
    <m/>
    <m/>
    <m/>
    <m/>
    <s v="textually equivalent"/>
    <m/>
    <m/>
  </r>
  <r>
    <m/>
    <m/>
    <m/>
    <x v="9"/>
    <x v="3"/>
    <s v="reference"/>
    <s v="ECMA-6"/>
    <m/>
    <x v="4"/>
    <s v="shortName"/>
    <s v="ISO/IEC 646 IRV"/>
    <m/>
    <m/>
    <m/>
    <m/>
    <m/>
    <s v="ECMA-6 is an equivalent alternative to ISO/IEC 646"/>
    <m/>
  </r>
  <r>
    <m/>
    <m/>
    <m/>
    <x v="5"/>
    <x v="0"/>
    <s v="shortName"/>
    <s v="TC97 SC 2"/>
    <m/>
    <x v="2"/>
    <s v="reference"/>
    <s v="ISO/R 646:1967"/>
    <m/>
    <m/>
    <m/>
    <m/>
    <m/>
    <m/>
    <m/>
  </r>
  <r>
    <m/>
    <m/>
    <m/>
    <x v="6"/>
    <x v="2"/>
    <s v="reference"/>
    <s v="ISO/R 646:1967"/>
    <m/>
    <x v="3"/>
    <s v="reference"/>
    <s v="ISO/IEC 646"/>
    <m/>
    <m/>
    <m/>
    <m/>
    <m/>
    <m/>
    <m/>
  </r>
  <r>
    <m/>
    <m/>
    <m/>
    <x v="5"/>
    <x v="0"/>
    <s v="shortName"/>
    <s v="TC97 SC 2"/>
    <m/>
    <x v="2"/>
    <s v="reference"/>
    <s v="ISO 646:1973"/>
    <m/>
    <m/>
    <m/>
    <m/>
    <m/>
    <m/>
    <m/>
  </r>
  <r>
    <m/>
    <m/>
    <m/>
    <x v="6"/>
    <x v="2"/>
    <s v="reference"/>
    <s v="ISO 646:1973"/>
    <m/>
    <x v="3"/>
    <s v="reference"/>
    <s v="ISO/IEC 646"/>
    <m/>
    <m/>
    <m/>
    <m/>
    <m/>
    <m/>
    <m/>
  </r>
  <r>
    <m/>
    <m/>
    <m/>
    <x v="7"/>
    <x v="2"/>
    <s v="reference"/>
    <s v="ISO 646:1973"/>
    <m/>
    <x v="2"/>
    <s v="reference"/>
    <s v="ISO/R 646:1967"/>
    <m/>
    <m/>
    <m/>
    <m/>
    <m/>
    <m/>
    <m/>
  </r>
  <r>
    <m/>
    <m/>
    <m/>
    <x v="8"/>
    <x v="2"/>
    <s v="reference"/>
    <s v="ISO 646:1973"/>
    <m/>
    <x v="2"/>
    <s v="reference"/>
    <s v="ECMA-6 (08/1973)"/>
    <m/>
    <m/>
    <m/>
    <m/>
    <s v="technically equivalent"/>
    <m/>
    <m/>
  </r>
  <r>
    <m/>
    <m/>
    <m/>
    <x v="8"/>
    <x v="2"/>
    <s v="reference"/>
    <s v="ISO 646:1973"/>
    <m/>
    <x v="2"/>
    <s v="reference"/>
    <s v="CCITT Rec. V.3 (1972)"/>
    <m/>
    <m/>
    <m/>
    <m/>
    <s v="textually equivalent"/>
    <m/>
    <m/>
  </r>
  <r>
    <m/>
    <m/>
    <m/>
    <x v="5"/>
    <x v="0"/>
    <s v="shortName"/>
    <s v="TC97 SC 2"/>
    <m/>
    <x v="2"/>
    <s v="reference"/>
    <s v="ISO 646:1983"/>
    <m/>
    <m/>
    <m/>
    <m/>
    <m/>
    <m/>
    <m/>
  </r>
  <r>
    <m/>
    <m/>
    <m/>
    <x v="6"/>
    <x v="2"/>
    <s v="reference"/>
    <s v="ISO 646:1983"/>
    <m/>
    <x v="3"/>
    <s v="reference"/>
    <s v="ISO/IEC 646"/>
    <m/>
    <m/>
    <m/>
    <m/>
    <m/>
    <m/>
    <m/>
  </r>
  <r>
    <m/>
    <m/>
    <m/>
    <x v="7"/>
    <x v="2"/>
    <s v="reference"/>
    <s v="ISO 646:1983"/>
    <m/>
    <x v="2"/>
    <s v="reference"/>
    <s v="ISO 646:1973"/>
    <m/>
    <m/>
    <m/>
    <m/>
    <m/>
    <m/>
    <m/>
  </r>
  <r>
    <m/>
    <m/>
    <m/>
    <x v="8"/>
    <x v="2"/>
    <s v="reference"/>
    <s v="ISO 646:1983"/>
    <m/>
    <x v="2"/>
    <s v="reference"/>
    <s v="CCITT Rec. T.50 (10/1984)"/>
    <m/>
    <m/>
    <m/>
    <m/>
    <s v="textually equivalent"/>
    <m/>
    <m/>
  </r>
  <r>
    <m/>
    <m/>
    <m/>
    <x v="8"/>
    <x v="2"/>
    <s v="reference"/>
    <s v="ISO 646:1983"/>
    <m/>
    <x v="2"/>
    <s v="reference"/>
    <s v="ECMA-6 (03/1985)"/>
    <m/>
    <m/>
    <m/>
    <m/>
    <s v="textually equivalent"/>
    <m/>
    <m/>
  </r>
  <r>
    <m/>
    <m/>
    <m/>
    <x v="8"/>
    <x v="2"/>
    <s v="reference"/>
    <s v="ISO 646:1983"/>
    <m/>
    <x v="2"/>
    <s v="reference"/>
    <s v="US-ASCII [ANSI X3.4-1986]"/>
    <m/>
    <m/>
    <m/>
    <m/>
    <s v="influenced"/>
    <m/>
    <m/>
  </r>
  <r>
    <m/>
    <m/>
    <m/>
    <x v="5"/>
    <x v="0"/>
    <s v="shortName"/>
    <s v="JTC1 SC 2"/>
    <m/>
    <x v="2"/>
    <s v="reference"/>
    <s v="ISO/IEC 646:1991"/>
    <m/>
    <m/>
    <m/>
    <m/>
    <m/>
    <m/>
    <m/>
  </r>
  <r>
    <m/>
    <m/>
    <m/>
    <x v="6"/>
    <x v="2"/>
    <s v="reference"/>
    <s v="ISO/IEC 646:1991"/>
    <m/>
    <x v="3"/>
    <s v="reference"/>
    <s v="ISO/IEC 646"/>
    <m/>
    <m/>
    <m/>
    <m/>
    <m/>
    <m/>
    <m/>
  </r>
  <r>
    <m/>
    <m/>
    <m/>
    <x v="7"/>
    <x v="2"/>
    <s v="reference"/>
    <s v="ISO/IEC 646:1991"/>
    <m/>
    <x v="2"/>
    <s v="reference"/>
    <s v="ISO 646:1983"/>
    <m/>
    <m/>
    <m/>
    <m/>
    <m/>
    <m/>
    <m/>
  </r>
  <r>
    <m/>
    <m/>
    <m/>
    <x v="8"/>
    <x v="2"/>
    <s v="reference"/>
    <s v="ISO/IEC 646:1991"/>
    <m/>
    <x v="2"/>
    <s v="reference"/>
    <s v="US-ASCII [ANSI X3.4-1986]"/>
    <m/>
    <m/>
    <m/>
    <m/>
    <s v="partially equivalent"/>
    <s v="ASCII is equivalent to IRV"/>
    <m/>
  </r>
  <r>
    <m/>
    <m/>
    <m/>
    <x v="8"/>
    <x v="2"/>
    <s v="reference"/>
    <s v="ISO/IEC 646:1991"/>
    <m/>
    <x v="2"/>
    <s v="reference"/>
    <s v="US-ASCII [ANSI X3.4-1986 (R1992)]"/>
    <m/>
    <m/>
    <m/>
    <m/>
    <s v="partially equivalent"/>
    <s v="ASCII is equivalent to IRV"/>
    <m/>
  </r>
  <r>
    <m/>
    <m/>
    <m/>
    <x v="8"/>
    <x v="2"/>
    <s v="reference"/>
    <s v="ISO/IEC 646:1991"/>
    <m/>
    <x v="2"/>
    <s v="reference"/>
    <s v="US-ASCII [ANSI X3.4-1986 (R1997)]"/>
    <m/>
    <m/>
    <m/>
    <m/>
    <s v="partially equivalent"/>
    <s v="ASCII is equivalent to IRV"/>
    <m/>
  </r>
  <r>
    <m/>
    <m/>
    <m/>
    <x v="8"/>
    <x v="2"/>
    <s v="reference"/>
    <s v="ISO/IEC 646:1991"/>
    <m/>
    <x v="2"/>
    <s v="reference"/>
    <s v="US-ASCII [ANSI INCITS 4-1986 (R2002)]"/>
    <m/>
    <m/>
    <m/>
    <m/>
    <s v="partially equivalent"/>
    <s v="ASCII is equivalent to IRV"/>
    <m/>
  </r>
  <r>
    <m/>
    <m/>
    <m/>
    <x v="8"/>
    <x v="2"/>
    <s v="reference"/>
    <s v="ISO/IEC 646:1991"/>
    <m/>
    <x v="2"/>
    <s v="reference"/>
    <s v="US-ASCII [ANSI INCITS 4-1986 (R2007)]"/>
    <m/>
    <m/>
    <m/>
    <m/>
    <s v="partially equivalent"/>
    <s v="ASCII is equivalent to IRV"/>
    <m/>
  </r>
  <r>
    <m/>
    <m/>
    <m/>
    <x v="8"/>
    <x v="2"/>
    <s v="reference"/>
    <s v="ISO/IEC 646:1991"/>
    <m/>
    <x v="2"/>
    <s v="reference"/>
    <s v="US-ASCII [INCITS 4-1986 (R2012)]"/>
    <m/>
    <m/>
    <m/>
    <m/>
    <s v="partially equivalent"/>
    <s v="ASCII is equivalent to IRV"/>
    <m/>
  </r>
  <r>
    <m/>
    <m/>
    <m/>
    <x v="8"/>
    <x v="2"/>
    <s v="reference"/>
    <s v="ISO/IEC 646:1991"/>
    <m/>
    <x v="2"/>
    <s v="reference"/>
    <s v="US-ASCII [INCITS 4-1986 (R2017)]"/>
    <m/>
    <m/>
    <m/>
    <m/>
    <s v="partially equivalent"/>
    <s v="ASCII is equivalent to IRV"/>
    <m/>
  </r>
  <r>
    <m/>
    <m/>
    <m/>
    <x v="8"/>
    <x v="2"/>
    <s v="reference"/>
    <s v="ISO/IEC 646:1991"/>
    <m/>
    <x v="2"/>
    <s v="reference"/>
    <s v="US-ASCII [INCITS 4-1986 (R2022)]"/>
    <m/>
    <m/>
    <m/>
    <m/>
    <s v="partially equivalent"/>
    <s v="ASCII is equivalent to IRV"/>
    <m/>
  </r>
  <r>
    <m/>
    <m/>
    <m/>
    <x v="8"/>
    <x v="2"/>
    <s v="reference"/>
    <s v="ISO/IEC 646:1991"/>
    <m/>
    <x v="2"/>
    <s v="reference"/>
    <s v="ECMA-6 (12/1991)"/>
    <m/>
    <m/>
    <m/>
    <m/>
    <s v="textually equivalent"/>
    <m/>
    <m/>
  </r>
  <r>
    <m/>
    <m/>
    <m/>
    <x v="8"/>
    <x v="2"/>
    <s v="reference"/>
    <s v="ISO/IEC 646:1991"/>
    <m/>
    <x v="2"/>
    <s v="reference"/>
    <s v="ITU-T Rec. T.50 (09/1992)"/>
    <m/>
    <m/>
    <m/>
    <m/>
    <s v="textually equivalent"/>
    <m/>
    <m/>
  </r>
  <r>
    <m/>
    <m/>
    <m/>
    <x v="9"/>
    <x v="3"/>
    <s v="reference"/>
    <s v="ISO/IEC 646"/>
    <m/>
    <x v="4"/>
    <s v="shortName"/>
    <s v="ISO/IEC 646 IRV"/>
    <m/>
    <m/>
    <m/>
    <m/>
    <m/>
    <m/>
    <m/>
  </r>
  <r>
    <m/>
    <m/>
    <m/>
    <x v="5"/>
    <x v="0"/>
    <s v="shortName"/>
    <s v="CCITT SSG A (1968)"/>
    <m/>
    <x v="2"/>
    <s v="reference"/>
    <s v="CCITT Rec. V.3 (1968)"/>
    <m/>
    <m/>
    <m/>
    <m/>
    <m/>
    <m/>
    <m/>
  </r>
  <r>
    <m/>
    <m/>
    <m/>
    <x v="6"/>
    <x v="2"/>
    <s v="reference"/>
    <s v="CCITT Rec. V.3 (1968)"/>
    <m/>
    <x v="3"/>
    <s v="reference"/>
    <s v="ITU-T Rec. T.50"/>
    <m/>
    <m/>
    <m/>
    <m/>
    <m/>
    <m/>
    <m/>
  </r>
  <r>
    <m/>
    <m/>
    <m/>
    <x v="5"/>
    <x v="0"/>
    <s v="shortName"/>
    <s v="CCITT SSG A (1972)"/>
    <m/>
    <x v="2"/>
    <s v="reference"/>
    <s v="CCITT Rec. V.3 (1972)"/>
    <m/>
    <m/>
    <m/>
    <m/>
    <m/>
    <m/>
    <m/>
  </r>
  <r>
    <m/>
    <m/>
    <m/>
    <x v="6"/>
    <x v="2"/>
    <s v="reference"/>
    <s v="CCITT Rec. V.3 (1972)"/>
    <m/>
    <x v="3"/>
    <s v="reference"/>
    <s v="ITU-T Rec. T.50"/>
    <m/>
    <m/>
    <m/>
    <m/>
    <m/>
    <m/>
    <m/>
  </r>
  <r>
    <m/>
    <m/>
    <m/>
    <x v="7"/>
    <x v="2"/>
    <s v="reference"/>
    <s v="CCITT Rec. V.3 (1972)"/>
    <m/>
    <x v="2"/>
    <s v="reference"/>
    <s v="CCITT Rec. V.3 (1968)"/>
    <m/>
    <m/>
    <m/>
    <m/>
    <m/>
    <m/>
    <m/>
  </r>
  <r>
    <m/>
    <m/>
    <m/>
    <x v="8"/>
    <x v="2"/>
    <s v="reference"/>
    <s v="CCITT Rec. V.3 (1972)"/>
    <m/>
    <x v="2"/>
    <s v="reference"/>
    <s v="ECMA-6 (08/1973)"/>
    <m/>
    <m/>
    <m/>
    <m/>
    <s v="technically equivalent"/>
    <m/>
    <m/>
  </r>
  <r>
    <m/>
    <m/>
    <m/>
    <x v="8"/>
    <x v="2"/>
    <s v="reference"/>
    <s v="CCITT Rec. V.3 (1972)"/>
    <m/>
    <x v="2"/>
    <s v="reference"/>
    <s v="ISO 646:1973"/>
    <m/>
    <m/>
    <m/>
    <m/>
    <s v="textually equivalent"/>
    <m/>
    <m/>
  </r>
  <r>
    <m/>
    <m/>
    <m/>
    <x v="5"/>
    <x v="0"/>
    <s v="shortName"/>
    <s v="CCITT SG 17 (1976)"/>
    <m/>
    <x v="2"/>
    <s v="reference"/>
    <s v="CCITT Rec. V.3 (10/1976)"/>
    <m/>
    <m/>
    <m/>
    <m/>
    <m/>
    <m/>
    <m/>
  </r>
  <r>
    <m/>
    <m/>
    <m/>
    <x v="6"/>
    <x v="2"/>
    <s v="reference"/>
    <s v="CCITT Rec. V.3 (10/1976)"/>
    <m/>
    <x v="3"/>
    <s v="reference"/>
    <s v="ITU-T Rec. T.50"/>
    <m/>
    <m/>
    <m/>
    <m/>
    <m/>
    <m/>
    <m/>
  </r>
  <r>
    <m/>
    <m/>
    <m/>
    <x v="7"/>
    <x v="2"/>
    <s v="reference"/>
    <s v="CCITT Rec. V.3 (10/1976)"/>
    <m/>
    <x v="2"/>
    <s v="reference"/>
    <s v="CCITT Rec. V.3 (1972)"/>
    <m/>
    <m/>
    <m/>
    <m/>
    <m/>
    <m/>
    <m/>
  </r>
  <r>
    <m/>
    <m/>
    <m/>
    <x v="8"/>
    <x v="2"/>
    <s v="reference"/>
    <s v="CCITT Rec. V.3 (10/1976)"/>
    <m/>
    <x v="2"/>
    <s v="reference"/>
    <s v="CCITT Rec. V.3 (1972)"/>
    <m/>
    <m/>
    <m/>
    <m/>
    <s v="republication"/>
    <m/>
    <m/>
  </r>
  <r>
    <m/>
    <m/>
    <m/>
    <x v="8"/>
    <x v="2"/>
    <s v="reference"/>
    <s v="CCITT Rec. V.3 (10/1976)"/>
    <m/>
    <x v="2"/>
    <s v="reference"/>
    <s v="ECMA-6 (08/1973)"/>
    <m/>
    <m/>
    <m/>
    <m/>
    <s v="technically equivalent"/>
    <m/>
    <m/>
  </r>
  <r>
    <m/>
    <m/>
    <m/>
    <x v="8"/>
    <x v="2"/>
    <s v="reference"/>
    <s v="CCITT Rec. V.3 (10/1976)"/>
    <m/>
    <x v="2"/>
    <s v="reference"/>
    <s v="ISO 646:1973"/>
    <m/>
    <m/>
    <m/>
    <m/>
    <s v="textually equivalent"/>
    <m/>
    <m/>
  </r>
  <r>
    <m/>
    <m/>
    <m/>
    <x v="5"/>
    <x v="0"/>
    <s v="shortName"/>
    <s v="CCITT SG 17 (1980)"/>
    <m/>
    <x v="2"/>
    <s v="reference"/>
    <s v="CCITT Rec. V.3 (11/1980)"/>
    <m/>
    <m/>
    <m/>
    <m/>
    <m/>
    <m/>
    <m/>
  </r>
  <r>
    <m/>
    <m/>
    <m/>
    <x v="6"/>
    <x v="2"/>
    <s v="reference"/>
    <s v="CCITT Rec. V.3 (11/1980)"/>
    <m/>
    <x v="3"/>
    <s v="reference"/>
    <s v="ITU-T Rec. T.50"/>
    <m/>
    <m/>
    <m/>
    <m/>
    <m/>
    <m/>
    <m/>
  </r>
  <r>
    <m/>
    <m/>
    <m/>
    <x v="7"/>
    <x v="2"/>
    <s v="reference"/>
    <s v="CCITT Rec. V.3 (11/1980)"/>
    <m/>
    <x v="2"/>
    <s v="reference"/>
    <s v="CCITT Rec. V.3 (10/1976)"/>
    <m/>
    <m/>
    <m/>
    <m/>
    <m/>
    <m/>
    <m/>
  </r>
  <r>
    <m/>
    <m/>
    <m/>
    <x v="8"/>
    <x v="2"/>
    <s v="reference"/>
    <s v="CCITT Rec. V.3 (11/1980)"/>
    <m/>
    <x v="2"/>
    <s v="reference"/>
    <s v="CCITT Rec. V.3 (1972)"/>
    <m/>
    <m/>
    <m/>
    <m/>
    <s v="republication"/>
    <m/>
    <m/>
  </r>
  <r>
    <m/>
    <m/>
    <m/>
    <x v="8"/>
    <x v="2"/>
    <s v="reference"/>
    <s v="CCITT Rec. V.3 (11/1980)"/>
    <m/>
    <x v="2"/>
    <s v="reference"/>
    <s v="ECMA-6 (08/1973)"/>
    <m/>
    <m/>
    <m/>
    <m/>
    <s v="technically equivalent"/>
    <m/>
    <m/>
  </r>
  <r>
    <m/>
    <m/>
    <m/>
    <x v="8"/>
    <x v="2"/>
    <s v="reference"/>
    <s v="CCITT Rec. V.3 (11/1980)"/>
    <m/>
    <x v="2"/>
    <s v="reference"/>
    <s v="ISO 646:1973"/>
    <m/>
    <m/>
    <m/>
    <m/>
    <s v="textually equivalent"/>
    <m/>
    <m/>
  </r>
  <r>
    <m/>
    <m/>
    <m/>
    <x v="5"/>
    <x v="0"/>
    <s v="shortName"/>
    <s v="CCITT SG 8 (1984)"/>
    <m/>
    <x v="2"/>
    <s v="reference"/>
    <s v="CCITT Rec. T.50 (10/1984)"/>
    <m/>
    <m/>
    <m/>
    <m/>
    <m/>
    <m/>
    <m/>
  </r>
  <r>
    <m/>
    <m/>
    <m/>
    <x v="6"/>
    <x v="2"/>
    <s v="reference"/>
    <s v="CCITT Rec. T.50 (10/1984)"/>
    <m/>
    <x v="3"/>
    <s v="reference"/>
    <s v="ITU-T Rec. T.50"/>
    <m/>
    <m/>
    <m/>
    <m/>
    <m/>
    <m/>
    <m/>
  </r>
  <r>
    <m/>
    <m/>
    <m/>
    <x v="7"/>
    <x v="2"/>
    <s v="reference"/>
    <s v="CCITT Rec. T.50 (10/1984)"/>
    <m/>
    <x v="2"/>
    <s v="reference"/>
    <s v="CCITT Rec. V.3 (11/1980)"/>
    <m/>
    <m/>
    <m/>
    <m/>
    <m/>
    <m/>
    <m/>
  </r>
  <r>
    <m/>
    <m/>
    <m/>
    <x v="8"/>
    <x v="2"/>
    <s v="reference"/>
    <s v="CCITT Rec. T.50 (10/1984)"/>
    <m/>
    <x v="2"/>
    <s v="reference"/>
    <s v="ISO 646:1983"/>
    <m/>
    <m/>
    <m/>
    <m/>
    <s v="textually equivalent"/>
    <m/>
    <m/>
  </r>
  <r>
    <m/>
    <m/>
    <m/>
    <x v="8"/>
    <x v="2"/>
    <s v="reference"/>
    <s v="CCITT Rec. T.50 (10/1984)"/>
    <m/>
    <x v="2"/>
    <s v="reference"/>
    <s v="ECMA-6 (03/1985)"/>
    <m/>
    <m/>
    <m/>
    <m/>
    <s v="textually equivalent"/>
    <m/>
    <m/>
  </r>
  <r>
    <m/>
    <m/>
    <m/>
    <x v="5"/>
    <x v="0"/>
    <s v="shortName"/>
    <s v="CCITT SG 8 (1988)"/>
    <m/>
    <x v="2"/>
    <s v="reference"/>
    <s v="CCITT Rec. T.50 (11/1988)"/>
    <m/>
    <m/>
    <m/>
    <m/>
    <m/>
    <m/>
    <m/>
  </r>
  <r>
    <m/>
    <m/>
    <m/>
    <x v="6"/>
    <x v="2"/>
    <s v="reference"/>
    <s v="CCITT Rec. T.50 (11/1988)"/>
    <m/>
    <x v="3"/>
    <s v="reference"/>
    <s v="ITU-T Rec. T.50"/>
    <m/>
    <m/>
    <m/>
    <m/>
    <m/>
    <m/>
    <m/>
  </r>
  <r>
    <m/>
    <m/>
    <m/>
    <x v="7"/>
    <x v="2"/>
    <s v="reference"/>
    <s v="CCITT Rec. T.50 (11/1988)"/>
    <m/>
    <x v="2"/>
    <s v="reference"/>
    <s v="CCITT Rec. T.50 (10/1984)"/>
    <m/>
    <m/>
    <m/>
    <m/>
    <m/>
    <m/>
    <m/>
  </r>
  <r>
    <m/>
    <m/>
    <m/>
    <x v="8"/>
    <x v="2"/>
    <s v="reference"/>
    <s v="CCITT Rec. T.50 (11/1988)"/>
    <m/>
    <x v="2"/>
    <s v="reference"/>
    <s v="CCITT Rec. T.50 (10/1984)"/>
    <m/>
    <m/>
    <m/>
    <m/>
    <s v="republication"/>
    <m/>
    <m/>
  </r>
  <r>
    <m/>
    <m/>
    <m/>
    <x v="8"/>
    <x v="2"/>
    <s v="reference"/>
    <s v="CCITT Rec. T.50 (11/1988)"/>
    <m/>
    <x v="2"/>
    <s v="reference"/>
    <s v="ISO 646:1983"/>
    <m/>
    <m/>
    <m/>
    <m/>
    <s v="textually equivalent"/>
    <m/>
    <m/>
  </r>
  <r>
    <m/>
    <m/>
    <m/>
    <x v="8"/>
    <x v="2"/>
    <s v="reference"/>
    <s v="CCITT Rec. T.50 (11/1988)"/>
    <m/>
    <x v="2"/>
    <s v="reference"/>
    <s v="ECMA-6 (03/1985)"/>
    <m/>
    <m/>
    <m/>
    <m/>
    <s v="textually equivalent"/>
    <m/>
    <m/>
  </r>
  <r>
    <m/>
    <m/>
    <m/>
    <x v="5"/>
    <x v="0"/>
    <s v="shortName"/>
    <s v="CCITT SG 8 (1992)"/>
    <m/>
    <x v="2"/>
    <s v="reference"/>
    <s v="ITU-T Rec. T.50 (09/1992)"/>
    <m/>
    <m/>
    <m/>
    <m/>
    <m/>
    <m/>
    <m/>
  </r>
  <r>
    <m/>
    <m/>
    <m/>
    <x v="6"/>
    <x v="2"/>
    <s v="reference"/>
    <s v="ITU-T Rec. T.50 (09/1992)"/>
    <m/>
    <x v="3"/>
    <s v="reference"/>
    <s v="ITU-T Rec. T.50"/>
    <m/>
    <m/>
    <m/>
    <m/>
    <m/>
    <m/>
    <m/>
  </r>
  <r>
    <m/>
    <m/>
    <m/>
    <x v="7"/>
    <x v="2"/>
    <s v="reference"/>
    <s v="ITU-T Rec. T.50 (09/1992)"/>
    <m/>
    <x v="2"/>
    <s v="reference"/>
    <s v="CCITT Rec. T.50 (11/1988)"/>
    <m/>
    <m/>
    <m/>
    <m/>
    <m/>
    <m/>
    <m/>
  </r>
  <r>
    <m/>
    <m/>
    <m/>
    <x v="8"/>
    <x v="2"/>
    <s v="reference"/>
    <s v="ITU-T Rec. T.50 (09/1992)"/>
    <m/>
    <x v="2"/>
    <s v="reference"/>
    <s v="US-ASCII [ANSI X3.4-1986]"/>
    <m/>
    <m/>
    <m/>
    <m/>
    <s v="partially equivalent"/>
    <s v="ASCII is equivalent to IRV"/>
    <m/>
  </r>
  <r>
    <m/>
    <m/>
    <m/>
    <x v="8"/>
    <x v="2"/>
    <s v="reference"/>
    <s v="ITU-T Rec. T.50 (09/1992)"/>
    <m/>
    <x v="2"/>
    <s v="reference"/>
    <s v="US-ASCII [ANSI X3.4-1986 (R1992)]"/>
    <m/>
    <m/>
    <m/>
    <m/>
    <s v="partially equivalent"/>
    <s v="ASCII is equivalent to IRV"/>
    <m/>
  </r>
  <r>
    <m/>
    <m/>
    <m/>
    <x v="8"/>
    <x v="2"/>
    <s v="reference"/>
    <s v="ITU-T Rec. T.50 (09/1992)"/>
    <m/>
    <x v="2"/>
    <s v="reference"/>
    <s v="US-ASCII [ANSI X3.4-1986 (R1997)]"/>
    <m/>
    <m/>
    <m/>
    <m/>
    <s v="partially equivalent"/>
    <s v="ASCII is equivalent to IRV"/>
    <m/>
  </r>
  <r>
    <m/>
    <m/>
    <m/>
    <x v="8"/>
    <x v="2"/>
    <s v="reference"/>
    <s v="ITU-T Rec. T.50 (09/1992)"/>
    <m/>
    <x v="2"/>
    <s v="reference"/>
    <s v="US-ASCII [ANSI INCITS 4-1986 (R2002)]"/>
    <m/>
    <m/>
    <m/>
    <m/>
    <s v="partially equivalent"/>
    <s v="ASCII is equivalent to IRV"/>
    <m/>
  </r>
  <r>
    <m/>
    <m/>
    <m/>
    <x v="8"/>
    <x v="2"/>
    <s v="reference"/>
    <s v="ITU-T Rec. T.50 (09/1992)"/>
    <m/>
    <x v="2"/>
    <s v="reference"/>
    <s v="US-ASCII [ANSI INCITS 4-1986 (R2007)]"/>
    <m/>
    <m/>
    <m/>
    <m/>
    <s v="partially equivalent"/>
    <s v="ASCII is equivalent to IRV"/>
    <m/>
  </r>
  <r>
    <m/>
    <m/>
    <m/>
    <x v="8"/>
    <x v="2"/>
    <s v="reference"/>
    <s v="ITU-T Rec. T.50 (09/1992)"/>
    <m/>
    <x v="2"/>
    <s v="reference"/>
    <s v="US-ASCII [INCITS 4-1986 (R2012)]"/>
    <m/>
    <m/>
    <m/>
    <m/>
    <s v="partially equivalent"/>
    <s v="ASCII is equivalent to IRV"/>
    <m/>
  </r>
  <r>
    <m/>
    <m/>
    <m/>
    <x v="8"/>
    <x v="2"/>
    <s v="reference"/>
    <s v="ITU-T Rec. T.50 (09/1992)"/>
    <m/>
    <x v="2"/>
    <s v="reference"/>
    <s v="US-ASCII [INCITS 4-1986 (R2017)]"/>
    <m/>
    <m/>
    <m/>
    <m/>
    <s v="partially equivalent"/>
    <s v="ASCII is equivalent to IRV"/>
    <m/>
  </r>
  <r>
    <m/>
    <m/>
    <m/>
    <x v="8"/>
    <x v="2"/>
    <s v="reference"/>
    <s v="ITU-T Rec. T.50 (09/1992)"/>
    <m/>
    <x v="2"/>
    <s v="reference"/>
    <s v="US-ASCII [INCITS 4-1986 (R2022)]"/>
    <m/>
    <m/>
    <m/>
    <m/>
    <s v="partially equivalent"/>
    <s v="ASCII is equivalent to IRV"/>
    <m/>
  </r>
  <r>
    <m/>
    <m/>
    <m/>
    <x v="8"/>
    <x v="2"/>
    <s v="reference"/>
    <s v="ITU-T Rec. T.50 (09/1992)"/>
    <m/>
    <x v="2"/>
    <s v="reference"/>
    <s v="ECMA-6 (12/1991)"/>
    <m/>
    <m/>
    <m/>
    <m/>
    <s v="textually equivalent"/>
    <m/>
    <m/>
  </r>
  <r>
    <m/>
    <m/>
    <m/>
    <x v="8"/>
    <x v="2"/>
    <s v="reference"/>
    <s v="ITU-T Rec. T.50 (09/1992)"/>
    <m/>
    <x v="2"/>
    <s v="reference"/>
    <s v="ISO/IEC 646:1991"/>
    <m/>
    <m/>
    <m/>
    <m/>
    <s v="textually equivalent"/>
    <m/>
    <m/>
  </r>
  <r>
    <m/>
    <m/>
    <m/>
    <x v="9"/>
    <x v="3"/>
    <s v="reference"/>
    <s v="ITU-T Rec. T.50"/>
    <m/>
    <x v="4"/>
    <s v="shortName"/>
    <s v="ISO/IEC 646 IRV"/>
    <m/>
    <m/>
    <m/>
    <m/>
    <m/>
    <s v="ITU-T Rec. T.50 is an equivalent alternative to ISO/IEC 646"/>
    <m/>
  </r>
  <r>
    <m/>
    <m/>
    <m/>
    <x v="5"/>
    <x v="0"/>
    <s v="shortName"/>
    <s v="IETF"/>
    <m/>
    <x v="2"/>
    <s v="reference"/>
    <s v="RFC20"/>
    <m/>
    <m/>
    <m/>
    <m/>
    <m/>
    <m/>
    <m/>
  </r>
  <r>
    <m/>
    <m/>
    <m/>
    <x v="6"/>
    <x v="2"/>
    <s v="reference"/>
    <s v="RFC20"/>
    <m/>
    <x v="3"/>
    <s v="reference"/>
    <s v="STD80"/>
    <m/>
    <m/>
    <m/>
    <m/>
    <m/>
    <m/>
    <m/>
  </r>
  <r>
    <m/>
    <m/>
    <m/>
    <x v="8"/>
    <x v="2"/>
    <s v="reference"/>
    <s v="RFC20"/>
    <m/>
    <x v="2"/>
    <s v="reference"/>
    <s v="US-ASCII [USAS X3.4-1968]"/>
    <m/>
    <m/>
    <m/>
    <m/>
    <s v="textually equivalent"/>
    <s v="Does not include appendices"/>
    <m/>
  </r>
  <r>
    <m/>
    <m/>
    <m/>
    <x v="4"/>
    <x v="1"/>
    <m/>
    <m/>
    <m/>
    <x v="1"/>
    <m/>
    <m/>
    <m/>
    <m/>
    <m/>
    <m/>
    <m/>
    <m/>
    <m/>
  </r>
  <r>
    <m/>
    <m/>
    <s v="Intermediate Character Sets"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5"/>
    <x v="0"/>
    <s v="shortName"/>
    <s v="ECMA TC1"/>
    <m/>
    <x v="2"/>
    <s v="reference"/>
    <s v="ECMA-35 (12/1971)"/>
    <m/>
    <m/>
    <m/>
    <m/>
    <m/>
    <m/>
    <m/>
  </r>
  <r>
    <m/>
    <m/>
    <m/>
    <x v="6"/>
    <x v="2"/>
    <s v="reference"/>
    <s v="ECMA-35 (12/1971)"/>
    <m/>
    <x v="3"/>
    <s v="reference"/>
    <s v="ECMA-35"/>
    <m/>
    <m/>
    <m/>
    <m/>
    <m/>
    <m/>
    <m/>
  </r>
  <r>
    <m/>
    <m/>
    <m/>
    <x v="5"/>
    <x v="0"/>
    <s v="shortName"/>
    <s v="ECMA TC1"/>
    <m/>
    <x v="2"/>
    <s v="reference"/>
    <s v="ECMA-35 (01/1980)"/>
    <m/>
    <m/>
    <m/>
    <m/>
    <m/>
    <m/>
    <m/>
  </r>
  <r>
    <m/>
    <m/>
    <m/>
    <x v="6"/>
    <x v="2"/>
    <s v="reference"/>
    <s v="ECMA-35 (01/1980)"/>
    <m/>
    <x v="3"/>
    <s v="reference"/>
    <s v="ECMA-35"/>
    <m/>
    <m/>
    <m/>
    <m/>
    <m/>
    <m/>
    <m/>
  </r>
  <r>
    <m/>
    <m/>
    <m/>
    <x v="7"/>
    <x v="2"/>
    <s v="reference"/>
    <s v="ECMA-35 (01/1980)"/>
    <m/>
    <x v="2"/>
    <s v="reference"/>
    <s v="ECMA-35 (12/1971)"/>
    <m/>
    <m/>
    <m/>
    <m/>
    <m/>
    <m/>
    <m/>
  </r>
  <r>
    <m/>
    <m/>
    <m/>
    <x v="5"/>
    <x v="0"/>
    <s v="shortName"/>
    <s v="ECMA TC1"/>
    <m/>
    <x v="2"/>
    <s v="reference"/>
    <s v="ECMA-35 (01/1982)"/>
    <m/>
    <m/>
    <m/>
    <m/>
    <m/>
    <m/>
    <m/>
  </r>
  <r>
    <m/>
    <m/>
    <m/>
    <x v="6"/>
    <x v="2"/>
    <s v="reference"/>
    <s v="ECMA-35 (01/1982)"/>
    <m/>
    <x v="3"/>
    <s v="reference"/>
    <s v="ECMA-35"/>
    <m/>
    <m/>
    <m/>
    <m/>
    <m/>
    <m/>
    <m/>
  </r>
  <r>
    <m/>
    <m/>
    <m/>
    <x v="7"/>
    <x v="2"/>
    <s v="reference"/>
    <s v="ECMA-35 (01/1982)"/>
    <m/>
    <x v="2"/>
    <s v="reference"/>
    <s v="ECMA-35 (01/1980)"/>
    <m/>
    <m/>
    <m/>
    <m/>
    <m/>
    <m/>
    <m/>
  </r>
  <r>
    <m/>
    <m/>
    <m/>
    <x v="5"/>
    <x v="0"/>
    <s v="shortName"/>
    <s v="ECMA TC1"/>
    <m/>
    <x v="2"/>
    <s v="reference"/>
    <s v="ECMA-35 (03/1985)"/>
    <m/>
    <m/>
    <m/>
    <m/>
    <m/>
    <m/>
    <m/>
  </r>
  <r>
    <m/>
    <m/>
    <m/>
    <x v="6"/>
    <x v="2"/>
    <s v="reference"/>
    <s v="ECMA-35 (03/1985)"/>
    <m/>
    <x v="3"/>
    <s v="reference"/>
    <s v="ECMA-35"/>
    <m/>
    <m/>
    <m/>
    <m/>
    <m/>
    <m/>
    <m/>
  </r>
  <r>
    <m/>
    <m/>
    <m/>
    <x v="7"/>
    <x v="2"/>
    <s v="reference"/>
    <s v="ECMA-35 (03/1985)"/>
    <m/>
    <x v="2"/>
    <s v="reference"/>
    <s v="ECMA-35 (01/1982)"/>
    <m/>
    <m/>
    <m/>
    <m/>
    <m/>
    <m/>
    <m/>
  </r>
  <r>
    <m/>
    <m/>
    <m/>
    <x v="8"/>
    <x v="2"/>
    <s v="reference"/>
    <s v="ECMA-35 (03/1985)"/>
    <m/>
    <x v="2"/>
    <s v="reference"/>
    <s v="ISO 2022:1986"/>
    <m/>
    <m/>
    <m/>
    <m/>
    <s v="textually equivalent"/>
    <m/>
    <m/>
  </r>
  <r>
    <m/>
    <m/>
    <m/>
    <x v="5"/>
    <x v="0"/>
    <s v="shortName"/>
    <s v="ECMA TC1"/>
    <m/>
    <x v="2"/>
    <s v="reference"/>
    <s v="ECMA-35 (06/1993)"/>
    <m/>
    <m/>
    <m/>
    <m/>
    <m/>
    <m/>
    <m/>
  </r>
  <r>
    <m/>
    <m/>
    <m/>
    <x v="6"/>
    <x v="2"/>
    <s v="reference"/>
    <s v="ECMA-35 (06/1993)"/>
    <m/>
    <x v="3"/>
    <s v="reference"/>
    <s v="ECMA-35"/>
    <m/>
    <m/>
    <m/>
    <m/>
    <m/>
    <m/>
    <m/>
  </r>
  <r>
    <m/>
    <m/>
    <m/>
    <x v="7"/>
    <x v="2"/>
    <s v="reference"/>
    <s v="ECMA-35 (06/1993)"/>
    <m/>
    <x v="2"/>
    <s v="reference"/>
    <s v="ECMA-35 (03/1985)"/>
    <m/>
    <m/>
    <m/>
    <m/>
    <m/>
    <m/>
    <m/>
  </r>
  <r>
    <m/>
    <m/>
    <m/>
    <x v="8"/>
    <x v="2"/>
    <s v="reference"/>
    <s v="ECMA-35 (06/1993)"/>
    <m/>
    <x v="2"/>
    <s v="reference"/>
    <s v="ISO/IEC 2022:1994"/>
    <m/>
    <m/>
    <m/>
    <m/>
    <s v="partially equivalent"/>
    <s v="ISO/IEC 2022:1994 based on ECMA-35 (06/1993)"/>
    <m/>
  </r>
  <r>
    <m/>
    <m/>
    <m/>
    <x v="5"/>
    <x v="0"/>
    <s v="shortName"/>
    <s v="ECMA TC1"/>
    <m/>
    <x v="2"/>
    <s v="reference"/>
    <s v="ECMA-35 (12/1994)"/>
    <m/>
    <m/>
    <m/>
    <m/>
    <m/>
    <m/>
    <m/>
  </r>
  <r>
    <m/>
    <m/>
    <m/>
    <x v="6"/>
    <x v="2"/>
    <s v="reference"/>
    <s v="ECMA-35 (12/1994)"/>
    <m/>
    <x v="3"/>
    <s v="reference"/>
    <s v="ECMA-35"/>
    <m/>
    <m/>
    <m/>
    <m/>
    <m/>
    <m/>
    <m/>
  </r>
  <r>
    <m/>
    <m/>
    <m/>
    <x v="7"/>
    <x v="2"/>
    <s v="reference"/>
    <s v="ECMA-35 (12/1994)"/>
    <m/>
    <x v="2"/>
    <s v="reference"/>
    <s v="ECMA-35 (06/1993)"/>
    <m/>
    <m/>
    <m/>
    <m/>
    <m/>
    <m/>
    <m/>
  </r>
  <r>
    <m/>
    <m/>
    <m/>
    <x v="8"/>
    <x v="2"/>
    <s v="reference"/>
    <s v="ECMA-35 (12/1994)"/>
    <m/>
    <x v="2"/>
    <s v="reference"/>
    <s v="ISO/IEC 2022:1994"/>
    <m/>
    <m/>
    <m/>
    <m/>
    <s v="textually equivalent"/>
    <m/>
    <m/>
  </r>
  <r>
    <m/>
    <m/>
    <m/>
    <x v="5"/>
    <x v="0"/>
    <s v="shortName"/>
    <s v="TC97 SC 2"/>
    <m/>
    <x v="2"/>
    <s v="reference"/>
    <s v="ISO 2022:1973"/>
    <m/>
    <m/>
    <m/>
    <m/>
    <m/>
    <m/>
    <m/>
  </r>
  <r>
    <m/>
    <m/>
    <m/>
    <x v="6"/>
    <x v="2"/>
    <s v="reference"/>
    <s v="ISO 2022:1973"/>
    <m/>
    <x v="3"/>
    <s v="reference"/>
    <s v="ISO/IEC 2022"/>
    <m/>
    <m/>
    <m/>
    <m/>
    <m/>
    <m/>
    <m/>
  </r>
  <r>
    <m/>
    <m/>
    <m/>
    <x v="5"/>
    <x v="0"/>
    <s v="shortName"/>
    <s v="TC97 SC 2"/>
    <m/>
    <x v="2"/>
    <s v="reference"/>
    <s v="ISO 2022:1982"/>
    <m/>
    <m/>
    <m/>
    <m/>
    <m/>
    <m/>
    <m/>
  </r>
  <r>
    <m/>
    <m/>
    <m/>
    <x v="6"/>
    <x v="2"/>
    <s v="reference"/>
    <s v="ISO 2022:1982"/>
    <m/>
    <x v="3"/>
    <s v="reference"/>
    <s v="ISO/IEC 2022"/>
    <m/>
    <m/>
    <m/>
    <m/>
    <m/>
    <m/>
    <m/>
  </r>
  <r>
    <m/>
    <m/>
    <m/>
    <x v="7"/>
    <x v="2"/>
    <s v="reference"/>
    <s v="ISO 2022:1982"/>
    <m/>
    <x v="2"/>
    <s v="reference"/>
    <s v="ISO 2022:1973"/>
    <m/>
    <m/>
    <m/>
    <m/>
    <m/>
    <m/>
    <m/>
  </r>
  <r>
    <m/>
    <m/>
    <m/>
    <x v="5"/>
    <x v="0"/>
    <s v="shortName"/>
    <s v="TC97 SC 2"/>
    <m/>
    <x v="2"/>
    <s v="reference"/>
    <s v="ISO 2022:1986"/>
    <m/>
    <m/>
    <m/>
    <m/>
    <m/>
    <m/>
    <m/>
  </r>
  <r>
    <m/>
    <m/>
    <m/>
    <x v="6"/>
    <x v="2"/>
    <s v="reference"/>
    <s v="ISO 2022:1986"/>
    <m/>
    <x v="3"/>
    <s v="reference"/>
    <s v="ISO/IEC 2022"/>
    <m/>
    <m/>
    <m/>
    <m/>
    <m/>
    <m/>
    <m/>
  </r>
  <r>
    <m/>
    <m/>
    <m/>
    <x v="7"/>
    <x v="2"/>
    <s v="reference"/>
    <s v="ISO 2022:1986"/>
    <m/>
    <x v="2"/>
    <s v="reference"/>
    <s v="ISO 2022:1982"/>
    <m/>
    <m/>
    <m/>
    <m/>
    <m/>
    <m/>
    <m/>
  </r>
  <r>
    <m/>
    <m/>
    <m/>
    <x v="8"/>
    <x v="2"/>
    <s v="reference"/>
    <s v="ISO 2022:1986"/>
    <m/>
    <x v="2"/>
    <s v="reference"/>
    <s v="ECMA-35 (03/1985)"/>
    <m/>
    <m/>
    <m/>
    <m/>
    <s v="textually equivalent"/>
    <m/>
    <m/>
  </r>
  <r>
    <m/>
    <m/>
    <m/>
    <x v="5"/>
    <x v="0"/>
    <s v="shortName"/>
    <s v="JTC1 SC 2"/>
    <m/>
    <x v="2"/>
    <s v="reference"/>
    <s v="ISO/IEC 2022:1994"/>
    <m/>
    <m/>
    <m/>
    <m/>
    <m/>
    <m/>
    <m/>
  </r>
  <r>
    <m/>
    <m/>
    <m/>
    <x v="6"/>
    <x v="2"/>
    <s v="reference"/>
    <s v="ISO/IEC 2022:1994"/>
    <m/>
    <x v="3"/>
    <s v="reference"/>
    <s v="ISO/IEC 2022:1994 (as amended)"/>
    <m/>
    <m/>
    <m/>
    <m/>
    <m/>
    <m/>
    <m/>
  </r>
  <r>
    <m/>
    <m/>
    <m/>
    <x v="7"/>
    <x v="2"/>
    <s v="reference"/>
    <s v="ISO/IEC 2022:1994"/>
    <m/>
    <x v="2"/>
    <s v="reference"/>
    <s v="ISO 2022:1986"/>
    <m/>
    <m/>
    <m/>
    <m/>
    <m/>
    <m/>
    <m/>
  </r>
  <r>
    <m/>
    <m/>
    <m/>
    <x v="8"/>
    <x v="2"/>
    <s v="reference"/>
    <s v="ISO/IEC 2022:1994"/>
    <m/>
    <x v="2"/>
    <s v="reference"/>
    <s v="ECMA-35 (06/1993)"/>
    <m/>
    <m/>
    <m/>
    <m/>
    <s v="partially equivalent"/>
    <s v="ISO/IEC 2022:1994 based on ECMA-35 (06/1993)"/>
    <m/>
  </r>
  <r>
    <m/>
    <m/>
    <m/>
    <x v="8"/>
    <x v="2"/>
    <s v="reference"/>
    <s v="ISO/IEC 2022:1994"/>
    <m/>
    <x v="2"/>
    <s v="reference"/>
    <s v="ECMA-35 (12/1994)"/>
    <m/>
    <m/>
    <m/>
    <m/>
    <s v="textually equivalent"/>
    <m/>
    <m/>
  </r>
  <r>
    <m/>
    <m/>
    <m/>
    <x v="5"/>
    <x v="0"/>
    <s v="shortName"/>
    <s v="JTC1 SC 2"/>
    <m/>
    <x v="2"/>
    <s v="reference"/>
    <s v="ISO/IEC 2022:1994/Cor 1:1999"/>
    <m/>
    <m/>
    <m/>
    <m/>
    <m/>
    <m/>
    <m/>
  </r>
  <r>
    <m/>
    <m/>
    <m/>
    <x v="6"/>
    <x v="2"/>
    <s v="reference"/>
    <s v="ISO/IEC 2022:1994/Cor 1:1999"/>
    <m/>
    <x v="3"/>
    <s v="reference"/>
    <s v="ISO/IEC 2022:1994 (as amended)"/>
    <m/>
    <m/>
    <m/>
    <m/>
    <m/>
    <m/>
    <m/>
  </r>
  <r>
    <m/>
    <m/>
    <m/>
    <x v="10"/>
    <x v="2"/>
    <s v="reference"/>
    <s v="ISO/IEC 2022:1994/Cor 1:1999"/>
    <m/>
    <x v="2"/>
    <s v="reference"/>
    <s v="ISO/IEC 2022:1994"/>
    <m/>
    <m/>
    <m/>
    <m/>
    <m/>
    <m/>
    <m/>
  </r>
  <r>
    <m/>
    <m/>
    <m/>
    <x v="6"/>
    <x v="3"/>
    <s v="reference"/>
    <s v="ISO/IEC 2022:1994 (as amended)"/>
    <m/>
    <x v="3"/>
    <s v="reference"/>
    <s v="ISO/IEC 2022"/>
    <m/>
    <m/>
    <m/>
    <m/>
    <m/>
    <m/>
    <m/>
  </r>
  <r>
    <m/>
    <m/>
    <m/>
    <x v="5"/>
    <x v="0"/>
    <s v="shortName"/>
    <s v="TC97 SC 2"/>
    <m/>
    <x v="2"/>
    <s v="reference"/>
    <s v="ISO 2375:1974"/>
    <m/>
    <m/>
    <m/>
    <m/>
    <m/>
    <m/>
    <m/>
  </r>
  <r>
    <m/>
    <m/>
    <m/>
    <x v="6"/>
    <x v="2"/>
    <s v="reference"/>
    <s v="ISO 2375:1974"/>
    <m/>
    <x v="3"/>
    <s v="reference"/>
    <s v="ISO/IEC 2375"/>
    <m/>
    <m/>
    <m/>
    <m/>
    <m/>
    <m/>
    <m/>
  </r>
  <r>
    <m/>
    <m/>
    <m/>
    <x v="5"/>
    <x v="0"/>
    <s v="shortName"/>
    <s v="TC97 SC 2"/>
    <m/>
    <x v="2"/>
    <s v="reference"/>
    <s v="ISO 2375:1980"/>
    <m/>
    <m/>
    <m/>
    <m/>
    <m/>
    <m/>
    <m/>
  </r>
  <r>
    <m/>
    <m/>
    <m/>
    <x v="6"/>
    <x v="2"/>
    <s v="reference"/>
    <s v="ISO 2375:1980"/>
    <m/>
    <x v="3"/>
    <s v="reference"/>
    <s v="ISO/IEC 2375"/>
    <m/>
    <m/>
    <m/>
    <m/>
    <m/>
    <m/>
    <m/>
  </r>
  <r>
    <m/>
    <m/>
    <m/>
    <x v="7"/>
    <x v="2"/>
    <s v="reference"/>
    <s v="ISO 2375:1980"/>
    <m/>
    <x v="2"/>
    <s v="reference"/>
    <s v="ISO 2375:1974"/>
    <m/>
    <m/>
    <m/>
    <m/>
    <m/>
    <m/>
    <m/>
  </r>
  <r>
    <m/>
    <m/>
    <m/>
    <x v="5"/>
    <x v="0"/>
    <s v="shortName"/>
    <s v="TC97 SC 2"/>
    <m/>
    <x v="2"/>
    <s v="reference"/>
    <s v="ISO 2375:1985"/>
    <m/>
    <m/>
    <m/>
    <m/>
    <m/>
    <m/>
    <m/>
  </r>
  <r>
    <m/>
    <m/>
    <m/>
    <x v="6"/>
    <x v="2"/>
    <s v="reference"/>
    <s v="ISO 2375:1985"/>
    <m/>
    <x v="3"/>
    <s v="reference"/>
    <s v="ISO/IEC 2375"/>
    <m/>
    <m/>
    <m/>
    <m/>
    <m/>
    <m/>
    <m/>
  </r>
  <r>
    <m/>
    <m/>
    <m/>
    <x v="7"/>
    <x v="2"/>
    <s v="reference"/>
    <s v="ISO 2375:1985"/>
    <m/>
    <x v="2"/>
    <s v="reference"/>
    <s v="ISO 2375:1980"/>
    <m/>
    <m/>
    <m/>
    <m/>
    <m/>
    <m/>
    <m/>
  </r>
  <r>
    <m/>
    <m/>
    <m/>
    <x v="5"/>
    <x v="0"/>
    <s v="shortName"/>
    <s v="JTC1 SC 2"/>
    <m/>
    <x v="2"/>
    <s v="reference"/>
    <s v="ISO/IEC 2375:2003"/>
    <m/>
    <m/>
    <m/>
    <m/>
    <m/>
    <m/>
    <m/>
  </r>
  <r>
    <m/>
    <m/>
    <m/>
    <x v="6"/>
    <x v="2"/>
    <s v="reference"/>
    <s v="ISO/IEC 2375:2003"/>
    <m/>
    <x v="3"/>
    <s v="reference"/>
    <s v="ISO/IEC 2375"/>
    <m/>
    <m/>
    <m/>
    <m/>
    <m/>
    <m/>
    <m/>
  </r>
  <r>
    <m/>
    <m/>
    <m/>
    <x v="7"/>
    <x v="2"/>
    <s v="reference"/>
    <s v="ISO/IEC 2375:2003"/>
    <m/>
    <x v="2"/>
    <s v="reference"/>
    <s v="ISO 2375:1985"/>
    <m/>
    <m/>
    <m/>
    <m/>
    <m/>
    <m/>
    <m/>
  </r>
  <r>
    <m/>
    <m/>
    <m/>
    <x v="5"/>
    <x v="0"/>
    <s v="shortName"/>
    <s v="JTC1 SC 2"/>
    <m/>
    <x v="2"/>
    <s v="reference"/>
    <s v="ISO/IEC TR 2375:2024"/>
    <m/>
    <m/>
    <m/>
    <m/>
    <m/>
    <m/>
    <m/>
  </r>
  <r>
    <m/>
    <m/>
    <m/>
    <x v="6"/>
    <x v="2"/>
    <s v="reference"/>
    <s v="ISO/IEC TR 2375:2024"/>
    <m/>
    <x v="3"/>
    <s v="reference"/>
    <s v="ISO/IEC 2375"/>
    <m/>
    <m/>
    <m/>
    <m/>
    <m/>
    <m/>
    <m/>
  </r>
  <r>
    <m/>
    <m/>
    <m/>
    <x v="7"/>
    <x v="2"/>
    <s v="reference"/>
    <s v="ISO/IEC TR 2375:2024"/>
    <m/>
    <x v="2"/>
    <s v="reference"/>
    <s v="ISO/IEC 2375:2003"/>
    <m/>
    <m/>
    <m/>
    <m/>
    <m/>
    <m/>
    <m/>
  </r>
  <r>
    <m/>
    <m/>
    <m/>
    <x v="5"/>
    <x v="0"/>
    <s v="shortName"/>
    <s v="ECMA TC1"/>
    <m/>
    <x v="2"/>
    <s v="reference"/>
    <s v="ECMA-43 (12/1974)"/>
    <m/>
    <m/>
    <m/>
    <m/>
    <m/>
    <m/>
    <m/>
  </r>
  <r>
    <m/>
    <m/>
    <m/>
    <x v="6"/>
    <x v="2"/>
    <s v="reference"/>
    <s v="ECMA-43 (12/1974)"/>
    <m/>
    <x v="3"/>
    <s v="reference"/>
    <s v="ECMA-43"/>
    <m/>
    <m/>
    <m/>
    <m/>
    <m/>
    <m/>
    <m/>
  </r>
  <r>
    <m/>
    <m/>
    <m/>
    <x v="5"/>
    <x v="0"/>
    <s v="shortName"/>
    <s v="ECMA TC1"/>
    <m/>
    <x v="2"/>
    <s v="reference"/>
    <s v="ECMA-43 (12/1985)"/>
    <m/>
    <m/>
    <m/>
    <m/>
    <m/>
    <m/>
    <m/>
  </r>
  <r>
    <m/>
    <m/>
    <m/>
    <x v="6"/>
    <x v="2"/>
    <s v="reference"/>
    <s v="ECMA-43 (12/1985)"/>
    <m/>
    <x v="3"/>
    <s v="reference"/>
    <s v="ECMA-43"/>
    <m/>
    <m/>
    <m/>
    <m/>
    <m/>
    <m/>
    <m/>
  </r>
  <r>
    <m/>
    <m/>
    <m/>
    <x v="7"/>
    <x v="2"/>
    <s v="reference"/>
    <s v="ECMA-43 (12/1985)"/>
    <m/>
    <x v="2"/>
    <s v="reference"/>
    <s v="ECMA-43 (12/1974)"/>
    <m/>
    <m/>
    <m/>
    <m/>
    <m/>
    <m/>
    <m/>
  </r>
  <r>
    <m/>
    <m/>
    <m/>
    <x v="8"/>
    <x v="2"/>
    <s v="reference"/>
    <s v="ECMA-43 (12/1985)"/>
    <m/>
    <x v="2"/>
    <s v="reference"/>
    <s v="ISO 4873:1986"/>
    <m/>
    <m/>
    <m/>
    <m/>
    <s v="technically equivalent"/>
    <m/>
    <m/>
  </r>
  <r>
    <m/>
    <m/>
    <m/>
    <x v="5"/>
    <x v="0"/>
    <s v="shortName"/>
    <s v="ECMA TC1"/>
    <m/>
    <x v="2"/>
    <s v="reference"/>
    <s v="ECMA-43 (12/1991)"/>
    <m/>
    <m/>
    <m/>
    <m/>
    <m/>
    <m/>
    <m/>
  </r>
  <r>
    <m/>
    <m/>
    <m/>
    <x v="6"/>
    <x v="2"/>
    <s v="reference"/>
    <s v="ECMA-43 (12/1991)"/>
    <m/>
    <x v="3"/>
    <s v="reference"/>
    <s v="ECMA-43"/>
    <m/>
    <m/>
    <m/>
    <m/>
    <m/>
    <m/>
    <m/>
  </r>
  <r>
    <m/>
    <m/>
    <m/>
    <x v="7"/>
    <x v="2"/>
    <s v="reference"/>
    <s v="ECMA-43 (12/1991)"/>
    <m/>
    <x v="2"/>
    <s v="reference"/>
    <s v="ECMA-43 (12/1985)"/>
    <m/>
    <m/>
    <m/>
    <m/>
    <m/>
    <m/>
    <m/>
  </r>
  <r>
    <m/>
    <m/>
    <m/>
    <x v="8"/>
    <x v="2"/>
    <s v="reference"/>
    <s v="ECMA-43 (12/1991)"/>
    <m/>
    <x v="2"/>
    <s v="reference"/>
    <s v="ISO/IEC 4873:1991"/>
    <m/>
    <m/>
    <m/>
    <m/>
    <s v="technically equivalent"/>
    <m/>
    <m/>
  </r>
  <r>
    <m/>
    <m/>
    <m/>
    <x v="5"/>
    <x v="0"/>
    <s v="shortName"/>
    <s v="TC97 SC 2"/>
    <m/>
    <x v="2"/>
    <s v="reference"/>
    <s v="ISO 4873:1979"/>
    <m/>
    <m/>
    <m/>
    <m/>
    <m/>
    <m/>
    <m/>
  </r>
  <r>
    <m/>
    <m/>
    <m/>
    <x v="6"/>
    <x v="2"/>
    <s v="reference"/>
    <s v="ISO 4873:1979"/>
    <m/>
    <x v="3"/>
    <s v="reference"/>
    <s v="ISO 4873:1979 (as amended)"/>
    <m/>
    <m/>
    <m/>
    <m/>
    <m/>
    <m/>
    <m/>
  </r>
  <r>
    <m/>
    <m/>
    <m/>
    <x v="5"/>
    <x v="0"/>
    <s v="shortName"/>
    <s v="TC97 SC 2"/>
    <m/>
    <x v="2"/>
    <s v="reference"/>
    <s v="ISO 4873:1979/Amd 1:1980"/>
    <m/>
    <m/>
    <m/>
    <m/>
    <m/>
    <m/>
    <m/>
  </r>
  <r>
    <m/>
    <m/>
    <m/>
    <x v="6"/>
    <x v="2"/>
    <s v="reference"/>
    <s v="ISO 4873:1979/Amd 1:1980"/>
    <m/>
    <x v="3"/>
    <s v="reference"/>
    <s v="ISO 4873:1979 (as amended)"/>
    <m/>
    <m/>
    <m/>
    <m/>
    <m/>
    <m/>
    <m/>
  </r>
  <r>
    <m/>
    <m/>
    <m/>
    <x v="10"/>
    <x v="2"/>
    <s v="reference"/>
    <s v="ISO 4873:1979/Amd 1:1980"/>
    <m/>
    <x v="2"/>
    <s v="reference"/>
    <s v="ISO 4873:1979"/>
    <m/>
    <m/>
    <m/>
    <m/>
    <m/>
    <m/>
    <m/>
  </r>
  <r>
    <m/>
    <m/>
    <m/>
    <x v="6"/>
    <x v="3"/>
    <s v="reference"/>
    <s v="ISO 4873:1979 (as amended)"/>
    <m/>
    <x v="3"/>
    <s v="reference"/>
    <s v="ISO/IEC 4873"/>
    <m/>
    <m/>
    <m/>
    <m/>
    <m/>
    <m/>
    <m/>
  </r>
  <r>
    <m/>
    <m/>
    <m/>
    <x v="5"/>
    <x v="0"/>
    <s v="shortName"/>
    <s v="TC97 SC 2"/>
    <m/>
    <x v="2"/>
    <s v="reference"/>
    <s v="ISO 4873:1986"/>
    <m/>
    <m/>
    <m/>
    <m/>
    <m/>
    <m/>
    <m/>
  </r>
  <r>
    <m/>
    <m/>
    <m/>
    <x v="6"/>
    <x v="2"/>
    <s v="reference"/>
    <s v="ISO 4873:1986"/>
    <m/>
    <x v="3"/>
    <s v="reference"/>
    <s v="ISO/IEC 4873"/>
    <m/>
    <m/>
    <m/>
    <m/>
    <m/>
    <m/>
    <m/>
  </r>
  <r>
    <m/>
    <m/>
    <m/>
    <x v="7"/>
    <x v="2"/>
    <s v="reference"/>
    <s v="ISO 4873:1986"/>
    <m/>
    <x v="2"/>
    <s v="reference"/>
    <s v="ISO 4873:1979"/>
    <m/>
    <m/>
    <m/>
    <m/>
    <m/>
    <m/>
    <m/>
  </r>
  <r>
    <m/>
    <m/>
    <m/>
    <x v="8"/>
    <x v="2"/>
    <s v="reference"/>
    <s v="ISO 4873:1986"/>
    <m/>
    <x v="2"/>
    <s v="reference"/>
    <s v="ECMA-43 (12/1985)"/>
    <m/>
    <m/>
    <m/>
    <m/>
    <s v="technically equivalent"/>
    <m/>
    <m/>
  </r>
  <r>
    <m/>
    <m/>
    <m/>
    <x v="5"/>
    <x v="0"/>
    <s v="shortName"/>
    <s v="JTC1 SC 2"/>
    <m/>
    <x v="2"/>
    <s v="reference"/>
    <s v="ISO/IEC 4873:1991"/>
    <m/>
    <m/>
    <m/>
    <m/>
    <m/>
    <m/>
    <m/>
  </r>
  <r>
    <m/>
    <m/>
    <m/>
    <x v="6"/>
    <x v="2"/>
    <s v="reference"/>
    <s v="ISO/IEC 4873:1991"/>
    <m/>
    <x v="3"/>
    <s v="reference"/>
    <s v="ISO/IEC 4873"/>
    <m/>
    <m/>
    <m/>
    <m/>
    <m/>
    <m/>
    <m/>
  </r>
  <r>
    <m/>
    <m/>
    <m/>
    <x v="7"/>
    <x v="2"/>
    <s v="reference"/>
    <s v="ISO/IEC 4873:1991"/>
    <m/>
    <x v="2"/>
    <s v="reference"/>
    <s v="ISO 4873:1986"/>
    <m/>
    <m/>
    <m/>
    <m/>
    <m/>
    <m/>
    <m/>
  </r>
  <r>
    <m/>
    <m/>
    <m/>
    <x v="8"/>
    <x v="2"/>
    <s v="reference"/>
    <s v="ISO/IEC 4873:1991"/>
    <m/>
    <x v="2"/>
    <s v="reference"/>
    <s v="ECMA-43 (12/1991)"/>
    <m/>
    <m/>
    <m/>
    <m/>
    <s v="technically equivalent"/>
    <m/>
    <m/>
  </r>
  <r>
    <m/>
    <m/>
    <m/>
    <x v="5"/>
    <x v="0"/>
    <s v="shortName"/>
    <s v="ECMA TC1"/>
    <m/>
    <x v="2"/>
    <s v="reference"/>
    <s v="ECMA-48 (03/1976)"/>
    <m/>
    <m/>
    <m/>
    <m/>
    <m/>
    <m/>
    <m/>
  </r>
  <r>
    <m/>
    <m/>
    <m/>
    <x v="6"/>
    <x v="2"/>
    <s v="reference"/>
    <s v="ECMA-48 (03/1976)"/>
    <m/>
    <x v="3"/>
    <s v="reference"/>
    <s v="ECMA-48"/>
    <m/>
    <m/>
    <m/>
    <m/>
    <m/>
    <m/>
    <m/>
  </r>
  <r>
    <m/>
    <m/>
    <m/>
    <x v="5"/>
    <x v="0"/>
    <s v="shortName"/>
    <s v="ECMA TC1"/>
    <m/>
    <x v="2"/>
    <s v="reference"/>
    <s v="ECMA-48 (08/1979)"/>
    <m/>
    <m/>
    <m/>
    <m/>
    <m/>
    <m/>
    <m/>
  </r>
  <r>
    <m/>
    <m/>
    <m/>
    <x v="6"/>
    <x v="2"/>
    <s v="reference"/>
    <s v="ECMA-48 (08/1979)"/>
    <m/>
    <x v="3"/>
    <s v="reference"/>
    <s v="ECMA-48"/>
    <m/>
    <m/>
    <m/>
    <m/>
    <m/>
    <m/>
    <m/>
  </r>
  <r>
    <m/>
    <m/>
    <m/>
    <x v="7"/>
    <x v="2"/>
    <s v="reference"/>
    <s v="ECMA-48 (08/1979)"/>
    <m/>
    <x v="2"/>
    <s v="reference"/>
    <s v="ECMA-48 (03/1976)"/>
    <m/>
    <m/>
    <m/>
    <m/>
    <m/>
    <m/>
    <m/>
  </r>
  <r>
    <m/>
    <m/>
    <m/>
    <x v="5"/>
    <x v="0"/>
    <s v="shortName"/>
    <s v="ECMA TC1"/>
    <m/>
    <x v="2"/>
    <s v="reference"/>
    <s v="ECMA-48 (03/1984)"/>
    <m/>
    <m/>
    <m/>
    <m/>
    <m/>
    <m/>
    <m/>
  </r>
  <r>
    <m/>
    <m/>
    <m/>
    <x v="6"/>
    <x v="2"/>
    <s v="reference"/>
    <s v="ECMA-48 (03/1984)"/>
    <m/>
    <x v="3"/>
    <s v="reference"/>
    <s v="ECMA-48"/>
    <m/>
    <m/>
    <m/>
    <m/>
    <m/>
    <m/>
    <m/>
  </r>
  <r>
    <m/>
    <m/>
    <m/>
    <x v="7"/>
    <x v="2"/>
    <s v="reference"/>
    <s v="ECMA-48 (03/1984)"/>
    <m/>
    <x v="2"/>
    <s v="reference"/>
    <s v="ECMA-48 (08/1979)"/>
    <m/>
    <m/>
    <m/>
    <m/>
    <m/>
    <m/>
    <m/>
  </r>
  <r>
    <m/>
    <m/>
    <m/>
    <x v="8"/>
    <x v="2"/>
    <s v="reference"/>
    <s v="ECMA-48 (03/1984)"/>
    <m/>
    <x v="2"/>
    <s v="reference"/>
    <s v="ISO 6429:1983"/>
    <m/>
    <m/>
    <m/>
    <m/>
    <s v="technically equivalent"/>
    <m/>
    <m/>
  </r>
  <r>
    <m/>
    <m/>
    <m/>
    <x v="5"/>
    <x v="0"/>
    <s v="shortName"/>
    <s v="ECMA TC1"/>
    <m/>
    <x v="2"/>
    <s v="reference"/>
    <s v="ECMA-48 (12/1986)"/>
    <m/>
    <m/>
    <m/>
    <m/>
    <m/>
    <m/>
    <m/>
  </r>
  <r>
    <m/>
    <m/>
    <m/>
    <x v="6"/>
    <x v="2"/>
    <s v="reference"/>
    <s v="ECMA-48 (12/1986)"/>
    <m/>
    <x v="3"/>
    <s v="reference"/>
    <s v="ECMA-48"/>
    <m/>
    <m/>
    <m/>
    <m/>
    <m/>
    <m/>
    <m/>
  </r>
  <r>
    <m/>
    <m/>
    <m/>
    <x v="7"/>
    <x v="2"/>
    <s v="reference"/>
    <s v="ECMA-48 (12/1986)"/>
    <m/>
    <x v="2"/>
    <s v="reference"/>
    <s v="ECMA-48 (03/1984)"/>
    <m/>
    <m/>
    <m/>
    <m/>
    <m/>
    <m/>
    <m/>
  </r>
  <r>
    <m/>
    <m/>
    <m/>
    <x v="8"/>
    <x v="2"/>
    <s v="reference"/>
    <s v="ECMA-48 (12/1986)"/>
    <m/>
    <x v="2"/>
    <s v="reference"/>
    <s v="ISO 6429:1988"/>
    <m/>
    <m/>
    <m/>
    <m/>
    <s v="technically equivalent"/>
    <m/>
    <m/>
  </r>
  <r>
    <m/>
    <m/>
    <m/>
    <x v="5"/>
    <x v="0"/>
    <s v="shortName"/>
    <s v="ECMA TC1"/>
    <m/>
    <x v="2"/>
    <s v="reference"/>
    <s v="ECMA-48 (06/1991)"/>
    <m/>
    <m/>
    <m/>
    <m/>
    <m/>
    <m/>
    <m/>
  </r>
  <r>
    <m/>
    <m/>
    <m/>
    <x v="6"/>
    <x v="2"/>
    <s v="reference"/>
    <s v="ECMA-48 (06/1991)"/>
    <m/>
    <x v="3"/>
    <s v="reference"/>
    <s v="ECMA-48"/>
    <m/>
    <m/>
    <m/>
    <m/>
    <m/>
    <m/>
    <m/>
  </r>
  <r>
    <m/>
    <m/>
    <m/>
    <x v="7"/>
    <x v="2"/>
    <s v="reference"/>
    <s v="ECMA-48 (06/1991)"/>
    <m/>
    <x v="2"/>
    <s v="reference"/>
    <s v="ECMA-48 (12/1986)"/>
    <m/>
    <m/>
    <m/>
    <m/>
    <m/>
    <m/>
    <m/>
  </r>
  <r>
    <m/>
    <m/>
    <m/>
    <x v="8"/>
    <x v="2"/>
    <s v="reference"/>
    <s v="ECMA-48 (06/1991)"/>
    <m/>
    <x v="2"/>
    <s v="reference"/>
    <s v="ISO/IEC 6429:1992"/>
    <m/>
    <m/>
    <m/>
    <m/>
    <s v="technically equivalent"/>
    <m/>
    <m/>
  </r>
  <r>
    <m/>
    <m/>
    <m/>
    <x v="5"/>
    <x v="0"/>
    <s v="shortName"/>
    <s v="TC97 SC 2"/>
    <m/>
    <x v="2"/>
    <s v="reference"/>
    <s v="ISO 6429:1983"/>
    <m/>
    <m/>
    <m/>
    <m/>
    <m/>
    <m/>
    <m/>
  </r>
  <r>
    <m/>
    <m/>
    <m/>
    <x v="6"/>
    <x v="2"/>
    <s v="reference"/>
    <s v="ISO 6429:1983"/>
    <m/>
    <x v="3"/>
    <s v="reference"/>
    <s v="ISO/IEC 6429"/>
    <m/>
    <m/>
    <m/>
    <m/>
    <m/>
    <m/>
    <m/>
  </r>
  <r>
    <m/>
    <m/>
    <m/>
    <x v="8"/>
    <x v="2"/>
    <s v="reference"/>
    <s v="ISO 6429:1983"/>
    <m/>
    <x v="2"/>
    <s v="reference"/>
    <s v="ECMA-48 (03/1984)"/>
    <m/>
    <m/>
    <m/>
    <m/>
    <s v="technically equivalent"/>
    <m/>
    <m/>
  </r>
  <r>
    <m/>
    <m/>
    <m/>
    <x v="5"/>
    <x v="0"/>
    <s v="shortName"/>
    <s v="JTC1 SC 2"/>
    <m/>
    <x v="2"/>
    <s v="reference"/>
    <s v="ISO 6429:1988"/>
    <m/>
    <m/>
    <m/>
    <m/>
    <m/>
    <m/>
    <m/>
  </r>
  <r>
    <m/>
    <m/>
    <m/>
    <x v="6"/>
    <x v="2"/>
    <s v="reference"/>
    <s v="ISO 6429:1988"/>
    <m/>
    <x v="3"/>
    <s v="reference"/>
    <s v="ISO/IEC 6429"/>
    <m/>
    <m/>
    <m/>
    <m/>
    <m/>
    <m/>
    <m/>
  </r>
  <r>
    <m/>
    <m/>
    <m/>
    <x v="7"/>
    <x v="2"/>
    <s v="reference"/>
    <s v="ISO 6429:1988"/>
    <m/>
    <x v="2"/>
    <s v="reference"/>
    <s v="ISO 6429:1983"/>
    <m/>
    <m/>
    <m/>
    <m/>
    <m/>
    <m/>
    <m/>
  </r>
  <r>
    <m/>
    <m/>
    <m/>
    <x v="8"/>
    <x v="2"/>
    <s v="reference"/>
    <s v="ISO 6429:1988"/>
    <m/>
    <x v="2"/>
    <s v="reference"/>
    <s v="ECMA-48 (12/1986)"/>
    <m/>
    <m/>
    <m/>
    <m/>
    <s v="technically equivalent"/>
    <m/>
    <m/>
  </r>
  <r>
    <m/>
    <m/>
    <m/>
    <x v="5"/>
    <x v="0"/>
    <s v="shortName"/>
    <s v="JTC1 SC 2"/>
    <m/>
    <x v="2"/>
    <s v="reference"/>
    <s v="ISO/IEC 6429:1992"/>
    <m/>
    <m/>
    <m/>
    <m/>
    <m/>
    <m/>
    <m/>
  </r>
  <r>
    <m/>
    <m/>
    <m/>
    <x v="6"/>
    <x v="2"/>
    <s v="reference"/>
    <s v="ISO/IEC 6429:1992"/>
    <m/>
    <x v="3"/>
    <s v="reference"/>
    <s v="ISO/IEC 6429"/>
    <m/>
    <m/>
    <m/>
    <m/>
    <m/>
    <m/>
    <m/>
  </r>
  <r>
    <m/>
    <m/>
    <m/>
    <x v="7"/>
    <x v="2"/>
    <s v="reference"/>
    <s v="ISO/IEC 6429:1992"/>
    <m/>
    <x v="2"/>
    <s v="reference"/>
    <s v="ISO 6429:1988"/>
    <m/>
    <m/>
    <m/>
    <m/>
    <m/>
    <m/>
    <m/>
  </r>
  <r>
    <m/>
    <m/>
    <m/>
    <x v="8"/>
    <x v="2"/>
    <s v="reference"/>
    <s v="ISO/IEC 6429:1992"/>
    <m/>
    <x v="2"/>
    <s v="reference"/>
    <s v="ECMA-48 (06/1991)"/>
    <m/>
    <m/>
    <m/>
    <m/>
    <s v="technically equivalent"/>
    <m/>
    <m/>
  </r>
  <r>
    <m/>
    <m/>
    <m/>
    <x v="5"/>
    <x v="0"/>
    <s v="shortName"/>
    <s v="TC97 SC 2"/>
    <m/>
    <x v="2"/>
    <s v="reference"/>
    <s v="ISO 6937-1:1983"/>
    <m/>
    <m/>
    <m/>
    <m/>
    <m/>
    <m/>
    <m/>
  </r>
  <r>
    <m/>
    <m/>
    <m/>
    <x v="6"/>
    <x v="2"/>
    <s v="reference"/>
    <s v="ISO 6937-1:1983"/>
    <m/>
    <x v="3"/>
    <s v="reference"/>
    <s v="ISO/IEC 6937"/>
    <m/>
    <m/>
    <m/>
    <m/>
    <m/>
    <m/>
    <m/>
  </r>
  <r>
    <m/>
    <m/>
    <m/>
    <x v="5"/>
    <x v="0"/>
    <s v="shortName"/>
    <s v="TC97 SC 2"/>
    <m/>
    <x v="2"/>
    <s v="reference"/>
    <s v="ISO 6937-2:1983"/>
    <m/>
    <m/>
    <m/>
    <m/>
    <m/>
    <m/>
    <m/>
  </r>
  <r>
    <m/>
    <m/>
    <m/>
    <x v="6"/>
    <x v="2"/>
    <s v="reference"/>
    <s v="ISO 6937-2:1983"/>
    <m/>
    <x v="3"/>
    <s v="reference"/>
    <s v="ISO 6937-2:1983 (as amended)"/>
    <m/>
    <m/>
    <m/>
    <m/>
    <m/>
    <m/>
    <m/>
  </r>
  <r>
    <m/>
    <m/>
    <m/>
    <x v="5"/>
    <x v="0"/>
    <s v="shortName"/>
    <s v="JTC1 SC 2"/>
    <m/>
    <x v="2"/>
    <s v="reference"/>
    <s v="ISO 6937-2:1983/Add 1:1989"/>
    <m/>
    <m/>
    <m/>
    <m/>
    <m/>
    <m/>
    <m/>
  </r>
  <r>
    <m/>
    <m/>
    <m/>
    <x v="6"/>
    <x v="2"/>
    <s v="reference"/>
    <s v="ISO 6937-2:1983/Add 1:1989"/>
    <m/>
    <x v="3"/>
    <s v="reference"/>
    <s v="ISO 6937-2:1983 (as amended)"/>
    <m/>
    <m/>
    <m/>
    <m/>
    <m/>
    <m/>
    <m/>
  </r>
  <r>
    <m/>
    <m/>
    <m/>
    <x v="10"/>
    <x v="2"/>
    <s v="reference"/>
    <s v="ISO 6937-2:1983/Add 1:1989"/>
    <m/>
    <x v="2"/>
    <s v="reference"/>
    <s v="ISO 6937-2:1983"/>
    <m/>
    <m/>
    <m/>
    <m/>
    <m/>
    <m/>
    <m/>
  </r>
  <r>
    <m/>
    <m/>
    <m/>
    <x v="6"/>
    <x v="3"/>
    <s v="reference"/>
    <s v="ISO 6937-2:1983 (as amended)"/>
    <m/>
    <x v="3"/>
    <s v="reference"/>
    <s v="ISO/IEC 6937"/>
    <m/>
    <m/>
    <m/>
    <m/>
    <m/>
    <m/>
    <m/>
  </r>
  <r>
    <m/>
    <m/>
    <m/>
    <x v="5"/>
    <x v="0"/>
    <s v="shortName"/>
    <s v="JTC1 SC 2"/>
    <m/>
    <x v="2"/>
    <s v="reference"/>
    <s v="ISO/IEC 6937:1994"/>
    <m/>
    <m/>
    <m/>
    <m/>
    <m/>
    <m/>
    <m/>
  </r>
  <r>
    <m/>
    <m/>
    <m/>
    <x v="6"/>
    <x v="2"/>
    <s v="reference"/>
    <s v="ISO/IEC 6937:1994"/>
    <m/>
    <x v="3"/>
    <s v="reference"/>
    <s v="ISO/IEC 6937"/>
    <m/>
    <m/>
    <m/>
    <m/>
    <m/>
    <m/>
    <m/>
  </r>
  <r>
    <m/>
    <m/>
    <m/>
    <x v="7"/>
    <x v="2"/>
    <s v="reference"/>
    <s v="ISO/IEC 6937:1994"/>
    <m/>
    <x v="2"/>
    <s v="reference"/>
    <s v="ISO 6937-1:1983"/>
    <m/>
    <m/>
    <m/>
    <m/>
    <m/>
    <m/>
    <m/>
  </r>
  <r>
    <m/>
    <m/>
    <m/>
    <x v="7"/>
    <x v="2"/>
    <s v="reference"/>
    <s v="ISO/IEC 6937:1994"/>
    <m/>
    <x v="3"/>
    <s v="reference"/>
    <s v="ISO 6937-2:1983 (as amended)"/>
    <m/>
    <m/>
    <m/>
    <m/>
    <m/>
    <m/>
    <m/>
  </r>
  <r>
    <m/>
    <m/>
    <m/>
    <x v="5"/>
    <x v="0"/>
    <s v="shortName"/>
    <s v="JTC1 SC 2"/>
    <m/>
    <x v="2"/>
    <s v="reference"/>
    <s v="ISO/IEC 6937:2001"/>
    <m/>
    <m/>
    <m/>
    <m/>
    <m/>
    <m/>
    <m/>
  </r>
  <r>
    <m/>
    <m/>
    <m/>
    <x v="6"/>
    <x v="2"/>
    <s v="reference"/>
    <s v="ISO/IEC 6937:2001"/>
    <m/>
    <x v="3"/>
    <s v="reference"/>
    <s v="ISO/IEC 6937"/>
    <m/>
    <m/>
    <m/>
    <m/>
    <m/>
    <m/>
    <m/>
  </r>
  <r>
    <m/>
    <m/>
    <m/>
    <x v="7"/>
    <x v="2"/>
    <s v="reference"/>
    <s v="ISO/IEC 6937:2001"/>
    <m/>
    <x v="2"/>
    <s v="reference"/>
    <s v="ISO/IEC 6937:1994"/>
    <m/>
    <m/>
    <m/>
    <m/>
    <m/>
    <m/>
    <m/>
  </r>
  <r>
    <m/>
    <m/>
    <m/>
    <x v="8"/>
    <x v="3"/>
    <s v="reference"/>
    <s v="ISO/IEC 6937"/>
    <m/>
    <x v="3"/>
    <s v="reference"/>
    <s v="ITU-T Rec. T.51"/>
    <m/>
    <m/>
    <m/>
    <m/>
    <s v="partially equivalent"/>
    <m/>
    <m/>
  </r>
  <r>
    <m/>
    <m/>
    <m/>
    <x v="5"/>
    <x v="0"/>
    <s v="shortName"/>
    <s v="CCITT SG 8 (1984)"/>
    <m/>
    <x v="2"/>
    <s v="reference"/>
    <s v="CCITT Rec. T.51 (10/1984)"/>
    <m/>
    <m/>
    <m/>
    <m/>
    <m/>
    <m/>
    <m/>
  </r>
  <r>
    <m/>
    <m/>
    <m/>
    <x v="6"/>
    <x v="2"/>
    <s v="reference"/>
    <s v="CCITT Rec. T.51 (10/1984)"/>
    <m/>
    <x v="3"/>
    <s v="reference"/>
    <s v="ITU-T Rec. T.51"/>
    <m/>
    <m/>
    <m/>
    <m/>
    <m/>
    <m/>
    <m/>
  </r>
  <r>
    <m/>
    <m/>
    <m/>
    <x v="5"/>
    <x v="0"/>
    <s v="shortName"/>
    <s v="CCITT SG 8 (1988)"/>
    <m/>
    <x v="2"/>
    <s v="reference"/>
    <s v="CCITT Rec. T.51 (11/1988)"/>
    <m/>
    <m/>
    <m/>
    <m/>
    <m/>
    <m/>
    <m/>
  </r>
  <r>
    <m/>
    <m/>
    <m/>
    <x v="6"/>
    <x v="2"/>
    <s v="reference"/>
    <s v="CCITT Rec. T.51 (11/1988)"/>
    <m/>
    <x v="3"/>
    <s v="reference"/>
    <s v="ITU-T Rec. T.51"/>
    <m/>
    <m/>
    <m/>
    <m/>
    <m/>
    <m/>
    <m/>
  </r>
  <r>
    <m/>
    <m/>
    <m/>
    <x v="7"/>
    <x v="2"/>
    <s v="reference"/>
    <s v="CCITT Rec. T.51 (11/1988)"/>
    <m/>
    <x v="2"/>
    <s v="reference"/>
    <s v="CCITT Rec. T.51 (10/1984)"/>
    <m/>
    <m/>
    <m/>
    <m/>
    <m/>
    <m/>
    <m/>
  </r>
  <r>
    <m/>
    <m/>
    <m/>
    <x v="5"/>
    <x v="0"/>
    <s v="shortName"/>
    <s v="CCITT SG 8 (1992)"/>
    <m/>
    <x v="2"/>
    <s v="reference"/>
    <s v="ITU-T Rec. T.51 (09/1992)"/>
    <m/>
    <m/>
    <m/>
    <m/>
    <m/>
    <m/>
    <m/>
  </r>
  <r>
    <m/>
    <m/>
    <m/>
    <x v="6"/>
    <x v="2"/>
    <s v="reference"/>
    <s v="ITU-T Rec. T.51 (09/1992)"/>
    <m/>
    <x v="3"/>
    <s v="reference"/>
    <s v="ITU-T Rec. T.51 (09/1992) (as amended)"/>
    <m/>
    <m/>
    <m/>
    <m/>
    <m/>
    <m/>
    <m/>
  </r>
  <r>
    <m/>
    <m/>
    <m/>
    <x v="7"/>
    <x v="2"/>
    <s v="reference"/>
    <s v="ITU-T Rec. T.51 (09/1992)"/>
    <m/>
    <x v="2"/>
    <s v="reference"/>
    <s v="CCITT Rec. T.51 (11/1988)"/>
    <m/>
    <m/>
    <m/>
    <m/>
    <m/>
    <m/>
    <m/>
  </r>
  <r>
    <m/>
    <m/>
    <m/>
    <x v="5"/>
    <x v="0"/>
    <s v="shortName"/>
    <s v="ITU-T SG 8 (1996)"/>
    <m/>
    <x v="2"/>
    <s v="reference"/>
    <s v="ITU-T Rec. T.51 (09/1992)/Amd 1 (08/1995)"/>
    <m/>
    <m/>
    <m/>
    <m/>
    <m/>
    <m/>
    <m/>
  </r>
  <r>
    <m/>
    <m/>
    <m/>
    <x v="6"/>
    <x v="2"/>
    <s v="reference"/>
    <s v="ITU-T Rec. T.51 (09/1992)/Amd 1 (08/1995)"/>
    <m/>
    <x v="3"/>
    <s v="reference"/>
    <s v="ITU-T Rec. T.51 (09/1992) (as amended)"/>
    <m/>
    <m/>
    <m/>
    <m/>
    <m/>
    <m/>
    <m/>
  </r>
  <r>
    <m/>
    <m/>
    <m/>
    <x v="10"/>
    <x v="2"/>
    <s v="reference"/>
    <s v="ITU-T Rec. T.51 (09/1992)/Amd 1 (08/1995)"/>
    <m/>
    <x v="2"/>
    <s v="reference"/>
    <s v="ITU-T Rec. T.51 (09/1992)"/>
    <m/>
    <m/>
    <m/>
    <m/>
    <m/>
    <m/>
    <m/>
  </r>
  <r>
    <m/>
    <m/>
    <m/>
    <x v="6"/>
    <x v="3"/>
    <s v="reference"/>
    <s v="ITU-T Rec. T.51 (09/1992) (as amended)"/>
    <m/>
    <x v="3"/>
    <s v="reference"/>
    <s v="ITU-T Rec. T.51"/>
    <m/>
    <m/>
    <m/>
    <m/>
    <m/>
    <m/>
    <m/>
  </r>
  <r>
    <m/>
    <m/>
    <m/>
    <x v="8"/>
    <x v="3"/>
    <s v="reference"/>
    <s v="ITU-T Rec. T.51"/>
    <m/>
    <x v="3"/>
    <s v="reference"/>
    <s v="ISO/IEC 6937"/>
    <m/>
    <m/>
    <m/>
    <m/>
    <s v="partially equivalent"/>
    <m/>
    <m/>
  </r>
  <r>
    <m/>
    <m/>
    <m/>
    <x v="5"/>
    <x v="0"/>
    <s v="shortName"/>
    <s v="JTC1 SC 2"/>
    <m/>
    <x v="2"/>
    <s v="reference"/>
    <s v="ISO 8859-1:1987"/>
    <m/>
    <m/>
    <m/>
    <m/>
    <m/>
    <m/>
    <m/>
  </r>
  <r>
    <m/>
    <m/>
    <m/>
    <x v="6"/>
    <x v="2"/>
    <s v="reference"/>
    <s v="ISO 8859-1:1987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1:1998"/>
    <m/>
    <m/>
    <m/>
    <m/>
    <m/>
    <m/>
    <m/>
  </r>
  <r>
    <m/>
    <m/>
    <m/>
    <x v="6"/>
    <x v="2"/>
    <s v="reference"/>
    <s v="ISO/IEC 8859-1:1998"/>
    <m/>
    <x v="3"/>
    <s v="reference"/>
    <s v="ISO/IEC 8859"/>
    <m/>
    <m/>
    <m/>
    <m/>
    <m/>
    <m/>
    <m/>
  </r>
  <r>
    <m/>
    <m/>
    <m/>
    <x v="7"/>
    <x v="2"/>
    <s v="reference"/>
    <s v="ISO/IEC 8859-1:1998"/>
    <m/>
    <x v="2"/>
    <s v="reference"/>
    <s v="ISO 8859-1:1987"/>
    <m/>
    <m/>
    <m/>
    <m/>
    <m/>
    <m/>
    <m/>
  </r>
  <r>
    <m/>
    <m/>
    <m/>
    <x v="5"/>
    <x v="0"/>
    <s v="shortName"/>
    <s v="JTC1 SC 2"/>
    <m/>
    <x v="2"/>
    <s v="reference"/>
    <s v="ISO 8859-2:1987"/>
    <m/>
    <m/>
    <m/>
    <m/>
    <m/>
    <m/>
    <m/>
  </r>
  <r>
    <m/>
    <m/>
    <m/>
    <x v="6"/>
    <x v="2"/>
    <s v="reference"/>
    <s v="ISO 8859-2:1987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2:1999"/>
    <m/>
    <m/>
    <m/>
    <m/>
    <m/>
    <m/>
    <m/>
  </r>
  <r>
    <m/>
    <m/>
    <m/>
    <x v="6"/>
    <x v="2"/>
    <s v="reference"/>
    <s v="ISO/IEC 8859-2:1999"/>
    <m/>
    <x v="3"/>
    <s v="reference"/>
    <s v="ISO/IEC 8859"/>
    <m/>
    <m/>
    <m/>
    <m/>
    <m/>
    <m/>
    <m/>
  </r>
  <r>
    <m/>
    <m/>
    <m/>
    <x v="7"/>
    <x v="2"/>
    <s v="reference"/>
    <s v="ISO/IEC 8859-2:1999"/>
    <m/>
    <x v="2"/>
    <s v="reference"/>
    <s v="ISO 8859-2:1987"/>
    <m/>
    <m/>
    <m/>
    <m/>
    <m/>
    <m/>
    <m/>
  </r>
  <r>
    <m/>
    <m/>
    <m/>
    <x v="5"/>
    <x v="0"/>
    <s v="shortName"/>
    <s v="JTC1 SC 2"/>
    <m/>
    <x v="2"/>
    <s v="reference"/>
    <s v="ISO 8859-3:1988"/>
    <m/>
    <m/>
    <m/>
    <m/>
    <m/>
    <m/>
    <m/>
  </r>
  <r>
    <m/>
    <m/>
    <m/>
    <x v="6"/>
    <x v="2"/>
    <s v="reference"/>
    <s v="ISO 8859-3:1988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3:1999"/>
    <m/>
    <m/>
    <m/>
    <m/>
    <m/>
    <m/>
    <m/>
  </r>
  <r>
    <m/>
    <m/>
    <m/>
    <x v="6"/>
    <x v="2"/>
    <s v="reference"/>
    <s v="ISO/IEC 8859-3:1999"/>
    <m/>
    <x v="3"/>
    <s v="reference"/>
    <s v="ISO/IEC 8859"/>
    <m/>
    <m/>
    <m/>
    <m/>
    <m/>
    <m/>
    <m/>
  </r>
  <r>
    <m/>
    <m/>
    <m/>
    <x v="7"/>
    <x v="2"/>
    <s v="reference"/>
    <s v="ISO/IEC 8859-3:1999"/>
    <m/>
    <x v="2"/>
    <s v="reference"/>
    <s v="ISO 8859-3:1988"/>
    <m/>
    <m/>
    <m/>
    <m/>
    <m/>
    <m/>
    <m/>
  </r>
  <r>
    <m/>
    <m/>
    <m/>
    <x v="5"/>
    <x v="0"/>
    <s v="shortName"/>
    <s v="JTC1 SC 2"/>
    <m/>
    <x v="2"/>
    <s v="reference"/>
    <s v="ISO 8859-4:1988"/>
    <m/>
    <m/>
    <m/>
    <m/>
    <m/>
    <m/>
    <m/>
  </r>
  <r>
    <m/>
    <m/>
    <m/>
    <x v="6"/>
    <x v="2"/>
    <s v="reference"/>
    <s v="ISO 8859-4:1988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4:1998"/>
    <m/>
    <m/>
    <m/>
    <m/>
    <m/>
    <m/>
    <m/>
  </r>
  <r>
    <m/>
    <m/>
    <m/>
    <x v="6"/>
    <x v="2"/>
    <s v="reference"/>
    <s v="ISO/IEC 8859-4:1998"/>
    <m/>
    <x v="3"/>
    <s v="reference"/>
    <s v="ISO/IEC 8859"/>
    <m/>
    <m/>
    <m/>
    <m/>
    <m/>
    <m/>
    <m/>
  </r>
  <r>
    <m/>
    <m/>
    <m/>
    <x v="7"/>
    <x v="2"/>
    <s v="reference"/>
    <s v="ISO/IEC 8859-4:1998"/>
    <m/>
    <x v="2"/>
    <s v="reference"/>
    <s v="ISO 8859-4:1988"/>
    <m/>
    <m/>
    <m/>
    <m/>
    <m/>
    <m/>
    <m/>
  </r>
  <r>
    <m/>
    <m/>
    <m/>
    <x v="5"/>
    <x v="0"/>
    <s v="shortName"/>
    <s v="JTC1 SC 2"/>
    <m/>
    <x v="2"/>
    <s v="reference"/>
    <s v="ISO/IEC 8859-5:1988"/>
    <m/>
    <m/>
    <m/>
    <m/>
    <m/>
    <m/>
    <m/>
  </r>
  <r>
    <m/>
    <m/>
    <m/>
    <x v="6"/>
    <x v="2"/>
    <s v="reference"/>
    <s v="ISO/IEC 8859-5:1988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5:1999"/>
    <m/>
    <m/>
    <m/>
    <m/>
    <m/>
    <m/>
    <m/>
  </r>
  <r>
    <m/>
    <m/>
    <m/>
    <x v="6"/>
    <x v="2"/>
    <s v="reference"/>
    <s v="ISO/IEC 8859-5:1999"/>
    <m/>
    <x v="3"/>
    <s v="reference"/>
    <s v="ISO/IEC 8859"/>
    <m/>
    <m/>
    <m/>
    <m/>
    <m/>
    <m/>
    <m/>
  </r>
  <r>
    <m/>
    <m/>
    <m/>
    <x v="7"/>
    <x v="2"/>
    <s v="reference"/>
    <s v="ISO/IEC 8859-5:1999"/>
    <m/>
    <x v="2"/>
    <s v="reference"/>
    <s v="ISO/IEC 8859-5:1988"/>
    <m/>
    <m/>
    <m/>
    <m/>
    <m/>
    <m/>
    <m/>
  </r>
  <r>
    <m/>
    <m/>
    <m/>
    <x v="5"/>
    <x v="0"/>
    <s v="shortName"/>
    <s v="JTC1 SC 2"/>
    <m/>
    <x v="2"/>
    <s v="reference"/>
    <s v="ISO 8859-6:1987"/>
    <m/>
    <m/>
    <m/>
    <m/>
    <m/>
    <m/>
    <m/>
  </r>
  <r>
    <m/>
    <m/>
    <m/>
    <x v="6"/>
    <x v="2"/>
    <s v="reference"/>
    <s v="ISO 8859-6:1987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6:1999"/>
    <m/>
    <m/>
    <m/>
    <m/>
    <m/>
    <m/>
    <m/>
  </r>
  <r>
    <m/>
    <m/>
    <m/>
    <x v="6"/>
    <x v="2"/>
    <s v="reference"/>
    <s v="ISO/IEC 8859-6:1999"/>
    <m/>
    <x v="3"/>
    <s v="reference"/>
    <s v="ISO/IEC 8859"/>
    <m/>
    <m/>
    <m/>
    <m/>
    <m/>
    <m/>
    <m/>
  </r>
  <r>
    <m/>
    <m/>
    <m/>
    <x v="7"/>
    <x v="2"/>
    <s v="reference"/>
    <s v="ISO/IEC 8859-6:1999"/>
    <m/>
    <x v="2"/>
    <s v="reference"/>
    <s v="ISO 8859-6:1987"/>
    <m/>
    <m/>
    <m/>
    <m/>
    <m/>
    <m/>
    <m/>
  </r>
  <r>
    <m/>
    <m/>
    <m/>
    <x v="5"/>
    <x v="0"/>
    <s v="shortName"/>
    <s v="JTC1 SC 2"/>
    <m/>
    <x v="2"/>
    <s v="reference"/>
    <s v="ISO 8859-7:1987"/>
    <m/>
    <m/>
    <m/>
    <m/>
    <m/>
    <m/>
    <m/>
  </r>
  <r>
    <m/>
    <m/>
    <m/>
    <x v="6"/>
    <x v="2"/>
    <s v="reference"/>
    <s v="ISO 8859-7:1987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7:2003"/>
    <m/>
    <m/>
    <m/>
    <m/>
    <m/>
    <m/>
    <m/>
  </r>
  <r>
    <m/>
    <m/>
    <m/>
    <x v="6"/>
    <x v="2"/>
    <s v="reference"/>
    <s v="ISO/IEC 8859-7:2003"/>
    <m/>
    <x v="3"/>
    <s v="reference"/>
    <s v="ISO/IEC 8859"/>
    <m/>
    <m/>
    <m/>
    <m/>
    <m/>
    <m/>
    <m/>
  </r>
  <r>
    <m/>
    <m/>
    <m/>
    <x v="7"/>
    <x v="2"/>
    <s v="reference"/>
    <s v="ISO/IEC 8859-7:2003"/>
    <m/>
    <x v="2"/>
    <s v="reference"/>
    <s v="ISO 8859-7:1987"/>
    <m/>
    <m/>
    <m/>
    <m/>
    <m/>
    <m/>
    <m/>
  </r>
  <r>
    <m/>
    <m/>
    <m/>
    <x v="5"/>
    <x v="0"/>
    <s v="shortName"/>
    <s v="JTC1 SC 2"/>
    <m/>
    <x v="2"/>
    <s v="reference"/>
    <s v="ISO 8859-8:1988"/>
    <m/>
    <m/>
    <m/>
    <m/>
    <m/>
    <m/>
    <m/>
  </r>
  <r>
    <m/>
    <m/>
    <m/>
    <x v="6"/>
    <x v="2"/>
    <s v="reference"/>
    <s v="ISO 8859-8:1988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8:1999"/>
    <m/>
    <m/>
    <m/>
    <m/>
    <m/>
    <m/>
    <m/>
  </r>
  <r>
    <m/>
    <m/>
    <m/>
    <x v="6"/>
    <x v="2"/>
    <s v="reference"/>
    <s v="ISO/IEC 8859-8:1999"/>
    <m/>
    <x v="3"/>
    <s v="reference"/>
    <s v="ISO/IEC 8859"/>
    <m/>
    <m/>
    <m/>
    <m/>
    <m/>
    <m/>
    <m/>
  </r>
  <r>
    <m/>
    <m/>
    <m/>
    <x v="7"/>
    <x v="2"/>
    <s v="reference"/>
    <s v="ISO/IEC 8859-8:1999"/>
    <m/>
    <x v="2"/>
    <s v="reference"/>
    <s v="ISO 8859-8:1988"/>
    <m/>
    <m/>
    <m/>
    <m/>
    <m/>
    <m/>
    <m/>
  </r>
  <r>
    <m/>
    <m/>
    <m/>
    <x v="5"/>
    <x v="0"/>
    <s v="shortName"/>
    <s v="JTC1 SC 2"/>
    <m/>
    <x v="2"/>
    <s v="reference"/>
    <s v="ISO/IEC 8859-9:1989"/>
    <m/>
    <m/>
    <m/>
    <m/>
    <m/>
    <m/>
    <m/>
  </r>
  <r>
    <m/>
    <m/>
    <m/>
    <x v="6"/>
    <x v="2"/>
    <s v="reference"/>
    <s v="ISO/IEC 8859-9:1989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9:1999"/>
    <m/>
    <m/>
    <m/>
    <m/>
    <m/>
    <m/>
    <m/>
  </r>
  <r>
    <m/>
    <m/>
    <m/>
    <x v="6"/>
    <x v="2"/>
    <s v="reference"/>
    <s v="ISO/IEC 8859-9:1999"/>
    <m/>
    <x v="3"/>
    <s v="reference"/>
    <s v="ISO/IEC 8859"/>
    <m/>
    <m/>
    <m/>
    <m/>
    <m/>
    <m/>
    <m/>
  </r>
  <r>
    <m/>
    <m/>
    <m/>
    <x v="7"/>
    <x v="2"/>
    <s v="reference"/>
    <s v="ISO/IEC 8859-9:1999"/>
    <m/>
    <x v="2"/>
    <s v="reference"/>
    <s v="ISO/IEC 8859-9:1989"/>
    <m/>
    <m/>
    <m/>
    <m/>
    <m/>
    <m/>
    <m/>
  </r>
  <r>
    <m/>
    <m/>
    <m/>
    <x v="5"/>
    <x v="0"/>
    <s v="shortName"/>
    <s v="JTC1 SC 2"/>
    <m/>
    <x v="2"/>
    <s v="reference"/>
    <s v="ISO/IEC 8859-10:1992"/>
    <m/>
    <m/>
    <m/>
    <m/>
    <m/>
    <m/>
    <m/>
  </r>
  <r>
    <m/>
    <m/>
    <m/>
    <x v="6"/>
    <x v="2"/>
    <s v="reference"/>
    <s v="ISO/IEC 8859-10:1992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10:1998"/>
    <m/>
    <m/>
    <m/>
    <m/>
    <m/>
    <m/>
    <m/>
  </r>
  <r>
    <m/>
    <m/>
    <m/>
    <x v="6"/>
    <x v="2"/>
    <s v="reference"/>
    <s v="ISO/IEC 8859-10:1998"/>
    <m/>
    <x v="3"/>
    <s v="reference"/>
    <s v="ISO/IEC 8859"/>
    <m/>
    <m/>
    <m/>
    <m/>
    <m/>
    <m/>
    <m/>
  </r>
  <r>
    <m/>
    <m/>
    <m/>
    <x v="7"/>
    <x v="2"/>
    <s v="reference"/>
    <s v="ISO/IEC 8859-10:1998"/>
    <m/>
    <x v="2"/>
    <s v="reference"/>
    <s v="ISO/IEC 8859-10:1992"/>
    <m/>
    <m/>
    <m/>
    <m/>
    <m/>
    <m/>
    <m/>
  </r>
  <r>
    <m/>
    <m/>
    <m/>
    <x v="5"/>
    <x v="0"/>
    <s v="shortName"/>
    <s v="JTC1 SC 2"/>
    <m/>
    <x v="2"/>
    <s v="reference"/>
    <s v="ISO/IEC 8859-11:2001"/>
    <m/>
    <m/>
    <m/>
    <m/>
    <m/>
    <m/>
    <m/>
  </r>
  <r>
    <m/>
    <m/>
    <m/>
    <x v="6"/>
    <x v="2"/>
    <s v="reference"/>
    <s v="ISO/IEC 8859-11:2001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13:1998"/>
    <m/>
    <m/>
    <m/>
    <m/>
    <m/>
    <m/>
    <m/>
  </r>
  <r>
    <m/>
    <m/>
    <m/>
    <x v="6"/>
    <x v="2"/>
    <s v="reference"/>
    <s v="ISO/IEC 8859-13:1998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14:1998"/>
    <m/>
    <m/>
    <m/>
    <m/>
    <m/>
    <m/>
    <m/>
  </r>
  <r>
    <m/>
    <m/>
    <m/>
    <x v="6"/>
    <x v="2"/>
    <s v="reference"/>
    <s v="ISO/IEC 8859-14:1998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15:1999"/>
    <m/>
    <m/>
    <m/>
    <m/>
    <m/>
    <m/>
    <m/>
  </r>
  <r>
    <m/>
    <m/>
    <m/>
    <x v="6"/>
    <x v="2"/>
    <s v="reference"/>
    <s v="ISO/IEC 8859-15:1999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8859-16:2001"/>
    <m/>
    <m/>
    <m/>
    <m/>
    <m/>
    <m/>
    <m/>
  </r>
  <r>
    <m/>
    <m/>
    <m/>
    <x v="6"/>
    <x v="2"/>
    <s v="reference"/>
    <s v="ISO/IEC 8859-16:2001"/>
    <m/>
    <x v="3"/>
    <s v="reference"/>
    <s v="ISO/IEC 8859"/>
    <m/>
    <m/>
    <m/>
    <m/>
    <m/>
    <m/>
    <m/>
  </r>
  <r>
    <m/>
    <m/>
    <m/>
    <x v="5"/>
    <x v="0"/>
    <s v="shortName"/>
    <s v="JTC1 SC 2"/>
    <m/>
    <x v="2"/>
    <s v="reference"/>
    <s v="ISO/IEC 10367:1991"/>
    <m/>
    <m/>
    <m/>
    <m/>
    <m/>
    <m/>
    <m/>
  </r>
  <r>
    <m/>
    <m/>
    <m/>
    <x v="6"/>
    <x v="2"/>
    <s v="reference"/>
    <s v="ISO/IEC 10367:1991"/>
    <m/>
    <x v="3"/>
    <s v="reference"/>
    <s v="ISO/IEC 10367"/>
    <m/>
    <m/>
    <m/>
    <m/>
    <m/>
    <m/>
    <m/>
  </r>
  <r>
    <m/>
    <m/>
    <m/>
    <x v="5"/>
    <x v="0"/>
    <s v="shortName"/>
    <s v="JTC1 SC 2"/>
    <m/>
    <x v="2"/>
    <s v="reference"/>
    <s v="ISO/IEC 10367:1991/Cor 1:2001"/>
    <m/>
    <m/>
    <m/>
    <m/>
    <m/>
    <m/>
    <m/>
  </r>
  <r>
    <m/>
    <m/>
    <m/>
    <x v="6"/>
    <x v="2"/>
    <s v="reference"/>
    <s v="ISO/IEC 10367:1991/Cor 1:2001"/>
    <m/>
    <x v="3"/>
    <s v="reference"/>
    <s v="ISO/IEC 10367"/>
    <m/>
    <m/>
    <m/>
    <m/>
    <m/>
    <m/>
    <m/>
  </r>
  <r>
    <m/>
    <m/>
    <m/>
    <x v="10"/>
    <x v="2"/>
    <s v="reference"/>
    <s v="ISO/IEC 10367:1991/Cor 1:2001"/>
    <m/>
    <x v="2"/>
    <s v="reference"/>
    <s v="ISO/IEC 10367:1991"/>
    <m/>
    <m/>
    <m/>
    <m/>
    <m/>
    <m/>
    <m/>
  </r>
  <r>
    <m/>
    <m/>
    <m/>
    <x v="5"/>
    <x v="0"/>
    <s v="shortName"/>
    <s v="CCITT SG 8 (1980)"/>
    <m/>
    <x v="2"/>
    <s v="reference"/>
    <s v="CCITT Rec. S.61 (11/1980)"/>
    <m/>
    <m/>
    <m/>
    <m/>
    <m/>
    <m/>
    <m/>
  </r>
  <r>
    <m/>
    <m/>
    <m/>
    <x v="6"/>
    <x v="2"/>
    <s v="reference"/>
    <s v="CCITT Rec. S.61 (11/1980)"/>
    <m/>
    <x v="3"/>
    <s v="reference"/>
    <s v="ITU-T Rec. T.61"/>
    <m/>
    <m/>
    <m/>
    <m/>
    <m/>
    <m/>
    <m/>
  </r>
  <r>
    <m/>
    <m/>
    <m/>
    <x v="5"/>
    <x v="0"/>
    <s v="shortName"/>
    <s v="CCITT SG 8 (1984)"/>
    <m/>
    <x v="2"/>
    <s v="reference"/>
    <s v="CCITT Rec. T.61 (10/1984)"/>
    <m/>
    <m/>
    <m/>
    <m/>
    <m/>
    <m/>
    <m/>
  </r>
  <r>
    <m/>
    <m/>
    <m/>
    <x v="6"/>
    <x v="2"/>
    <s v="reference"/>
    <s v="CCITT Rec. T.61 (10/1984)"/>
    <m/>
    <x v="3"/>
    <s v="reference"/>
    <s v="ITU-T Rec. T.61"/>
    <m/>
    <m/>
    <m/>
    <m/>
    <m/>
    <m/>
    <m/>
  </r>
  <r>
    <m/>
    <m/>
    <m/>
    <x v="7"/>
    <x v="2"/>
    <s v="reference"/>
    <s v="CCITT Rec. T.61 (10/1984)"/>
    <m/>
    <x v="2"/>
    <s v="reference"/>
    <s v="CCITT Rec. S.61 (11/1980)"/>
    <m/>
    <m/>
    <m/>
    <m/>
    <m/>
    <m/>
    <m/>
  </r>
  <r>
    <m/>
    <m/>
    <m/>
    <x v="5"/>
    <x v="0"/>
    <s v="shortName"/>
    <s v="CCITT SG 8 (1988)"/>
    <m/>
    <x v="2"/>
    <s v="reference"/>
    <s v="CCITT Rec. T.61 (11/1988)"/>
    <m/>
    <m/>
    <m/>
    <m/>
    <m/>
    <m/>
    <m/>
  </r>
  <r>
    <m/>
    <m/>
    <m/>
    <x v="6"/>
    <x v="2"/>
    <s v="reference"/>
    <s v="CCITT Rec. T.61 (11/1988)"/>
    <m/>
    <x v="3"/>
    <s v="reference"/>
    <s v="ITU-T Rec. T.61"/>
    <m/>
    <m/>
    <m/>
    <m/>
    <m/>
    <m/>
    <m/>
  </r>
  <r>
    <m/>
    <m/>
    <m/>
    <x v="7"/>
    <x v="2"/>
    <s v="reference"/>
    <s v="CCITT Rec. T.61 (11/1988)"/>
    <m/>
    <x v="2"/>
    <s v="reference"/>
    <s v="CCITT Rec. T.61 (10/1984)"/>
    <m/>
    <m/>
    <m/>
    <m/>
    <m/>
    <m/>
    <m/>
  </r>
  <r>
    <m/>
    <m/>
    <m/>
    <x v="5"/>
    <x v="0"/>
    <s v="shortName"/>
    <s v="ITU-T SG 8 (1996)"/>
    <m/>
    <x v="2"/>
    <s v="reference"/>
    <s v="ITU-T Rec. T.61 (03/1993)"/>
    <m/>
    <m/>
    <m/>
    <m/>
    <m/>
    <m/>
    <m/>
  </r>
  <r>
    <m/>
    <m/>
    <m/>
    <x v="6"/>
    <x v="2"/>
    <s v="reference"/>
    <s v="ITU-T Rec. T.61 (03/1993)"/>
    <m/>
    <x v="3"/>
    <s v="reference"/>
    <s v="ITU-T Rec. T.61"/>
    <m/>
    <m/>
    <m/>
    <m/>
    <m/>
    <m/>
    <m/>
  </r>
  <r>
    <m/>
    <m/>
    <m/>
    <x v="7"/>
    <x v="2"/>
    <s v="reference"/>
    <s v="ITU-T Rec. T.61 (03/1993)"/>
    <m/>
    <x v="2"/>
    <s v="reference"/>
    <s v="CCITT Rec. T.61 (11/1988)"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s v="UNICODE"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5"/>
    <x v="0"/>
    <s v="shortName"/>
    <s v="Unicode"/>
    <m/>
    <x v="2"/>
    <s v="reference"/>
    <s v="Unicode 1.0"/>
    <m/>
    <m/>
    <m/>
    <m/>
    <m/>
    <m/>
    <m/>
  </r>
  <r>
    <m/>
    <m/>
    <m/>
    <x v="6"/>
    <x v="2"/>
    <s v="reference"/>
    <s v="Unicode 1.0"/>
    <m/>
    <x v="3"/>
    <s v="reference"/>
    <s v="Unicode"/>
    <m/>
    <m/>
    <m/>
    <m/>
    <m/>
    <m/>
    <m/>
  </r>
  <r>
    <m/>
    <m/>
    <m/>
    <x v="8"/>
    <x v="2"/>
    <s v="reference"/>
    <s v="Unicode 1.0"/>
    <m/>
    <x v="2"/>
    <s v="reference"/>
    <s v="ISO/IEC 10646-1:1993"/>
    <m/>
    <m/>
    <m/>
    <m/>
    <m/>
    <m/>
    <m/>
  </r>
  <r>
    <m/>
    <m/>
    <m/>
    <x v="5"/>
    <x v="0"/>
    <s v="shortName"/>
    <s v="Unicode"/>
    <m/>
    <x v="2"/>
    <s v="reference"/>
    <s v="Unicode 1.0.1"/>
    <m/>
    <m/>
    <m/>
    <m/>
    <m/>
    <m/>
    <m/>
  </r>
  <r>
    <m/>
    <m/>
    <m/>
    <x v="6"/>
    <x v="2"/>
    <s v="reference"/>
    <s v="Unicode 1.0.1"/>
    <m/>
    <x v="3"/>
    <s v="reference"/>
    <s v="Unicode"/>
    <m/>
    <m/>
    <m/>
    <m/>
    <m/>
    <m/>
    <m/>
  </r>
  <r>
    <m/>
    <m/>
    <m/>
    <x v="10"/>
    <x v="2"/>
    <s v="reference"/>
    <s v="Unicode 1.0.1"/>
    <m/>
    <x v="2"/>
    <s v="reference"/>
    <s v="Unicode 1.0"/>
    <m/>
    <m/>
    <m/>
    <m/>
    <m/>
    <m/>
    <m/>
  </r>
  <r>
    <m/>
    <m/>
    <m/>
    <x v="8"/>
    <x v="2"/>
    <s v="reference"/>
    <s v="Unicode 1.0.1"/>
    <m/>
    <x v="2"/>
    <s v="reference"/>
    <s v="ISO/IEC 10646-1:1993"/>
    <m/>
    <m/>
    <m/>
    <m/>
    <s v="partially equivalent"/>
    <s v="Character repertoire subset of ISO/IEC 10646-1:1993"/>
    <m/>
  </r>
  <r>
    <m/>
    <m/>
    <m/>
    <x v="5"/>
    <x v="0"/>
    <s v="shortName"/>
    <s v="Unicode"/>
    <m/>
    <x v="2"/>
    <s v="reference"/>
    <s v="Unicode 1.1"/>
    <m/>
    <m/>
    <m/>
    <m/>
    <m/>
    <m/>
    <m/>
  </r>
  <r>
    <m/>
    <m/>
    <m/>
    <x v="6"/>
    <x v="2"/>
    <s v="reference"/>
    <s v="Unicode 1.1"/>
    <m/>
    <x v="3"/>
    <s v="reference"/>
    <s v="Unicode"/>
    <m/>
    <m/>
    <m/>
    <m/>
    <m/>
    <m/>
    <m/>
  </r>
  <r>
    <m/>
    <m/>
    <m/>
    <x v="7"/>
    <x v="2"/>
    <s v="reference"/>
    <s v="Unicode 1.1"/>
    <m/>
    <x v="2"/>
    <s v="reference"/>
    <s v="Unicode 1.0.1"/>
    <m/>
    <m/>
    <m/>
    <m/>
    <m/>
    <m/>
    <m/>
  </r>
  <r>
    <m/>
    <m/>
    <m/>
    <x v="7"/>
    <x v="2"/>
    <s v="reference"/>
    <s v="Unicode 1.1"/>
    <m/>
    <x v="2"/>
    <s v="reference"/>
    <s v="Unicode 1.0"/>
    <m/>
    <m/>
    <m/>
    <m/>
    <m/>
    <m/>
    <m/>
  </r>
  <r>
    <m/>
    <m/>
    <m/>
    <x v="8"/>
    <x v="2"/>
    <s v="reference"/>
    <s v="Unicode 1.1"/>
    <m/>
    <x v="2"/>
    <s v="reference"/>
    <s v="ISO/IEC 10646-1:1993"/>
    <m/>
    <m/>
    <m/>
    <m/>
    <s v="partially equivalent"/>
    <s v="Character repertoire equivalent to ISO/IEC 10646-1:1993"/>
    <m/>
  </r>
  <r>
    <m/>
    <m/>
    <m/>
    <x v="5"/>
    <x v="0"/>
    <s v="shortName"/>
    <s v="Unicode"/>
    <m/>
    <x v="2"/>
    <s v="reference"/>
    <s v="Unicode 2.0"/>
    <m/>
    <m/>
    <m/>
    <m/>
    <m/>
    <m/>
    <m/>
  </r>
  <r>
    <m/>
    <m/>
    <m/>
    <x v="6"/>
    <x v="2"/>
    <s v="reference"/>
    <s v="Unicode 2.0"/>
    <m/>
    <x v="3"/>
    <s v="reference"/>
    <s v="Unicode"/>
    <m/>
    <m/>
    <m/>
    <m/>
    <m/>
    <m/>
    <m/>
  </r>
  <r>
    <m/>
    <m/>
    <m/>
    <x v="7"/>
    <x v="2"/>
    <s v="reference"/>
    <s v="Unicode 2.0"/>
    <m/>
    <x v="2"/>
    <s v="reference"/>
    <s v="Unicode 1.1"/>
    <m/>
    <m/>
    <m/>
    <m/>
    <m/>
    <m/>
    <m/>
  </r>
  <r>
    <m/>
    <m/>
    <m/>
    <x v="7"/>
    <x v="2"/>
    <s v="reference"/>
    <s v="Unicode 2.0"/>
    <m/>
    <x v="2"/>
    <s v="reference"/>
    <s v="X/Open FSS UTF"/>
    <m/>
    <m/>
    <m/>
    <m/>
    <m/>
    <m/>
    <m/>
  </r>
  <r>
    <m/>
    <m/>
    <m/>
    <x v="8"/>
    <x v="2"/>
    <s v="reference"/>
    <s v="Unicode 2.0"/>
    <m/>
    <x v="3"/>
    <s v="reference"/>
    <s v="ISO/IEC 10646-1:1993 (Unicode 2.0)"/>
    <m/>
    <m/>
    <m/>
    <m/>
    <s v="partially equivalent"/>
    <s v="Character repertoire equivalent to ISO/IEC 10646-1:1993 with amendments 1-7, additionally includes euro sign and object replacement character"/>
    <m/>
  </r>
  <r>
    <m/>
    <m/>
    <m/>
    <x v="5"/>
    <x v="0"/>
    <s v="shortName"/>
    <s v="Unicode"/>
    <m/>
    <x v="2"/>
    <s v="reference"/>
    <s v="Unicode 2.1"/>
    <m/>
    <m/>
    <m/>
    <m/>
    <m/>
    <m/>
    <m/>
  </r>
  <r>
    <m/>
    <m/>
    <m/>
    <x v="6"/>
    <x v="2"/>
    <s v="reference"/>
    <s v="Unicode 2.1"/>
    <m/>
    <x v="3"/>
    <s v="reference"/>
    <s v="Unicode"/>
    <m/>
    <m/>
    <m/>
    <m/>
    <m/>
    <m/>
    <m/>
  </r>
  <r>
    <m/>
    <m/>
    <m/>
    <x v="7"/>
    <x v="2"/>
    <s v="reference"/>
    <s v="Unicode 2.1"/>
    <m/>
    <x v="2"/>
    <s v="reference"/>
    <s v="Unicode 2.0"/>
    <m/>
    <m/>
    <m/>
    <m/>
    <m/>
    <m/>
    <m/>
  </r>
  <r>
    <m/>
    <m/>
    <m/>
    <x v="5"/>
    <x v="0"/>
    <s v="shortName"/>
    <s v="Unicode"/>
    <m/>
    <x v="2"/>
    <s v="reference"/>
    <s v="Unicode 3.0"/>
    <m/>
    <m/>
    <m/>
    <m/>
    <m/>
    <m/>
    <m/>
  </r>
  <r>
    <m/>
    <m/>
    <m/>
    <x v="6"/>
    <x v="2"/>
    <s v="reference"/>
    <s v="Unicode 3.0"/>
    <m/>
    <x v="3"/>
    <s v="reference"/>
    <s v="Unicode"/>
    <m/>
    <m/>
    <m/>
    <m/>
    <m/>
    <m/>
    <m/>
  </r>
  <r>
    <m/>
    <m/>
    <m/>
    <x v="7"/>
    <x v="2"/>
    <s v="reference"/>
    <s v="Unicode 3.0"/>
    <m/>
    <x v="2"/>
    <s v="reference"/>
    <s v="Unicode 2.1"/>
    <m/>
    <m/>
    <m/>
    <m/>
    <m/>
    <m/>
    <m/>
  </r>
  <r>
    <m/>
    <m/>
    <m/>
    <x v="8"/>
    <x v="2"/>
    <s v="reference"/>
    <s v="Unicode 3.0"/>
    <m/>
    <x v="2"/>
    <s v="reference"/>
    <s v="ISO/IEC 10646-1:2000"/>
    <m/>
    <m/>
    <m/>
    <m/>
    <s v="partially equivalent"/>
    <s v="Character repertoire equivalent to ISO/IEC 10646-1:2000"/>
    <m/>
  </r>
  <r>
    <m/>
    <m/>
    <m/>
    <x v="5"/>
    <x v="0"/>
    <s v="shortName"/>
    <s v="Unicode"/>
    <m/>
    <x v="2"/>
    <s v="reference"/>
    <s v="Unicode 3.1"/>
    <m/>
    <m/>
    <m/>
    <m/>
    <m/>
    <m/>
    <m/>
  </r>
  <r>
    <m/>
    <m/>
    <m/>
    <x v="6"/>
    <x v="2"/>
    <s v="reference"/>
    <s v="Unicode 3.1"/>
    <m/>
    <x v="3"/>
    <s v="reference"/>
    <s v="Unicode"/>
    <m/>
    <m/>
    <m/>
    <m/>
    <m/>
    <m/>
    <m/>
  </r>
  <r>
    <m/>
    <m/>
    <m/>
    <x v="7"/>
    <x v="2"/>
    <s v="reference"/>
    <s v="Unicode 3.1"/>
    <m/>
    <x v="2"/>
    <s v="reference"/>
    <s v="Unicode 3.0"/>
    <m/>
    <m/>
    <m/>
    <m/>
    <m/>
    <m/>
    <m/>
  </r>
  <r>
    <m/>
    <m/>
    <m/>
    <x v="8"/>
    <x v="2"/>
    <s v="reference"/>
    <s v="Unicode 3.1"/>
    <m/>
    <x v="3"/>
    <s v="reference"/>
    <s v="ISO/IEC 10646:2000/2001 (Unicode 3.1)"/>
    <m/>
    <m/>
    <m/>
    <m/>
    <s v="partially equivalent"/>
    <s v="Character repertoire equivalent to ISO/IEC 10646-1:2000 and ISO/IEC 10646-2:2001"/>
    <m/>
  </r>
  <r>
    <m/>
    <m/>
    <m/>
    <x v="5"/>
    <x v="0"/>
    <s v="shortName"/>
    <s v="Unicode"/>
    <m/>
    <x v="2"/>
    <s v="reference"/>
    <s v="Unicode 3.2"/>
    <m/>
    <m/>
    <m/>
    <m/>
    <m/>
    <m/>
    <m/>
  </r>
  <r>
    <m/>
    <m/>
    <m/>
    <x v="6"/>
    <x v="2"/>
    <s v="reference"/>
    <s v="Unicode 3.2"/>
    <m/>
    <x v="3"/>
    <s v="reference"/>
    <s v="Unicode"/>
    <m/>
    <m/>
    <m/>
    <m/>
    <m/>
    <m/>
    <m/>
  </r>
  <r>
    <m/>
    <m/>
    <m/>
    <x v="7"/>
    <x v="2"/>
    <s v="reference"/>
    <s v="Unicode 3.2"/>
    <m/>
    <x v="2"/>
    <s v="reference"/>
    <s v="Unicode 3.1"/>
    <m/>
    <m/>
    <m/>
    <m/>
    <m/>
    <m/>
    <m/>
  </r>
  <r>
    <m/>
    <m/>
    <m/>
    <x v="8"/>
    <x v="2"/>
    <s v="reference"/>
    <s v="Unicode 3.2"/>
    <m/>
    <x v="3"/>
    <s v="reference"/>
    <s v="ISO/IEC 10646:2000/2001 (Unicode 3.2)"/>
    <m/>
    <m/>
    <m/>
    <m/>
    <s v="partially equivalent"/>
    <s v="Character repertoire equivalent to ISO/IEC 10646-1:2000 (amended) and ISO/IEC 10646-2:2001"/>
    <m/>
  </r>
  <r>
    <m/>
    <m/>
    <m/>
    <x v="5"/>
    <x v="0"/>
    <s v="shortName"/>
    <s v="Unicode"/>
    <m/>
    <x v="2"/>
    <s v="reference"/>
    <s v="Unicode 4.0"/>
    <m/>
    <m/>
    <m/>
    <m/>
    <m/>
    <m/>
    <m/>
  </r>
  <r>
    <m/>
    <m/>
    <m/>
    <x v="6"/>
    <x v="2"/>
    <s v="reference"/>
    <s v="Unicode 4.0"/>
    <m/>
    <x v="3"/>
    <s v="reference"/>
    <s v="Unicode"/>
    <m/>
    <m/>
    <m/>
    <m/>
    <m/>
    <m/>
    <m/>
  </r>
  <r>
    <m/>
    <m/>
    <m/>
    <x v="7"/>
    <x v="2"/>
    <s v="reference"/>
    <s v="Unicode 4.0"/>
    <m/>
    <x v="2"/>
    <s v="reference"/>
    <s v="Unicode 3.2"/>
    <m/>
    <m/>
    <m/>
    <m/>
    <m/>
    <m/>
    <m/>
  </r>
  <r>
    <m/>
    <m/>
    <m/>
    <x v="8"/>
    <x v="2"/>
    <s v="reference"/>
    <s v="Unicode 4.0"/>
    <m/>
    <x v="2"/>
    <s v="reference"/>
    <s v="ISO/IEC 10646:2003"/>
    <m/>
    <m/>
    <m/>
    <m/>
    <s v="partially equivalent"/>
    <s v="Character repertoire equivalent to ISO/IEC 10646:2003"/>
    <m/>
  </r>
  <r>
    <m/>
    <m/>
    <m/>
    <x v="5"/>
    <x v="0"/>
    <s v="shortName"/>
    <s v="Unicode"/>
    <m/>
    <x v="2"/>
    <s v="reference"/>
    <s v="Unicode 4.1"/>
    <m/>
    <m/>
    <m/>
    <m/>
    <m/>
    <m/>
    <m/>
  </r>
  <r>
    <m/>
    <m/>
    <m/>
    <x v="6"/>
    <x v="2"/>
    <s v="reference"/>
    <s v="Unicode 4.1"/>
    <m/>
    <x v="3"/>
    <s v="reference"/>
    <s v="Unicode"/>
    <m/>
    <m/>
    <m/>
    <m/>
    <m/>
    <m/>
    <m/>
  </r>
  <r>
    <m/>
    <m/>
    <m/>
    <x v="7"/>
    <x v="2"/>
    <s v="reference"/>
    <s v="Unicode 4.1"/>
    <m/>
    <x v="2"/>
    <s v="reference"/>
    <s v="Unicode 4.0"/>
    <m/>
    <m/>
    <m/>
    <m/>
    <m/>
    <m/>
    <m/>
  </r>
  <r>
    <m/>
    <m/>
    <m/>
    <x v="8"/>
    <x v="2"/>
    <s v="reference"/>
    <s v="Unicode 4.1"/>
    <m/>
    <x v="3"/>
    <s v="reference"/>
    <s v="ISO/IEC 10646:2003 (Unicode 4.1)"/>
    <m/>
    <m/>
    <m/>
    <m/>
    <s v="partially equivalent"/>
    <s v="Character repertoire equivalent to ISO/IEC 10646:2003 with amendment 1"/>
    <m/>
  </r>
  <r>
    <m/>
    <m/>
    <m/>
    <x v="5"/>
    <x v="0"/>
    <s v="shortName"/>
    <s v="Unicode"/>
    <m/>
    <x v="2"/>
    <s v="reference"/>
    <s v="Unicode 5.0"/>
    <m/>
    <m/>
    <m/>
    <m/>
    <m/>
    <m/>
    <m/>
  </r>
  <r>
    <m/>
    <m/>
    <m/>
    <x v="6"/>
    <x v="2"/>
    <s v="reference"/>
    <s v="Unicode 5.0"/>
    <m/>
    <x v="3"/>
    <s v="reference"/>
    <s v="Unicode"/>
    <m/>
    <m/>
    <m/>
    <m/>
    <m/>
    <m/>
    <m/>
  </r>
  <r>
    <m/>
    <m/>
    <m/>
    <x v="7"/>
    <x v="2"/>
    <s v="reference"/>
    <s v="Unicode 5.0"/>
    <m/>
    <x v="2"/>
    <s v="reference"/>
    <s v="Unicode 4.1"/>
    <m/>
    <m/>
    <m/>
    <m/>
    <m/>
    <m/>
    <m/>
  </r>
  <r>
    <m/>
    <m/>
    <m/>
    <x v="8"/>
    <x v="2"/>
    <s v="reference"/>
    <s v="Unicode 5.0"/>
    <m/>
    <x v="3"/>
    <s v="reference"/>
    <s v="ISO/IEC 10646:2003 (Unicode 5.0)"/>
    <m/>
    <m/>
    <m/>
    <m/>
    <s v="partially equivalent"/>
    <s v="Character repertoire equivalent to ISO/IEC 10646:2003 with amendments 1-2, plus Sindhi additions"/>
    <m/>
  </r>
  <r>
    <m/>
    <m/>
    <m/>
    <x v="5"/>
    <x v="0"/>
    <s v="shortName"/>
    <s v="Unicode"/>
    <m/>
    <x v="2"/>
    <s v="reference"/>
    <s v="Unicode 5.1"/>
    <m/>
    <m/>
    <m/>
    <m/>
    <m/>
    <m/>
    <m/>
  </r>
  <r>
    <m/>
    <m/>
    <m/>
    <x v="6"/>
    <x v="2"/>
    <s v="reference"/>
    <s v="Unicode 5.1"/>
    <m/>
    <x v="3"/>
    <s v="reference"/>
    <s v="Unicode"/>
    <m/>
    <m/>
    <m/>
    <m/>
    <m/>
    <m/>
    <m/>
  </r>
  <r>
    <m/>
    <m/>
    <m/>
    <x v="7"/>
    <x v="2"/>
    <s v="reference"/>
    <s v="Unicode 5.1"/>
    <m/>
    <x v="2"/>
    <s v="reference"/>
    <s v="Unicode 5.0"/>
    <m/>
    <m/>
    <m/>
    <m/>
    <m/>
    <m/>
    <m/>
  </r>
  <r>
    <m/>
    <m/>
    <m/>
    <x v="8"/>
    <x v="2"/>
    <s v="reference"/>
    <s v="Unicode 5.1"/>
    <m/>
    <x v="3"/>
    <s v="reference"/>
    <s v="ISO/IEC 10646:2003 (Unicode 5.1)"/>
    <m/>
    <m/>
    <m/>
    <m/>
    <s v="partially equivalent"/>
    <s v="Character repertoire equivalent to ISO/IEC 10646:2003 with amendments 1-4"/>
    <m/>
  </r>
  <r>
    <m/>
    <m/>
    <m/>
    <x v="5"/>
    <x v="0"/>
    <s v="shortName"/>
    <s v="Unicode"/>
    <m/>
    <x v="2"/>
    <s v="reference"/>
    <s v="Unicode 5.2"/>
    <m/>
    <m/>
    <m/>
    <m/>
    <m/>
    <m/>
    <m/>
  </r>
  <r>
    <m/>
    <m/>
    <m/>
    <x v="6"/>
    <x v="2"/>
    <s v="reference"/>
    <s v="Unicode 5.2"/>
    <m/>
    <x v="3"/>
    <s v="reference"/>
    <s v="Unicode"/>
    <m/>
    <m/>
    <m/>
    <m/>
    <m/>
    <m/>
    <m/>
  </r>
  <r>
    <m/>
    <m/>
    <m/>
    <x v="7"/>
    <x v="2"/>
    <s v="reference"/>
    <s v="Unicode 5.2"/>
    <m/>
    <x v="2"/>
    <s v="reference"/>
    <s v="Unicode 5.1"/>
    <m/>
    <m/>
    <m/>
    <m/>
    <m/>
    <m/>
    <m/>
  </r>
  <r>
    <m/>
    <m/>
    <m/>
    <x v="8"/>
    <x v="2"/>
    <s v="reference"/>
    <s v="Unicode 5.2"/>
    <m/>
    <x v="3"/>
    <s v="reference"/>
    <s v="ISO/IEC 10646:2003 (Unicode 5.2)"/>
    <m/>
    <m/>
    <m/>
    <m/>
    <s v="partially equivalent"/>
    <s v="Character repertoire equivalent to ISO/IEC 10646:2003 with amendments 1-6"/>
    <m/>
  </r>
  <r>
    <m/>
    <m/>
    <m/>
    <x v="5"/>
    <x v="0"/>
    <s v="shortName"/>
    <s v="Unicode"/>
    <m/>
    <x v="2"/>
    <s v="reference"/>
    <s v="Unicode 6.0"/>
    <m/>
    <m/>
    <m/>
    <m/>
    <m/>
    <m/>
    <m/>
  </r>
  <r>
    <m/>
    <m/>
    <m/>
    <x v="6"/>
    <x v="2"/>
    <s v="reference"/>
    <s v="Unicode 6.0"/>
    <m/>
    <x v="3"/>
    <s v="reference"/>
    <s v="Unicode"/>
    <m/>
    <m/>
    <m/>
    <m/>
    <m/>
    <m/>
    <m/>
  </r>
  <r>
    <m/>
    <m/>
    <m/>
    <x v="7"/>
    <x v="2"/>
    <s v="reference"/>
    <s v="Unicode 6.0"/>
    <m/>
    <x v="2"/>
    <s v="reference"/>
    <s v="Unicode 5.2"/>
    <m/>
    <m/>
    <m/>
    <m/>
    <m/>
    <m/>
    <m/>
  </r>
  <r>
    <m/>
    <m/>
    <m/>
    <x v="8"/>
    <x v="2"/>
    <s v="reference"/>
    <s v="Unicode 6.0"/>
    <m/>
    <x v="2"/>
    <s v="reference"/>
    <s v="ISO/IEC 10646:2011"/>
    <m/>
    <m/>
    <m/>
    <m/>
    <s v="partially equivalent"/>
    <s v="Character repertoire equivalent to ISO/IEC 10646:2011, plus Indian rupee sign"/>
    <m/>
  </r>
  <r>
    <m/>
    <m/>
    <m/>
    <x v="5"/>
    <x v="0"/>
    <s v="shortName"/>
    <s v="Unicode"/>
    <m/>
    <x v="2"/>
    <s v="reference"/>
    <s v="Unicode 6.1"/>
    <m/>
    <m/>
    <m/>
    <m/>
    <m/>
    <m/>
    <m/>
  </r>
  <r>
    <m/>
    <m/>
    <m/>
    <x v="6"/>
    <x v="2"/>
    <s v="reference"/>
    <s v="Unicode 6.1"/>
    <m/>
    <x v="3"/>
    <s v="reference"/>
    <s v="Unicode"/>
    <m/>
    <m/>
    <m/>
    <m/>
    <m/>
    <m/>
    <m/>
  </r>
  <r>
    <m/>
    <m/>
    <m/>
    <x v="7"/>
    <x v="2"/>
    <s v="reference"/>
    <s v="Unicode 6.1"/>
    <m/>
    <x v="2"/>
    <s v="reference"/>
    <s v="Unicode 6.0"/>
    <m/>
    <m/>
    <m/>
    <m/>
    <m/>
    <m/>
    <m/>
  </r>
  <r>
    <m/>
    <m/>
    <m/>
    <x v="8"/>
    <x v="2"/>
    <s v="reference"/>
    <s v="Unicode 6.1"/>
    <m/>
    <x v="2"/>
    <s v="reference"/>
    <s v="ISO/IEC 10646:2012"/>
    <m/>
    <m/>
    <m/>
    <m/>
    <s v="partially equivalent"/>
    <s v="Character repertoire equivalent to ISO/IEC 10646:2012"/>
    <m/>
  </r>
  <r>
    <m/>
    <m/>
    <m/>
    <x v="5"/>
    <x v="0"/>
    <s v="shortName"/>
    <s v="Unicode"/>
    <m/>
    <x v="2"/>
    <s v="reference"/>
    <s v="Unicode 6.2"/>
    <m/>
    <m/>
    <m/>
    <m/>
    <m/>
    <m/>
    <m/>
  </r>
  <r>
    <m/>
    <m/>
    <m/>
    <x v="6"/>
    <x v="2"/>
    <s v="reference"/>
    <s v="Unicode 6.2"/>
    <m/>
    <x v="3"/>
    <s v="reference"/>
    <s v="Unicode"/>
    <m/>
    <m/>
    <m/>
    <m/>
    <m/>
    <m/>
    <m/>
  </r>
  <r>
    <m/>
    <m/>
    <m/>
    <x v="7"/>
    <x v="2"/>
    <s v="reference"/>
    <s v="Unicode 6.2"/>
    <m/>
    <x v="2"/>
    <s v="reference"/>
    <s v="Unicode 6.1"/>
    <m/>
    <m/>
    <m/>
    <m/>
    <m/>
    <m/>
    <m/>
  </r>
  <r>
    <m/>
    <m/>
    <m/>
    <x v="5"/>
    <x v="0"/>
    <s v="shortName"/>
    <s v="Unicode"/>
    <m/>
    <x v="2"/>
    <s v="reference"/>
    <s v="Unicode 6.3"/>
    <m/>
    <m/>
    <m/>
    <m/>
    <m/>
    <m/>
    <m/>
  </r>
  <r>
    <m/>
    <m/>
    <m/>
    <x v="6"/>
    <x v="2"/>
    <s v="reference"/>
    <s v="Unicode 6.3"/>
    <m/>
    <x v="3"/>
    <s v="reference"/>
    <s v="Unicode"/>
    <m/>
    <m/>
    <m/>
    <m/>
    <m/>
    <m/>
    <m/>
  </r>
  <r>
    <m/>
    <m/>
    <m/>
    <x v="7"/>
    <x v="2"/>
    <s v="reference"/>
    <s v="Unicode 6.3"/>
    <m/>
    <x v="2"/>
    <s v="reference"/>
    <s v="Unicode 6.2"/>
    <m/>
    <m/>
    <m/>
    <m/>
    <m/>
    <m/>
    <m/>
  </r>
  <r>
    <m/>
    <m/>
    <m/>
    <x v="5"/>
    <x v="0"/>
    <s v="shortName"/>
    <s v="Unicode"/>
    <m/>
    <x v="2"/>
    <s v="reference"/>
    <s v="Unicode 7.0"/>
    <m/>
    <m/>
    <m/>
    <m/>
    <m/>
    <m/>
    <m/>
  </r>
  <r>
    <m/>
    <m/>
    <m/>
    <x v="6"/>
    <x v="2"/>
    <s v="reference"/>
    <s v="Unicode 7.0"/>
    <m/>
    <x v="3"/>
    <s v="reference"/>
    <s v="Unicode"/>
    <m/>
    <m/>
    <m/>
    <m/>
    <m/>
    <m/>
    <m/>
  </r>
  <r>
    <m/>
    <m/>
    <m/>
    <x v="7"/>
    <x v="2"/>
    <s v="reference"/>
    <s v="Unicode 7.0"/>
    <m/>
    <x v="2"/>
    <s v="reference"/>
    <s v="Unicode 6.3"/>
    <m/>
    <m/>
    <m/>
    <m/>
    <m/>
    <m/>
    <m/>
  </r>
  <r>
    <m/>
    <m/>
    <m/>
    <x v="8"/>
    <x v="2"/>
    <s v="reference"/>
    <s v="Unicode 7.0"/>
    <m/>
    <x v="2"/>
    <s v="reference"/>
    <s v="ISO/IEC 10646:2014"/>
    <m/>
    <m/>
    <m/>
    <m/>
    <s v="partially equivalent"/>
    <s v="Character repertoire equivalent to ISO/IEC 10646:2014"/>
    <m/>
  </r>
  <r>
    <m/>
    <m/>
    <m/>
    <x v="5"/>
    <x v="0"/>
    <s v="shortName"/>
    <s v="Unicode"/>
    <m/>
    <x v="2"/>
    <s v="reference"/>
    <s v="Unicode 8.0"/>
    <m/>
    <m/>
    <m/>
    <m/>
    <m/>
    <m/>
    <m/>
  </r>
  <r>
    <m/>
    <m/>
    <m/>
    <x v="6"/>
    <x v="2"/>
    <s v="reference"/>
    <s v="Unicode 8.0"/>
    <m/>
    <x v="3"/>
    <s v="reference"/>
    <s v="Unicode"/>
    <m/>
    <m/>
    <m/>
    <m/>
    <m/>
    <m/>
    <m/>
  </r>
  <r>
    <m/>
    <m/>
    <m/>
    <x v="7"/>
    <x v="2"/>
    <s v="reference"/>
    <s v="Unicode 8.0"/>
    <m/>
    <x v="2"/>
    <s v="reference"/>
    <s v="Unicode 7.0"/>
    <m/>
    <m/>
    <m/>
    <m/>
    <m/>
    <m/>
    <m/>
  </r>
  <r>
    <m/>
    <m/>
    <m/>
    <x v="8"/>
    <x v="2"/>
    <s v="reference"/>
    <s v="Unicode 8.0"/>
    <m/>
    <x v="3"/>
    <s v="reference"/>
    <s v="ISO/IEC 10646:2014 (Unicode 8.0)"/>
    <m/>
    <m/>
    <m/>
    <m/>
    <s v="partially equivalent"/>
    <s v="Character repertoire equivalent to ISO/IEC 10646:2014 with amendment 1, plus 51 additional characters"/>
    <m/>
  </r>
  <r>
    <m/>
    <m/>
    <m/>
    <x v="5"/>
    <x v="0"/>
    <s v="shortName"/>
    <s v="Unicode"/>
    <m/>
    <x v="2"/>
    <s v="reference"/>
    <s v="Unicode 9.0"/>
    <m/>
    <m/>
    <m/>
    <m/>
    <m/>
    <m/>
    <m/>
  </r>
  <r>
    <m/>
    <m/>
    <m/>
    <x v="6"/>
    <x v="2"/>
    <s v="reference"/>
    <s v="Unicode 9.0"/>
    <m/>
    <x v="3"/>
    <s v="reference"/>
    <s v="Unicode"/>
    <m/>
    <m/>
    <m/>
    <m/>
    <m/>
    <m/>
    <m/>
  </r>
  <r>
    <m/>
    <m/>
    <m/>
    <x v="7"/>
    <x v="2"/>
    <s v="reference"/>
    <s v="Unicode 9.0"/>
    <m/>
    <x v="2"/>
    <s v="reference"/>
    <s v="Unicode 8.0"/>
    <m/>
    <m/>
    <m/>
    <m/>
    <m/>
    <m/>
    <m/>
  </r>
  <r>
    <m/>
    <m/>
    <m/>
    <x v="8"/>
    <x v="2"/>
    <s v="reference"/>
    <s v="Unicode 9.0"/>
    <m/>
    <x v="3"/>
    <s v="reference"/>
    <s v="ISO/IEC 10646:2014 (Unicode 9.0)"/>
    <m/>
    <m/>
    <m/>
    <m/>
    <s v="partially equivalent"/>
    <s v="Character repertoire equivalent to ISO/IEC 10646:2014 with amendments 1-2, plus 273 additional characters"/>
    <m/>
  </r>
  <r>
    <m/>
    <m/>
    <m/>
    <x v="5"/>
    <x v="0"/>
    <s v="shortName"/>
    <s v="Unicode"/>
    <m/>
    <x v="2"/>
    <s v="reference"/>
    <s v="Unicode 10.0"/>
    <m/>
    <m/>
    <m/>
    <m/>
    <m/>
    <m/>
    <m/>
  </r>
  <r>
    <m/>
    <m/>
    <m/>
    <x v="6"/>
    <x v="2"/>
    <s v="reference"/>
    <s v="Unicode 10.0"/>
    <m/>
    <x v="3"/>
    <s v="reference"/>
    <s v="Unicode"/>
    <m/>
    <m/>
    <m/>
    <m/>
    <m/>
    <m/>
    <m/>
  </r>
  <r>
    <m/>
    <m/>
    <m/>
    <x v="7"/>
    <x v="2"/>
    <s v="reference"/>
    <s v="Unicode 10.0"/>
    <m/>
    <x v="2"/>
    <s v="reference"/>
    <s v="Unicode 9.0"/>
    <m/>
    <m/>
    <m/>
    <m/>
    <m/>
    <m/>
    <m/>
  </r>
  <r>
    <m/>
    <m/>
    <m/>
    <x v="8"/>
    <x v="2"/>
    <s v="reference"/>
    <s v="Unicode 10.0"/>
    <m/>
    <x v="2"/>
    <s v="reference"/>
    <s v="ISO/IEC 10646:2017"/>
    <m/>
    <m/>
    <m/>
    <m/>
    <s v="partially equivalent"/>
    <s v="Character repertoire equivalent to ISO/IEC 10646:2017, plus 344 additional characters"/>
    <m/>
  </r>
  <r>
    <m/>
    <m/>
    <m/>
    <x v="5"/>
    <x v="0"/>
    <s v="shortName"/>
    <s v="Unicode"/>
    <m/>
    <x v="2"/>
    <s v="reference"/>
    <s v="Unicode 11.0"/>
    <m/>
    <m/>
    <m/>
    <m/>
    <m/>
    <m/>
    <m/>
  </r>
  <r>
    <m/>
    <m/>
    <m/>
    <x v="6"/>
    <x v="2"/>
    <s v="reference"/>
    <s v="Unicode 11.0"/>
    <m/>
    <x v="3"/>
    <s v="reference"/>
    <s v="Unicode"/>
    <m/>
    <m/>
    <m/>
    <m/>
    <m/>
    <m/>
    <m/>
  </r>
  <r>
    <m/>
    <m/>
    <m/>
    <x v="7"/>
    <x v="2"/>
    <s v="reference"/>
    <s v="Unicode 11.0"/>
    <m/>
    <x v="2"/>
    <s v="reference"/>
    <s v="Unicode 10.0"/>
    <m/>
    <m/>
    <m/>
    <m/>
    <m/>
    <m/>
    <m/>
  </r>
  <r>
    <m/>
    <m/>
    <m/>
    <x v="8"/>
    <x v="2"/>
    <s v="reference"/>
    <s v="Unicode 11.0"/>
    <m/>
    <x v="3"/>
    <s v="reference"/>
    <s v="ISO/IEC 10646:2017 (Unicode 11.0)"/>
    <m/>
    <m/>
    <m/>
    <m/>
    <s v="partially equivalent"/>
    <s v="Character repertoire equivalent to ISO/IEC 10646:2017 with amendment 1, plus 117 additional characters"/>
    <m/>
  </r>
  <r>
    <m/>
    <m/>
    <m/>
    <x v="5"/>
    <x v="0"/>
    <s v="shortName"/>
    <s v="Unicode"/>
    <m/>
    <x v="2"/>
    <s v="reference"/>
    <s v="Unicode 12.0"/>
    <m/>
    <m/>
    <m/>
    <m/>
    <m/>
    <m/>
    <m/>
  </r>
  <r>
    <m/>
    <m/>
    <m/>
    <x v="6"/>
    <x v="2"/>
    <s v="reference"/>
    <s v="Unicode 12.0"/>
    <m/>
    <x v="3"/>
    <s v="reference"/>
    <s v="Unicode"/>
    <m/>
    <m/>
    <m/>
    <m/>
    <m/>
    <m/>
    <m/>
  </r>
  <r>
    <m/>
    <m/>
    <m/>
    <x v="7"/>
    <x v="2"/>
    <s v="reference"/>
    <s v="Unicode 12.0"/>
    <m/>
    <x v="2"/>
    <s v="reference"/>
    <s v="Unicode 11.0"/>
    <m/>
    <m/>
    <m/>
    <m/>
    <m/>
    <m/>
    <m/>
  </r>
  <r>
    <m/>
    <m/>
    <m/>
    <x v="8"/>
    <x v="2"/>
    <s v="reference"/>
    <s v="Unicode 12.0"/>
    <m/>
    <x v="3"/>
    <s v="reference"/>
    <s v="ISO/IEC 10646:2017 (Unicode 12.0)"/>
    <m/>
    <m/>
    <m/>
    <m/>
    <s v="partially equivalent"/>
    <s v="Character repertoire equivalent to ISO/IEC 10646:2017 with amendments 1-2, plus 62 additional characters"/>
    <m/>
  </r>
  <r>
    <m/>
    <m/>
    <m/>
    <x v="5"/>
    <x v="0"/>
    <s v="shortName"/>
    <s v="Unicode"/>
    <m/>
    <x v="2"/>
    <s v="reference"/>
    <s v="Unicode 12.1"/>
    <m/>
    <m/>
    <m/>
    <m/>
    <m/>
    <m/>
    <m/>
  </r>
  <r>
    <m/>
    <m/>
    <m/>
    <x v="6"/>
    <x v="2"/>
    <s v="reference"/>
    <s v="Unicode 12.1"/>
    <m/>
    <x v="3"/>
    <s v="reference"/>
    <s v="Unicode"/>
    <m/>
    <m/>
    <m/>
    <m/>
    <m/>
    <m/>
    <m/>
  </r>
  <r>
    <m/>
    <m/>
    <m/>
    <x v="7"/>
    <x v="2"/>
    <s v="reference"/>
    <s v="Unicode 12.1"/>
    <m/>
    <x v="2"/>
    <s v="reference"/>
    <s v="Unicode 12.0"/>
    <m/>
    <m/>
    <m/>
    <m/>
    <m/>
    <m/>
    <m/>
  </r>
  <r>
    <m/>
    <m/>
    <m/>
    <x v="5"/>
    <x v="0"/>
    <s v="shortName"/>
    <s v="Unicode"/>
    <m/>
    <x v="2"/>
    <s v="reference"/>
    <s v="Unicode 13.0"/>
    <m/>
    <m/>
    <m/>
    <m/>
    <m/>
    <m/>
    <m/>
  </r>
  <r>
    <m/>
    <m/>
    <m/>
    <x v="6"/>
    <x v="2"/>
    <s v="reference"/>
    <s v="Unicode 13.0"/>
    <m/>
    <x v="3"/>
    <s v="reference"/>
    <s v="Unicode"/>
    <m/>
    <m/>
    <m/>
    <m/>
    <m/>
    <m/>
    <m/>
  </r>
  <r>
    <m/>
    <m/>
    <m/>
    <x v="7"/>
    <x v="2"/>
    <s v="reference"/>
    <s v="Unicode 13.0"/>
    <m/>
    <x v="2"/>
    <s v="reference"/>
    <s v="Unicode 12.1"/>
    <m/>
    <m/>
    <m/>
    <m/>
    <m/>
    <m/>
    <m/>
  </r>
  <r>
    <m/>
    <m/>
    <m/>
    <x v="8"/>
    <x v="2"/>
    <s v="reference"/>
    <s v="Unicode 13.0"/>
    <m/>
    <x v="2"/>
    <s v="reference"/>
    <s v="ISO/IEC 10646:2020"/>
    <m/>
    <m/>
    <m/>
    <m/>
    <s v="partially equivalent"/>
    <s v="Character repertoire equivalent to ISO/IEC 10646:2020"/>
    <m/>
  </r>
  <r>
    <m/>
    <m/>
    <m/>
    <x v="5"/>
    <x v="0"/>
    <s v="shortName"/>
    <s v="Unicode"/>
    <m/>
    <x v="2"/>
    <s v="reference"/>
    <s v="Unicode 14.0"/>
    <m/>
    <m/>
    <m/>
    <m/>
    <m/>
    <m/>
    <m/>
  </r>
  <r>
    <m/>
    <m/>
    <m/>
    <x v="6"/>
    <x v="2"/>
    <s v="reference"/>
    <s v="Unicode 14.0"/>
    <m/>
    <x v="3"/>
    <s v="reference"/>
    <s v="Unicode"/>
    <m/>
    <m/>
    <m/>
    <m/>
    <m/>
    <m/>
    <m/>
  </r>
  <r>
    <m/>
    <m/>
    <m/>
    <x v="7"/>
    <x v="2"/>
    <s v="reference"/>
    <s v="Unicode 14.0"/>
    <m/>
    <x v="2"/>
    <s v="reference"/>
    <s v="Unicode 13.0"/>
    <m/>
    <m/>
    <m/>
    <m/>
    <m/>
    <m/>
    <m/>
  </r>
  <r>
    <m/>
    <m/>
    <m/>
    <x v="5"/>
    <x v="0"/>
    <s v="shortName"/>
    <s v="Unicode"/>
    <m/>
    <x v="2"/>
    <s v="reference"/>
    <s v="Unicode 15.0"/>
    <m/>
    <m/>
    <m/>
    <m/>
    <m/>
    <m/>
    <m/>
  </r>
  <r>
    <m/>
    <m/>
    <m/>
    <x v="6"/>
    <x v="2"/>
    <s v="reference"/>
    <s v="Unicode 15.0"/>
    <m/>
    <x v="3"/>
    <s v="reference"/>
    <s v="Unicode"/>
    <m/>
    <m/>
    <m/>
    <m/>
    <m/>
    <m/>
    <m/>
  </r>
  <r>
    <m/>
    <m/>
    <m/>
    <x v="7"/>
    <x v="2"/>
    <s v="reference"/>
    <s v="Unicode 15.0"/>
    <m/>
    <x v="2"/>
    <s v="reference"/>
    <s v="Unicode 14.0"/>
    <m/>
    <m/>
    <m/>
    <m/>
    <m/>
    <m/>
    <m/>
  </r>
  <r>
    <m/>
    <m/>
    <m/>
    <x v="8"/>
    <x v="2"/>
    <s v="reference"/>
    <s v="Unicode 15.0"/>
    <m/>
    <x v="3"/>
    <s v="reference"/>
    <s v="ISO/IEC 10646:2020 (Unicode 15.0)"/>
    <m/>
    <m/>
    <m/>
    <m/>
    <s v="partially equivalent"/>
    <s v="Character repertoire equivalent to ISO/IEC 10646:2020 with amendment 1"/>
    <m/>
  </r>
  <r>
    <m/>
    <m/>
    <m/>
    <x v="5"/>
    <x v="0"/>
    <s v="shortName"/>
    <s v="Unicode"/>
    <m/>
    <x v="2"/>
    <s v="reference"/>
    <s v="Unicode 15.1"/>
    <m/>
    <m/>
    <m/>
    <m/>
    <m/>
    <m/>
    <m/>
  </r>
  <r>
    <m/>
    <m/>
    <m/>
    <x v="6"/>
    <x v="2"/>
    <s v="reference"/>
    <s v="Unicode 15.1"/>
    <m/>
    <x v="3"/>
    <s v="reference"/>
    <s v="Unicode"/>
    <m/>
    <m/>
    <m/>
    <m/>
    <m/>
    <m/>
    <m/>
  </r>
  <r>
    <m/>
    <m/>
    <m/>
    <x v="7"/>
    <x v="2"/>
    <s v="reference"/>
    <s v="Unicode 15.1"/>
    <m/>
    <x v="2"/>
    <s v="reference"/>
    <s v="Unicode 15.0"/>
    <m/>
    <m/>
    <m/>
    <m/>
    <m/>
    <m/>
    <m/>
  </r>
  <r>
    <m/>
    <m/>
    <m/>
    <x v="5"/>
    <x v="0"/>
    <s v="shortName"/>
    <s v="Unicode"/>
    <m/>
    <x v="2"/>
    <s v="reference"/>
    <s v="Unicode 16.0"/>
    <m/>
    <m/>
    <m/>
    <m/>
    <m/>
    <m/>
    <m/>
  </r>
  <r>
    <m/>
    <m/>
    <m/>
    <x v="6"/>
    <x v="2"/>
    <s v="reference"/>
    <s v="Unicode 16.0"/>
    <m/>
    <x v="3"/>
    <s v="reference"/>
    <s v="Unicode"/>
    <m/>
    <m/>
    <m/>
    <m/>
    <m/>
    <m/>
    <m/>
  </r>
  <r>
    <m/>
    <m/>
    <m/>
    <x v="7"/>
    <x v="2"/>
    <s v="reference"/>
    <s v="Unicode 16.0"/>
    <m/>
    <x v="2"/>
    <s v="reference"/>
    <s v="Unicode 15.1"/>
    <m/>
    <m/>
    <m/>
    <m/>
    <m/>
    <m/>
    <m/>
  </r>
  <r>
    <m/>
    <m/>
    <m/>
    <x v="8"/>
    <x v="2"/>
    <s v="reference"/>
    <s v="Unicode 16.0"/>
    <m/>
    <x v="3"/>
    <s v="reference"/>
    <s v="ISO/IEC 10646:2020 (Unicode 16.0)"/>
    <m/>
    <m/>
    <m/>
    <m/>
    <s v="partially equivalent"/>
    <s v="Character repertoire equivalent to ISO/IEC 10646:2020 with amendments 1-2"/>
    <m/>
  </r>
  <r>
    <m/>
    <m/>
    <m/>
    <x v="5"/>
    <x v="0"/>
    <s v="shortName"/>
    <s v="Unicode"/>
    <m/>
    <x v="2"/>
    <s v="reference"/>
    <s v="Unicode 17.0"/>
    <m/>
    <m/>
    <m/>
    <m/>
    <m/>
    <m/>
    <m/>
  </r>
  <r>
    <m/>
    <m/>
    <m/>
    <x v="6"/>
    <x v="2"/>
    <s v="reference"/>
    <s v="Unicode 17.0"/>
    <m/>
    <x v="3"/>
    <s v="reference"/>
    <s v="Unicode"/>
    <m/>
    <m/>
    <m/>
    <m/>
    <m/>
    <m/>
    <m/>
  </r>
  <r>
    <m/>
    <m/>
    <m/>
    <x v="7"/>
    <x v="2"/>
    <s v="reference"/>
    <s v="Unicode 17.0"/>
    <m/>
    <x v="2"/>
    <s v="reference"/>
    <s v="Unicode 16.0"/>
    <m/>
    <m/>
    <m/>
    <m/>
    <m/>
    <m/>
    <m/>
  </r>
  <r>
    <m/>
    <m/>
    <m/>
    <x v="9"/>
    <x v="3"/>
    <s v="reference"/>
    <s v="Unicode"/>
    <m/>
    <x v="4"/>
    <s v="shortName"/>
    <s v="UTF-32"/>
    <m/>
    <m/>
    <m/>
    <m/>
    <m/>
    <m/>
    <m/>
  </r>
  <r>
    <m/>
    <m/>
    <m/>
    <x v="9"/>
    <x v="3"/>
    <s v="reference"/>
    <s v="Unicode"/>
    <m/>
    <x v="4"/>
    <s v="shortName"/>
    <s v="UTF-32BE"/>
    <m/>
    <m/>
    <m/>
    <m/>
    <m/>
    <m/>
    <m/>
  </r>
  <r>
    <m/>
    <m/>
    <m/>
    <x v="9"/>
    <x v="3"/>
    <s v="reference"/>
    <s v="Unicode"/>
    <m/>
    <x v="4"/>
    <s v="shortName"/>
    <s v="UTF-32LE"/>
    <m/>
    <m/>
    <m/>
    <m/>
    <m/>
    <m/>
    <m/>
  </r>
  <r>
    <m/>
    <m/>
    <m/>
    <x v="9"/>
    <x v="3"/>
    <s v="reference"/>
    <s v="Unicode"/>
    <m/>
    <x v="4"/>
    <s v="shortName"/>
    <s v="UTF-16"/>
    <m/>
    <m/>
    <m/>
    <m/>
    <m/>
    <m/>
    <m/>
  </r>
  <r>
    <m/>
    <m/>
    <m/>
    <x v="9"/>
    <x v="3"/>
    <s v="reference"/>
    <s v="Unicode"/>
    <m/>
    <x v="4"/>
    <s v="shortName"/>
    <s v="UTF-16BE"/>
    <m/>
    <m/>
    <m/>
    <m/>
    <m/>
    <m/>
    <m/>
  </r>
  <r>
    <m/>
    <m/>
    <m/>
    <x v="9"/>
    <x v="3"/>
    <s v="reference"/>
    <s v="Unicode"/>
    <m/>
    <x v="4"/>
    <s v="shortName"/>
    <s v="UTF-16LE"/>
    <m/>
    <m/>
    <m/>
    <m/>
    <m/>
    <m/>
    <m/>
  </r>
  <r>
    <m/>
    <m/>
    <m/>
    <x v="9"/>
    <x v="3"/>
    <s v="reference"/>
    <s v="Unicode"/>
    <m/>
    <x v="4"/>
    <s v="shortName"/>
    <s v="UTF-8"/>
    <m/>
    <m/>
    <m/>
    <m/>
    <m/>
    <m/>
    <m/>
  </r>
  <r>
    <m/>
    <m/>
    <m/>
    <x v="5"/>
    <x v="0"/>
    <s v="shortName"/>
    <s v="JTC1 SC 2"/>
    <m/>
    <x v="2"/>
    <s v="reference"/>
    <s v="ISO/IEC 10646-1:1993"/>
    <m/>
    <m/>
    <m/>
    <m/>
    <m/>
    <m/>
    <m/>
  </r>
  <r>
    <m/>
    <m/>
    <m/>
    <x v="6"/>
    <x v="2"/>
    <s v="reference"/>
    <s v="ISO/IEC 10646-1:1993"/>
    <m/>
    <x v="3"/>
    <s v="reference"/>
    <s v="ISO/IEC 10646-1:1993 (as amended)"/>
    <m/>
    <m/>
    <m/>
    <m/>
    <m/>
    <m/>
    <m/>
  </r>
  <r>
    <m/>
    <m/>
    <m/>
    <x v="6"/>
    <x v="2"/>
    <s v="reference"/>
    <s v="ISO/IEC 10646-1:1993"/>
    <m/>
    <x v="3"/>
    <s v="reference"/>
    <s v="ISO/IEC 10646-1:1993 (Unicode 2.0)"/>
    <m/>
    <m/>
    <m/>
    <m/>
    <m/>
    <m/>
    <m/>
  </r>
  <r>
    <m/>
    <m/>
    <m/>
    <x v="8"/>
    <x v="2"/>
    <s v="reference"/>
    <s v="ISO/IEC 10646-1:1993"/>
    <m/>
    <x v="2"/>
    <s v="reference"/>
    <s v="Unicode 1.0.1"/>
    <m/>
    <m/>
    <m/>
    <m/>
    <s v="partially equivalent"/>
    <s v="Character repertoire superset of Unicode 1.0.1"/>
    <m/>
  </r>
  <r>
    <m/>
    <m/>
    <m/>
    <x v="8"/>
    <x v="2"/>
    <s v="reference"/>
    <s v="ISO/IEC 10646-1:1993"/>
    <m/>
    <x v="2"/>
    <s v="reference"/>
    <s v="Unicode 1.1"/>
    <m/>
    <m/>
    <m/>
    <m/>
    <s v="partially equivalent"/>
    <s v="Character repertoire equivalent to Unicode 1.1"/>
    <m/>
  </r>
  <r>
    <m/>
    <m/>
    <m/>
    <x v="6"/>
    <x v="3"/>
    <s v="reference"/>
    <s v="ISO/IEC 10646-1:1993 (as amended)"/>
    <m/>
    <x v="3"/>
    <s v="reference"/>
    <s v="ISO/IEC 10646"/>
    <m/>
    <m/>
    <m/>
    <m/>
    <m/>
    <m/>
    <m/>
  </r>
  <r>
    <m/>
    <m/>
    <m/>
    <x v="5"/>
    <x v="0"/>
    <s v="shortName"/>
    <s v="JTC1 SC 2"/>
    <m/>
    <x v="2"/>
    <s v="reference"/>
    <s v="ISO/IEC 10646-1:1993/Cor 1:1996"/>
    <m/>
    <m/>
    <m/>
    <m/>
    <m/>
    <m/>
    <m/>
  </r>
  <r>
    <m/>
    <m/>
    <m/>
    <x v="6"/>
    <x v="2"/>
    <s v="reference"/>
    <s v="ISO/IEC 10646-1:1993/Cor 1:1996"/>
    <m/>
    <x v="3"/>
    <s v="reference"/>
    <s v="ISO/IEC 10646-1:1993 (as amended)"/>
    <m/>
    <m/>
    <m/>
    <m/>
    <m/>
    <m/>
    <m/>
  </r>
  <r>
    <m/>
    <m/>
    <m/>
    <x v="6"/>
    <x v="2"/>
    <s v="reference"/>
    <s v="ISO/IEC 10646-1:1993/Cor 1:1996"/>
    <m/>
    <x v="3"/>
    <s v="reference"/>
    <s v="ISO/IEC 10646-1:1993 (Unicode 2.0)"/>
    <m/>
    <m/>
    <m/>
    <m/>
    <m/>
    <m/>
    <m/>
  </r>
  <r>
    <m/>
    <m/>
    <m/>
    <x v="10"/>
    <x v="2"/>
    <s v="reference"/>
    <s v="ISO/IEC 10646-1:1993/Cor 1:1996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Cor 2:1998"/>
    <m/>
    <m/>
    <m/>
    <m/>
    <m/>
    <m/>
    <m/>
  </r>
  <r>
    <m/>
    <m/>
    <m/>
    <x v="6"/>
    <x v="2"/>
    <s v="reference"/>
    <s v="ISO/IEC 10646-1:1993/Cor 2:1998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Cor 2:1998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1:1996"/>
    <m/>
    <m/>
    <m/>
    <m/>
    <m/>
    <m/>
    <m/>
  </r>
  <r>
    <m/>
    <m/>
    <m/>
    <x v="6"/>
    <x v="2"/>
    <s v="reference"/>
    <s v="ISO/IEC 10646-1:1993/Amd 1:1996"/>
    <m/>
    <x v="3"/>
    <s v="reference"/>
    <s v="ISO/IEC 10646-1:1993 (as amended)"/>
    <m/>
    <m/>
    <m/>
    <m/>
    <m/>
    <m/>
    <m/>
  </r>
  <r>
    <m/>
    <m/>
    <m/>
    <x v="6"/>
    <x v="2"/>
    <s v="reference"/>
    <s v="ISO/IEC 10646-1:1993/Amd 1:1996"/>
    <m/>
    <x v="3"/>
    <s v="reference"/>
    <s v="ISO/IEC 10646-1:1993 (Unicode 2.0)"/>
    <m/>
    <m/>
    <m/>
    <m/>
    <m/>
    <m/>
    <m/>
  </r>
  <r>
    <m/>
    <m/>
    <m/>
    <x v="10"/>
    <x v="2"/>
    <s v="reference"/>
    <s v="ISO/IEC 10646-1:1993/Amd 1:1996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2:1996"/>
    <m/>
    <m/>
    <m/>
    <m/>
    <m/>
    <m/>
    <m/>
  </r>
  <r>
    <m/>
    <m/>
    <m/>
    <x v="6"/>
    <x v="2"/>
    <s v="reference"/>
    <s v="ISO/IEC 10646-1:1993/Amd 2:1996"/>
    <m/>
    <x v="3"/>
    <s v="reference"/>
    <s v="ISO/IEC 10646-1:1993 (as amended)"/>
    <m/>
    <m/>
    <m/>
    <m/>
    <m/>
    <m/>
    <m/>
  </r>
  <r>
    <m/>
    <m/>
    <m/>
    <x v="6"/>
    <x v="2"/>
    <s v="reference"/>
    <s v="ISO/IEC 10646-1:1993/Amd 2:1996"/>
    <m/>
    <x v="3"/>
    <s v="reference"/>
    <s v="ISO/IEC 10646-1:1993 (Unicode 2.0)"/>
    <m/>
    <m/>
    <m/>
    <m/>
    <m/>
    <m/>
    <m/>
  </r>
  <r>
    <m/>
    <m/>
    <m/>
    <x v="10"/>
    <x v="2"/>
    <s v="reference"/>
    <s v="ISO/IEC 10646-1:1993/Amd 2:1996"/>
    <m/>
    <x v="2"/>
    <s v="reference"/>
    <s v="ISO/IEC 10646-1:1993"/>
    <m/>
    <m/>
    <m/>
    <m/>
    <m/>
    <m/>
    <m/>
  </r>
  <r>
    <m/>
    <m/>
    <m/>
    <x v="7"/>
    <x v="2"/>
    <s v="reference"/>
    <s v="ISO/IEC 10646-1:1993/Amd 2:1996"/>
    <m/>
    <x v="2"/>
    <s v="reference"/>
    <s v="X/Open FSS UTF"/>
    <m/>
    <m/>
    <m/>
    <m/>
    <m/>
    <m/>
    <m/>
  </r>
  <r>
    <m/>
    <m/>
    <m/>
    <x v="5"/>
    <x v="0"/>
    <s v="shortName"/>
    <s v="JTC1 SC 2"/>
    <m/>
    <x v="2"/>
    <s v="reference"/>
    <s v="ISO/IEC 10646-1:1993/Amd 3:1996"/>
    <m/>
    <m/>
    <m/>
    <m/>
    <m/>
    <m/>
    <m/>
  </r>
  <r>
    <m/>
    <m/>
    <m/>
    <x v="6"/>
    <x v="2"/>
    <s v="reference"/>
    <s v="ISO/IEC 10646-1:1993/Amd 3:1996"/>
    <m/>
    <x v="3"/>
    <s v="reference"/>
    <s v="ISO/IEC 10646-1:1993 (as amended)"/>
    <m/>
    <m/>
    <m/>
    <m/>
    <m/>
    <m/>
    <m/>
  </r>
  <r>
    <m/>
    <m/>
    <m/>
    <x v="6"/>
    <x v="2"/>
    <s v="reference"/>
    <s v="ISO/IEC 10646-1:1993/Amd 3:1996"/>
    <m/>
    <x v="3"/>
    <s v="reference"/>
    <s v="ISO/IEC 10646-1:1993 (Unicode 2.0)"/>
    <m/>
    <m/>
    <m/>
    <m/>
    <m/>
    <m/>
    <m/>
  </r>
  <r>
    <m/>
    <m/>
    <m/>
    <x v="10"/>
    <x v="2"/>
    <s v="reference"/>
    <s v="ISO/IEC 10646-1:1993/Amd 3:1996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4:1996"/>
    <m/>
    <m/>
    <m/>
    <m/>
    <m/>
    <m/>
    <m/>
  </r>
  <r>
    <m/>
    <m/>
    <m/>
    <x v="6"/>
    <x v="2"/>
    <s v="reference"/>
    <s v="ISO/IEC 10646-1:1993/Amd 4:1996"/>
    <m/>
    <x v="3"/>
    <s v="reference"/>
    <s v="ISO/IEC 10646-1:1993 (as amended)"/>
    <m/>
    <m/>
    <m/>
    <m/>
    <m/>
    <m/>
    <m/>
  </r>
  <r>
    <m/>
    <m/>
    <m/>
    <x v="6"/>
    <x v="2"/>
    <s v="reference"/>
    <s v="ISO/IEC 10646-1:1993/Amd 4:1996"/>
    <m/>
    <x v="3"/>
    <s v="reference"/>
    <s v="ISO/IEC 10646-1:1993 (Unicode 2.0)"/>
    <m/>
    <m/>
    <m/>
    <m/>
    <m/>
    <m/>
    <m/>
  </r>
  <r>
    <m/>
    <m/>
    <m/>
    <x v="10"/>
    <x v="2"/>
    <s v="reference"/>
    <s v="ISO/IEC 10646-1:1993/Amd 4:1996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5:1998"/>
    <m/>
    <m/>
    <m/>
    <m/>
    <m/>
    <m/>
    <m/>
  </r>
  <r>
    <m/>
    <m/>
    <m/>
    <x v="6"/>
    <x v="2"/>
    <s v="reference"/>
    <s v="ISO/IEC 10646-1:1993/Amd 5:1998"/>
    <m/>
    <x v="3"/>
    <s v="reference"/>
    <s v="ISO/IEC 10646-1:1993 (as amended)"/>
    <m/>
    <m/>
    <m/>
    <m/>
    <m/>
    <m/>
    <m/>
  </r>
  <r>
    <m/>
    <m/>
    <m/>
    <x v="6"/>
    <x v="2"/>
    <s v="reference"/>
    <s v="ISO/IEC 10646-1:1993/Amd 5:1998"/>
    <m/>
    <x v="3"/>
    <s v="reference"/>
    <s v="ISO/IEC 10646-1:1993 (Unicode 2.0)"/>
    <m/>
    <m/>
    <m/>
    <m/>
    <m/>
    <m/>
    <m/>
  </r>
  <r>
    <m/>
    <m/>
    <m/>
    <x v="10"/>
    <x v="2"/>
    <s v="reference"/>
    <s v="ISO/IEC 10646-1:1993/Amd 5:1998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6:1997"/>
    <m/>
    <m/>
    <m/>
    <m/>
    <m/>
    <m/>
    <m/>
  </r>
  <r>
    <m/>
    <m/>
    <m/>
    <x v="6"/>
    <x v="2"/>
    <s v="reference"/>
    <s v="ISO/IEC 10646-1:1993/Amd 6:1997"/>
    <m/>
    <x v="3"/>
    <s v="reference"/>
    <s v="ISO/IEC 10646-1:1993 (as amended)"/>
    <m/>
    <m/>
    <m/>
    <m/>
    <m/>
    <m/>
    <m/>
  </r>
  <r>
    <m/>
    <m/>
    <m/>
    <x v="6"/>
    <x v="2"/>
    <s v="reference"/>
    <s v="ISO/IEC 10646-1:1993/Amd 6:1997"/>
    <m/>
    <x v="3"/>
    <s v="reference"/>
    <s v="ISO/IEC 10646-1:1993 (Unicode 2.0)"/>
    <m/>
    <m/>
    <m/>
    <m/>
    <m/>
    <m/>
    <m/>
  </r>
  <r>
    <m/>
    <m/>
    <m/>
    <x v="10"/>
    <x v="2"/>
    <s v="reference"/>
    <s v="ISO/IEC 10646-1:1993/Amd 6:1997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7:1997"/>
    <m/>
    <m/>
    <m/>
    <m/>
    <m/>
    <m/>
    <m/>
  </r>
  <r>
    <m/>
    <m/>
    <m/>
    <x v="6"/>
    <x v="2"/>
    <s v="reference"/>
    <s v="ISO/IEC 10646-1:1993/Amd 7:1997"/>
    <m/>
    <x v="3"/>
    <s v="reference"/>
    <s v="ISO/IEC 10646-1:1993 (as amended)"/>
    <m/>
    <m/>
    <m/>
    <m/>
    <m/>
    <m/>
    <m/>
  </r>
  <r>
    <m/>
    <m/>
    <m/>
    <x v="6"/>
    <x v="2"/>
    <s v="reference"/>
    <s v="ISO/IEC 10646-1:1993/Amd 7:1997"/>
    <m/>
    <x v="3"/>
    <s v="reference"/>
    <s v="ISO/IEC 10646-1:1993 (Unicode 2.0)"/>
    <m/>
    <m/>
    <m/>
    <m/>
    <m/>
    <m/>
    <m/>
  </r>
  <r>
    <m/>
    <m/>
    <m/>
    <x v="10"/>
    <x v="2"/>
    <s v="reference"/>
    <s v="ISO/IEC 10646-1:1993/Amd 7:1997"/>
    <m/>
    <x v="2"/>
    <s v="reference"/>
    <s v="ISO/IEC 10646-1:1993"/>
    <m/>
    <m/>
    <m/>
    <m/>
    <m/>
    <m/>
    <m/>
  </r>
  <r>
    <m/>
    <m/>
    <m/>
    <x v="8"/>
    <x v="3"/>
    <s v="reference"/>
    <s v="ISO/IEC 10646-1:1993 (Unicode 2.0)"/>
    <m/>
    <x v="2"/>
    <s v="reference"/>
    <s v="Unicode 2.0"/>
    <m/>
    <m/>
    <m/>
    <m/>
    <s v="partially equivalent"/>
    <s v="Character repertoire equivalent to Unicode 2.0, additionally includes euro sign and object replacement character"/>
    <m/>
  </r>
  <r>
    <m/>
    <m/>
    <m/>
    <x v="5"/>
    <x v="0"/>
    <s v="shortName"/>
    <s v="JTC1 SC 2"/>
    <m/>
    <x v="2"/>
    <s v="reference"/>
    <s v="ISO/IEC 10646-1:1993/Amd 8:1997"/>
    <m/>
    <m/>
    <m/>
    <m/>
    <m/>
    <m/>
    <m/>
  </r>
  <r>
    <m/>
    <m/>
    <m/>
    <x v="6"/>
    <x v="2"/>
    <s v="reference"/>
    <s v="ISO/IEC 10646-1:1993/Amd 8:1997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8:1997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9:1997"/>
    <m/>
    <m/>
    <m/>
    <m/>
    <m/>
    <m/>
    <m/>
  </r>
  <r>
    <m/>
    <m/>
    <m/>
    <x v="6"/>
    <x v="2"/>
    <s v="reference"/>
    <s v="ISO/IEC 10646-1:1993/Amd 9:1997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9:1997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10:1998"/>
    <m/>
    <m/>
    <m/>
    <m/>
    <m/>
    <m/>
    <m/>
  </r>
  <r>
    <m/>
    <m/>
    <m/>
    <x v="6"/>
    <x v="2"/>
    <s v="reference"/>
    <s v="ISO/IEC 10646-1:1993/Amd 10:1998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10:1998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11:1998"/>
    <m/>
    <m/>
    <m/>
    <m/>
    <m/>
    <m/>
    <m/>
  </r>
  <r>
    <m/>
    <m/>
    <m/>
    <x v="6"/>
    <x v="2"/>
    <s v="reference"/>
    <s v="ISO/IEC 10646-1:1993/Amd 11:1998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11:1998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12:1998"/>
    <m/>
    <m/>
    <m/>
    <m/>
    <m/>
    <m/>
    <m/>
  </r>
  <r>
    <m/>
    <m/>
    <m/>
    <x v="6"/>
    <x v="2"/>
    <s v="reference"/>
    <s v="ISO/IEC 10646-1:1993/Amd 12:1998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12:1998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13:1998"/>
    <m/>
    <m/>
    <m/>
    <m/>
    <m/>
    <m/>
    <m/>
  </r>
  <r>
    <m/>
    <m/>
    <m/>
    <x v="6"/>
    <x v="2"/>
    <s v="reference"/>
    <s v="ISO/IEC 10646-1:1993/Amd 13:1998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13:1998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16:1998"/>
    <m/>
    <m/>
    <m/>
    <m/>
    <m/>
    <m/>
    <m/>
  </r>
  <r>
    <m/>
    <m/>
    <m/>
    <x v="6"/>
    <x v="2"/>
    <s v="reference"/>
    <s v="ISO/IEC 10646-1:1993/Amd 16:1998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16:1998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17:1999"/>
    <m/>
    <m/>
    <m/>
    <m/>
    <m/>
    <m/>
    <m/>
  </r>
  <r>
    <m/>
    <m/>
    <m/>
    <x v="6"/>
    <x v="2"/>
    <s v="reference"/>
    <s v="ISO/IEC 10646-1:1993/Amd 17:1999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17:1999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18:1999"/>
    <m/>
    <m/>
    <m/>
    <m/>
    <m/>
    <m/>
    <m/>
  </r>
  <r>
    <m/>
    <m/>
    <m/>
    <x v="6"/>
    <x v="2"/>
    <s v="reference"/>
    <s v="ISO/IEC 10646-1:1993/Amd 18:1999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18:1999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19:1998"/>
    <m/>
    <m/>
    <m/>
    <m/>
    <m/>
    <m/>
    <m/>
  </r>
  <r>
    <m/>
    <m/>
    <m/>
    <x v="6"/>
    <x v="2"/>
    <s v="reference"/>
    <s v="ISO/IEC 10646-1:1993/Amd 19:1998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19:1998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20:1998"/>
    <m/>
    <m/>
    <m/>
    <m/>
    <m/>
    <m/>
    <m/>
  </r>
  <r>
    <m/>
    <m/>
    <m/>
    <x v="6"/>
    <x v="2"/>
    <s v="reference"/>
    <s v="ISO/IEC 10646-1:1993/Amd 20:1998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20:1998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21:1999"/>
    <m/>
    <m/>
    <m/>
    <m/>
    <m/>
    <m/>
    <m/>
  </r>
  <r>
    <m/>
    <m/>
    <m/>
    <x v="6"/>
    <x v="2"/>
    <s v="reference"/>
    <s v="ISO/IEC 10646-1:1993/Amd 21:1999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21:1999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1993/Amd 23:1999"/>
    <m/>
    <m/>
    <m/>
    <m/>
    <m/>
    <m/>
    <m/>
  </r>
  <r>
    <m/>
    <m/>
    <m/>
    <x v="6"/>
    <x v="2"/>
    <s v="reference"/>
    <s v="ISO/IEC 10646-1:1993/Amd 23:1999"/>
    <m/>
    <x v="3"/>
    <s v="reference"/>
    <s v="ISO/IEC 10646-1:1993 (as amended)"/>
    <m/>
    <m/>
    <m/>
    <m/>
    <m/>
    <m/>
    <m/>
  </r>
  <r>
    <m/>
    <m/>
    <m/>
    <x v="10"/>
    <x v="2"/>
    <s v="reference"/>
    <s v="ISO/IEC 10646-1:1993/Amd 23:1999"/>
    <m/>
    <x v="2"/>
    <s v="reference"/>
    <s v="ISO/IEC 10646-1:1993"/>
    <m/>
    <m/>
    <m/>
    <m/>
    <m/>
    <m/>
    <m/>
  </r>
  <r>
    <m/>
    <m/>
    <m/>
    <x v="5"/>
    <x v="0"/>
    <s v="shortName"/>
    <s v="JTC1 SC 2"/>
    <m/>
    <x v="2"/>
    <s v="reference"/>
    <s v="ISO/IEC 10646-1:2000"/>
    <m/>
    <m/>
    <m/>
    <m/>
    <m/>
    <m/>
    <m/>
  </r>
  <r>
    <m/>
    <m/>
    <m/>
    <x v="6"/>
    <x v="2"/>
    <s v="reference"/>
    <s v="ISO/IEC 10646-1:2000"/>
    <m/>
    <x v="3"/>
    <s v="reference"/>
    <s v="ISO/IEC 10646-1:2000 (as amended)"/>
    <m/>
    <m/>
    <m/>
    <m/>
    <m/>
    <m/>
    <m/>
  </r>
  <r>
    <m/>
    <m/>
    <m/>
    <x v="6"/>
    <x v="2"/>
    <s v="reference"/>
    <s v="ISO/IEC 10646-1:2000"/>
    <m/>
    <x v="3"/>
    <s v="reference"/>
    <s v="ISO/IEC 10646:2000/2001 (Unicode 3.1)"/>
    <m/>
    <m/>
    <m/>
    <m/>
    <m/>
    <m/>
    <m/>
  </r>
  <r>
    <m/>
    <m/>
    <m/>
    <x v="6"/>
    <x v="2"/>
    <s v="reference"/>
    <s v="ISO/IEC 10646-1:2000"/>
    <m/>
    <x v="3"/>
    <s v="reference"/>
    <s v="ISO/IEC 10646:2000/2001 (Unicode 3.2)"/>
    <m/>
    <m/>
    <m/>
    <m/>
    <m/>
    <m/>
    <m/>
  </r>
  <r>
    <m/>
    <m/>
    <m/>
    <x v="8"/>
    <x v="2"/>
    <s v="reference"/>
    <s v="ISO/IEC 10646-1:2000"/>
    <m/>
    <x v="2"/>
    <s v="reference"/>
    <s v="Unicode 3.0"/>
    <m/>
    <m/>
    <m/>
    <m/>
    <s v="partially equivalent"/>
    <s v="Character repertoire equivalent to Unicode 3.0"/>
    <m/>
  </r>
  <r>
    <m/>
    <m/>
    <m/>
    <x v="6"/>
    <x v="3"/>
    <s v="reference"/>
    <s v="ISO/IEC 10646-1:2000 (as amended)"/>
    <m/>
    <x v="3"/>
    <s v="reference"/>
    <s v="ISO/IEC 10646"/>
    <m/>
    <m/>
    <m/>
    <m/>
    <m/>
    <m/>
    <m/>
  </r>
  <r>
    <m/>
    <m/>
    <m/>
    <x v="7"/>
    <x v="2"/>
    <s v="reference"/>
    <s v="ISO/IEC 10646-1:2000"/>
    <m/>
    <x v="3"/>
    <s v="reference"/>
    <s v="ISO/IEC 10646-1:1993 (as amended)"/>
    <m/>
    <m/>
    <m/>
    <m/>
    <m/>
    <m/>
    <m/>
  </r>
  <r>
    <m/>
    <m/>
    <m/>
    <x v="5"/>
    <x v="0"/>
    <s v="shortName"/>
    <s v="JTC1 SC 2"/>
    <m/>
    <x v="2"/>
    <s v="reference"/>
    <s v="ISO/IEC 10646-1:2000/Amd 1:2002"/>
    <m/>
    <m/>
    <m/>
    <m/>
    <m/>
    <m/>
    <m/>
  </r>
  <r>
    <m/>
    <m/>
    <m/>
    <x v="6"/>
    <x v="2"/>
    <s v="reference"/>
    <s v="ISO/IEC 10646-1:2000/Amd 1:2002"/>
    <m/>
    <x v="3"/>
    <s v="reference"/>
    <s v="ISO/IEC 10646-1:2000 (as amended)"/>
    <m/>
    <m/>
    <m/>
    <m/>
    <m/>
    <m/>
    <m/>
  </r>
  <r>
    <m/>
    <m/>
    <m/>
    <x v="6"/>
    <x v="2"/>
    <s v="reference"/>
    <s v="ISO/IEC 10646-1:2000/Amd 1:2002"/>
    <m/>
    <x v="3"/>
    <s v="reference"/>
    <s v="ISO/IEC 10646:2000/2001 (Unicode 3.2)"/>
    <m/>
    <m/>
    <m/>
    <m/>
    <m/>
    <m/>
    <m/>
  </r>
  <r>
    <m/>
    <m/>
    <m/>
    <x v="10"/>
    <x v="2"/>
    <s v="reference"/>
    <s v="ISO/IEC 10646-1:2000/Amd 1:2002"/>
    <m/>
    <x v="2"/>
    <s v="reference"/>
    <s v="ISO/IEC 10646-1:2000"/>
    <m/>
    <m/>
    <m/>
    <m/>
    <m/>
    <m/>
    <m/>
  </r>
  <r>
    <m/>
    <m/>
    <m/>
    <x v="5"/>
    <x v="0"/>
    <s v="shortName"/>
    <s v="JTC1 SC 2"/>
    <m/>
    <x v="2"/>
    <s v="reference"/>
    <s v="ISO/IEC 10646-2:2001"/>
    <m/>
    <m/>
    <m/>
    <m/>
    <m/>
    <m/>
    <m/>
  </r>
  <r>
    <m/>
    <m/>
    <m/>
    <x v="6"/>
    <x v="2"/>
    <s v="reference"/>
    <s v="ISO/IEC 10646-2:2001"/>
    <m/>
    <x v="3"/>
    <s v="reference"/>
    <s v="ISO/IEC 10646"/>
    <m/>
    <m/>
    <m/>
    <m/>
    <m/>
    <m/>
    <m/>
  </r>
  <r>
    <m/>
    <m/>
    <m/>
    <x v="6"/>
    <x v="2"/>
    <s v="reference"/>
    <s v="ISO/IEC 10646-2:2001"/>
    <m/>
    <x v="3"/>
    <s v="reference"/>
    <s v="ISO/IEC 10646:2000/2001 (Unicode 3.1)"/>
    <m/>
    <m/>
    <m/>
    <m/>
    <m/>
    <m/>
    <m/>
  </r>
  <r>
    <m/>
    <m/>
    <m/>
    <x v="6"/>
    <x v="2"/>
    <s v="reference"/>
    <s v="ISO/IEC 10646-2:2001"/>
    <m/>
    <x v="3"/>
    <s v="reference"/>
    <s v="ISO/IEC 10646:2000/2001 (Unicode 3.2)"/>
    <m/>
    <m/>
    <m/>
    <m/>
    <m/>
    <m/>
    <m/>
  </r>
  <r>
    <m/>
    <m/>
    <m/>
    <x v="11"/>
    <x v="2"/>
    <s v="reference"/>
    <s v="ISO/IEC 10646-2:2001"/>
    <m/>
    <x v="3"/>
    <s v="reference"/>
    <s v="ISO/IEC 10646-1:2000 (as amended)"/>
    <m/>
    <m/>
    <m/>
    <m/>
    <m/>
    <m/>
    <m/>
  </r>
  <r>
    <m/>
    <m/>
    <m/>
    <x v="8"/>
    <x v="3"/>
    <s v="reference"/>
    <s v="ISO/IEC 10646:2000/2001 (Unicode 3.1)"/>
    <m/>
    <x v="2"/>
    <s v="reference"/>
    <s v="Unicode 3.1"/>
    <m/>
    <m/>
    <m/>
    <m/>
    <s v="partially equivalent"/>
    <s v="Character repertoire equivalent to Unicode 3.1"/>
    <m/>
  </r>
  <r>
    <m/>
    <m/>
    <m/>
    <x v="8"/>
    <x v="3"/>
    <s v="reference"/>
    <s v="ISO/IEC 10646:2000/2001 (Unicode 3.2)"/>
    <m/>
    <x v="2"/>
    <s v="reference"/>
    <s v="Unicode 3.2"/>
    <m/>
    <m/>
    <m/>
    <m/>
    <s v="partially equivalent"/>
    <s v="Character repertoire equivalent to Unicode 3.2"/>
    <m/>
  </r>
  <r>
    <m/>
    <m/>
    <m/>
    <x v="5"/>
    <x v="0"/>
    <s v="shortName"/>
    <s v="JTC1 SC 2"/>
    <m/>
    <x v="2"/>
    <s v="reference"/>
    <s v="ISO/IEC 10646:2003"/>
    <m/>
    <m/>
    <m/>
    <m/>
    <m/>
    <m/>
    <m/>
  </r>
  <r>
    <m/>
    <m/>
    <m/>
    <x v="6"/>
    <x v="2"/>
    <s v="reference"/>
    <s v="ISO/IEC 10646:2003"/>
    <m/>
    <x v="3"/>
    <s v="reference"/>
    <s v="ISO/IEC 10646:2003 (as amended)"/>
    <m/>
    <m/>
    <m/>
    <m/>
    <m/>
    <m/>
    <m/>
  </r>
  <r>
    <m/>
    <m/>
    <m/>
    <x v="6"/>
    <x v="2"/>
    <s v="reference"/>
    <s v="ISO/IEC 10646:2003"/>
    <m/>
    <x v="3"/>
    <s v="reference"/>
    <s v="ISO/IEC 10646:2003 (Unicode 4.1)"/>
    <m/>
    <m/>
    <m/>
    <m/>
    <m/>
    <m/>
    <m/>
  </r>
  <r>
    <m/>
    <m/>
    <m/>
    <x v="6"/>
    <x v="2"/>
    <s v="reference"/>
    <s v="ISO/IEC 10646:2003"/>
    <m/>
    <x v="3"/>
    <s v="reference"/>
    <s v="ISO/IEC 10646:2003 (Unicode 5.0)"/>
    <m/>
    <m/>
    <m/>
    <m/>
    <m/>
    <m/>
    <m/>
  </r>
  <r>
    <m/>
    <m/>
    <m/>
    <x v="6"/>
    <x v="2"/>
    <s v="reference"/>
    <s v="ISO/IEC 10646:2003"/>
    <m/>
    <x v="3"/>
    <s v="reference"/>
    <s v="ISO/IEC 10646:2003 (Unicode 5.1)"/>
    <m/>
    <m/>
    <m/>
    <m/>
    <m/>
    <m/>
    <m/>
  </r>
  <r>
    <m/>
    <m/>
    <m/>
    <x v="6"/>
    <x v="2"/>
    <s v="reference"/>
    <s v="ISO/IEC 10646:2003"/>
    <m/>
    <x v="3"/>
    <s v="reference"/>
    <s v="ISO/IEC 10646:2003 (Unicode 5.2)"/>
    <m/>
    <m/>
    <m/>
    <m/>
    <m/>
    <m/>
    <m/>
  </r>
  <r>
    <m/>
    <m/>
    <m/>
    <x v="7"/>
    <x v="2"/>
    <s v="reference"/>
    <s v="ISO/IEC 10646:2003"/>
    <m/>
    <x v="3"/>
    <s v="reference"/>
    <s v="ISO/IEC 10646-1:2000 (as amended)"/>
    <m/>
    <m/>
    <m/>
    <m/>
    <m/>
    <m/>
    <m/>
  </r>
  <r>
    <m/>
    <m/>
    <m/>
    <x v="7"/>
    <x v="2"/>
    <s v="reference"/>
    <s v="ISO/IEC 10646:2003"/>
    <m/>
    <x v="2"/>
    <s v="reference"/>
    <s v="ISO/IEC 10646-2:2001"/>
    <m/>
    <m/>
    <m/>
    <m/>
    <m/>
    <m/>
    <m/>
  </r>
  <r>
    <m/>
    <m/>
    <m/>
    <x v="8"/>
    <x v="2"/>
    <s v="reference"/>
    <s v="ISO/IEC 10646:2003"/>
    <m/>
    <x v="2"/>
    <s v="reference"/>
    <s v="Unicode 4.0"/>
    <m/>
    <m/>
    <m/>
    <m/>
    <s v="partially equivalent"/>
    <s v="Character repertoire equivalent to Unicode 4.0"/>
    <m/>
  </r>
  <r>
    <m/>
    <m/>
    <m/>
    <x v="6"/>
    <x v="3"/>
    <s v="reference"/>
    <s v="ISO/IEC 10646:2003 (as amended)"/>
    <m/>
    <x v="3"/>
    <s v="reference"/>
    <s v="ISO/IEC 10646"/>
    <m/>
    <m/>
    <m/>
    <m/>
    <m/>
    <m/>
    <m/>
  </r>
  <r>
    <m/>
    <m/>
    <m/>
    <x v="5"/>
    <x v="0"/>
    <s v="shortName"/>
    <s v="JTC1 SC 2"/>
    <m/>
    <x v="2"/>
    <s v="reference"/>
    <s v="ISO/IEC 10646:2003/Amd 1:2005"/>
    <m/>
    <m/>
    <m/>
    <m/>
    <m/>
    <m/>
    <m/>
  </r>
  <r>
    <m/>
    <m/>
    <m/>
    <x v="6"/>
    <x v="2"/>
    <s v="reference"/>
    <s v="ISO/IEC 10646:2003/Amd 1:2005"/>
    <m/>
    <x v="3"/>
    <s v="reference"/>
    <s v="ISO/IEC 10646:2003 (as amended)"/>
    <m/>
    <m/>
    <m/>
    <m/>
    <m/>
    <m/>
    <m/>
  </r>
  <r>
    <m/>
    <m/>
    <m/>
    <x v="6"/>
    <x v="2"/>
    <s v="reference"/>
    <s v="ISO/IEC 10646:2003/Amd 1:2005"/>
    <m/>
    <x v="3"/>
    <s v="reference"/>
    <s v="ISO/IEC 10646:2003 (Unicode 4.1)"/>
    <m/>
    <m/>
    <m/>
    <m/>
    <m/>
    <m/>
    <m/>
  </r>
  <r>
    <m/>
    <m/>
    <m/>
    <x v="6"/>
    <x v="2"/>
    <s v="reference"/>
    <s v="ISO/IEC 10646:2003/Amd 1:2005"/>
    <m/>
    <x v="3"/>
    <s v="reference"/>
    <s v="ISO/IEC 10646:2003 (Unicode 5.0)"/>
    <m/>
    <m/>
    <m/>
    <m/>
    <m/>
    <m/>
    <m/>
  </r>
  <r>
    <m/>
    <m/>
    <m/>
    <x v="6"/>
    <x v="2"/>
    <s v="reference"/>
    <s v="ISO/IEC 10646:2003/Amd 1:2005"/>
    <m/>
    <x v="3"/>
    <s v="reference"/>
    <s v="ISO/IEC 10646:2003 (Unicode 5.1)"/>
    <m/>
    <m/>
    <m/>
    <m/>
    <m/>
    <m/>
    <m/>
  </r>
  <r>
    <m/>
    <m/>
    <m/>
    <x v="6"/>
    <x v="2"/>
    <s v="reference"/>
    <s v="ISO/IEC 10646:2003/Amd 1:2005"/>
    <m/>
    <x v="3"/>
    <s v="reference"/>
    <s v="ISO/IEC 10646:2003 (Unicode 5.2)"/>
    <m/>
    <m/>
    <m/>
    <m/>
    <m/>
    <m/>
    <m/>
  </r>
  <r>
    <m/>
    <m/>
    <m/>
    <x v="10"/>
    <x v="2"/>
    <s v="reference"/>
    <s v="ISO/IEC 10646:2003/Amd 1:2005"/>
    <m/>
    <x v="2"/>
    <s v="reference"/>
    <s v="ISO/IEC 10646:2003"/>
    <m/>
    <m/>
    <m/>
    <m/>
    <m/>
    <m/>
    <m/>
  </r>
  <r>
    <m/>
    <m/>
    <m/>
    <x v="8"/>
    <x v="3"/>
    <s v="reference"/>
    <s v="ISO/IEC 10646:2003 (Unicode 4.1)"/>
    <m/>
    <x v="2"/>
    <s v="reference"/>
    <s v="Unicode 4.1"/>
    <m/>
    <m/>
    <m/>
    <m/>
    <s v="partially equivalent"/>
    <s v="Character repertoire equivalent to Unicode 4.1"/>
    <m/>
  </r>
  <r>
    <m/>
    <m/>
    <m/>
    <x v="5"/>
    <x v="0"/>
    <s v="shortName"/>
    <s v="JTC1 SC 2"/>
    <m/>
    <x v="2"/>
    <s v="reference"/>
    <s v="ISO/IEC 10646:2003/Amd 2:2006"/>
    <m/>
    <m/>
    <m/>
    <m/>
    <m/>
    <m/>
    <m/>
  </r>
  <r>
    <m/>
    <m/>
    <m/>
    <x v="6"/>
    <x v="2"/>
    <s v="reference"/>
    <s v="ISO/IEC 10646:2003/Amd 2:2006"/>
    <m/>
    <x v="3"/>
    <s v="reference"/>
    <s v="ISO/IEC 10646:2003 (as amended)"/>
    <m/>
    <m/>
    <m/>
    <m/>
    <m/>
    <m/>
    <m/>
  </r>
  <r>
    <m/>
    <m/>
    <m/>
    <x v="6"/>
    <x v="2"/>
    <s v="reference"/>
    <s v="ISO/IEC 10646:2003/Amd 2:2006"/>
    <m/>
    <x v="3"/>
    <s v="reference"/>
    <s v="ISO/IEC 10646:2003 (Unicode 5.0)"/>
    <m/>
    <m/>
    <m/>
    <m/>
    <m/>
    <m/>
    <m/>
  </r>
  <r>
    <m/>
    <m/>
    <m/>
    <x v="6"/>
    <x v="2"/>
    <s v="reference"/>
    <s v="ISO/IEC 10646:2003/Amd 2:2006"/>
    <m/>
    <x v="3"/>
    <s v="reference"/>
    <s v="ISO/IEC 10646:2003 (Unicode 5.1)"/>
    <m/>
    <m/>
    <m/>
    <m/>
    <m/>
    <m/>
    <m/>
  </r>
  <r>
    <m/>
    <m/>
    <m/>
    <x v="6"/>
    <x v="2"/>
    <s v="reference"/>
    <s v="ISO/IEC 10646:2003/Amd 2:2006"/>
    <m/>
    <x v="3"/>
    <s v="reference"/>
    <s v="ISO/IEC 10646:2003 (Unicode 5.2)"/>
    <m/>
    <m/>
    <m/>
    <m/>
    <m/>
    <m/>
    <m/>
  </r>
  <r>
    <m/>
    <m/>
    <m/>
    <x v="10"/>
    <x v="2"/>
    <s v="reference"/>
    <s v="ISO/IEC 10646:2003/Amd 2:2006"/>
    <m/>
    <x v="2"/>
    <s v="reference"/>
    <s v="ISO/IEC 10646:2003"/>
    <m/>
    <m/>
    <m/>
    <m/>
    <m/>
    <m/>
    <m/>
  </r>
  <r>
    <m/>
    <m/>
    <m/>
    <x v="8"/>
    <x v="3"/>
    <s v="reference"/>
    <s v="ISO/IEC 10646:2003 (Unicode 5.0)"/>
    <m/>
    <x v="2"/>
    <s v="reference"/>
    <s v="Unicode 5.0"/>
    <m/>
    <m/>
    <m/>
    <m/>
    <s v="partially equivalent"/>
    <s v="Character repertoire, with Sindhi additions, equivalent to Unicode 5.0"/>
    <m/>
  </r>
  <r>
    <m/>
    <m/>
    <m/>
    <x v="5"/>
    <x v="0"/>
    <s v="shortName"/>
    <s v="JTC1 SC 2"/>
    <m/>
    <x v="2"/>
    <s v="reference"/>
    <s v="ISO/IEC 10646:2003/Amd 3:2008"/>
    <m/>
    <m/>
    <m/>
    <m/>
    <m/>
    <m/>
    <m/>
  </r>
  <r>
    <m/>
    <m/>
    <m/>
    <x v="6"/>
    <x v="2"/>
    <s v="reference"/>
    <s v="ISO/IEC 10646:2003/Amd 3:2008"/>
    <m/>
    <x v="3"/>
    <s v="reference"/>
    <s v="ISO/IEC 10646:2003 (as amended)"/>
    <m/>
    <m/>
    <m/>
    <m/>
    <m/>
    <m/>
    <m/>
  </r>
  <r>
    <m/>
    <m/>
    <m/>
    <x v="6"/>
    <x v="2"/>
    <s v="reference"/>
    <s v="ISO/IEC 10646:2003/Amd 3:2008"/>
    <m/>
    <x v="3"/>
    <s v="reference"/>
    <s v="ISO/IEC 10646:2003 (Unicode 5.1)"/>
    <m/>
    <m/>
    <m/>
    <m/>
    <m/>
    <m/>
    <m/>
  </r>
  <r>
    <m/>
    <m/>
    <m/>
    <x v="6"/>
    <x v="2"/>
    <s v="reference"/>
    <s v="ISO/IEC 10646:2003/Amd 3:2008"/>
    <m/>
    <x v="3"/>
    <s v="reference"/>
    <s v="ISO/IEC 10646:2003 (Unicode 5.2)"/>
    <m/>
    <m/>
    <m/>
    <m/>
    <m/>
    <m/>
    <m/>
  </r>
  <r>
    <m/>
    <m/>
    <m/>
    <x v="10"/>
    <x v="2"/>
    <s v="reference"/>
    <s v="ISO/IEC 10646:2003/Amd 3:2008"/>
    <m/>
    <x v="2"/>
    <s v="reference"/>
    <s v="ISO/IEC 10646:2003"/>
    <m/>
    <m/>
    <m/>
    <m/>
    <m/>
    <m/>
    <m/>
  </r>
  <r>
    <m/>
    <m/>
    <m/>
    <x v="5"/>
    <x v="0"/>
    <s v="shortName"/>
    <s v="JTC1 SC 2"/>
    <m/>
    <x v="2"/>
    <s v="reference"/>
    <s v="ISO/IEC 10646:2003/Amd 4:2008"/>
    <m/>
    <m/>
    <m/>
    <m/>
    <m/>
    <m/>
    <m/>
  </r>
  <r>
    <m/>
    <m/>
    <m/>
    <x v="6"/>
    <x v="2"/>
    <s v="reference"/>
    <s v="ISO/IEC 10646:2003/Amd 4:2008"/>
    <m/>
    <x v="3"/>
    <s v="reference"/>
    <s v="ISO/IEC 10646:2003 (as amended)"/>
    <m/>
    <m/>
    <m/>
    <m/>
    <m/>
    <m/>
    <m/>
  </r>
  <r>
    <m/>
    <m/>
    <m/>
    <x v="6"/>
    <x v="2"/>
    <s v="reference"/>
    <s v="ISO/IEC 10646:2003/Amd 4:2008"/>
    <m/>
    <x v="3"/>
    <s v="reference"/>
    <s v="ISO/IEC 10646:2003 (Unicode 5.1)"/>
    <m/>
    <m/>
    <m/>
    <m/>
    <m/>
    <m/>
    <m/>
  </r>
  <r>
    <m/>
    <m/>
    <m/>
    <x v="6"/>
    <x v="2"/>
    <s v="reference"/>
    <s v="ISO/IEC 10646:2003/Amd 4:2008"/>
    <m/>
    <x v="3"/>
    <s v="reference"/>
    <s v="ISO/IEC 10646:2003 (Unicode 5.2)"/>
    <m/>
    <m/>
    <m/>
    <m/>
    <m/>
    <m/>
    <m/>
  </r>
  <r>
    <m/>
    <m/>
    <m/>
    <x v="10"/>
    <x v="2"/>
    <s v="reference"/>
    <s v="ISO/IEC 10646:2003/Amd 4:2008"/>
    <m/>
    <x v="2"/>
    <s v="reference"/>
    <s v="ISO/IEC 10646:2003"/>
    <m/>
    <m/>
    <m/>
    <m/>
    <m/>
    <m/>
    <m/>
  </r>
  <r>
    <m/>
    <m/>
    <m/>
    <x v="8"/>
    <x v="3"/>
    <s v="reference"/>
    <s v="ISO/IEC 10646:2003 (Unicode 5.1)"/>
    <m/>
    <x v="2"/>
    <s v="reference"/>
    <s v="Unicode 5.1"/>
    <m/>
    <m/>
    <m/>
    <m/>
    <s v="partially equivalent"/>
    <s v="Character repertoire equivalent to Unicode 5.1"/>
    <m/>
  </r>
  <r>
    <m/>
    <m/>
    <m/>
    <x v="5"/>
    <x v="0"/>
    <s v="shortName"/>
    <s v="JTC1 SC 2"/>
    <m/>
    <x v="2"/>
    <s v="reference"/>
    <s v="ISO/IEC 10646:2003/Amd 5:2008"/>
    <m/>
    <m/>
    <m/>
    <m/>
    <m/>
    <m/>
    <m/>
  </r>
  <r>
    <m/>
    <m/>
    <m/>
    <x v="6"/>
    <x v="2"/>
    <s v="reference"/>
    <s v="ISO/IEC 10646:2003/Amd 5:2008"/>
    <m/>
    <x v="3"/>
    <s v="reference"/>
    <s v="ISO/IEC 10646:2003 (as amended)"/>
    <m/>
    <m/>
    <m/>
    <m/>
    <m/>
    <m/>
    <m/>
  </r>
  <r>
    <m/>
    <m/>
    <m/>
    <x v="6"/>
    <x v="2"/>
    <s v="reference"/>
    <s v="ISO/IEC 10646:2003/Amd 5:2008"/>
    <m/>
    <x v="3"/>
    <s v="reference"/>
    <s v="ISO/IEC 10646:2003 (Unicode 5.2)"/>
    <m/>
    <m/>
    <m/>
    <m/>
    <m/>
    <m/>
    <m/>
  </r>
  <r>
    <m/>
    <m/>
    <m/>
    <x v="10"/>
    <x v="2"/>
    <s v="reference"/>
    <s v="ISO/IEC 10646:2003/Amd 5:2008"/>
    <m/>
    <x v="2"/>
    <s v="reference"/>
    <s v="ISO/IEC 10646:2003"/>
    <m/>
    <m/>
    <m/>
    <m/>
    <m/>
    <m/>
    <m/>
  </r>
  <r>
    <m/>
    <m/>
    <m/>
    <x v="5"/>
    <x v="0"/>
    <s v="shortName"/>
    <s v="JTC1 SC 2"/>
    <m/>
    <x v="2"/>
    <s v="reference"/>
    <s v="ISO/IEC 10646:2003/Amd 6:2009"/>
    <m/>
    <m/>
    <m/>
    <m/>
    <m/>
    <m/>
    <m/>
  </r>
  <r>
    <m/>
    <m/>
    <m/>
    <x v="6"/>
    <x v="2"/>
    <s v="reference"/>
    <s v="ISO/IEC 10646:2003/Amd 6:2009"/>
    <m/>
    <x v="3"/>
    <s v="reference"/>
    <s v="ISO/IEC 10646:2003 (as amended)"/>
    <m/>
    <m/>
    <m/>
    <m/>
    <m/>
    <m/>
    <m/>
  </r>
  <r>
    <m/>
    <m/>
    <m/>
    <x v="6"/>
    <x v="2"/>
    <s v="reference"/>
    <s v="ISO/IEC 10646:2003/Amd 6:2009"/>
    <m/>
    <x v="3"/>
    <s v="reference"/>
    <s v="ISO/IEC 10646:2003 (Unicode 5.2)"/>
    <m/>
    <m/>
    <m/>
    <m/>
    <m/>
    <m/>
    <m/>
  </r>
  <r>
    <m/>
    <m/>
    <m/>
    <x v="10"/>
    <x v="2"/>
    <s v="reference"/>
    <s v="ISO/IEC 10646:2003/Amd 6:2009"/>
    <m/>
    <x v="2"/>
    <s v="reference"/>
    <s v="ISO/IEC 10646:2003"/>
    <m/>
    <m/>
    <m/>
    <m/>
    <m/>
    <m/>
    <m/>
  </r>
  <r>
    <m/>
    <m/>
    <m/>
    <x v="8"/>
    <x v="3"/>
    <s v="reference"/>
    <s v="ISO/IEC 10646:2003 (Unicode 5.2)"/>
    <m/>
    <x v="2"/>
    <s v="reference"/>
    <s v="Unicode 5.2"/>
    <m/>
    <m/>
    <m/>
    <m/>
    <s v="partially equivalent"/>
    <s v="Character repertoire equivalent to Unicode 5.2"/>
    <m/>
  </r>
  <r>
    <m/>
    <m/>
    <m/>
    <x v="5"/>
    <x v="0"/>
    <s v="shortName"/>
    <s v="JTC1 SC 2"/>
    <m/>
    <x v="2"/>
    <s v="reference"/>
    <s v="ISO/IEC 10646:2003/Amd 7:2010"/>
    <m/>
    <m/>
    <m/>
    <m/>
    <m/>
    <m/>
    <m/>
  </r>
  <r>
    <m/>
    <m/>
    <m/>
    <x v="6"/>
    <x v="2"/>
    <s v="reference"/>
    <s v="ISO/IEC 10646:2003/Amd 7:2010"/>
    <m/>
    <x v="3"/>
    <s v="reference"/>
    <s v="ISO/IEC 10646:2003 (as amended)"/>
    <m/>
    <m/>
    <m/>
    <m/>
    <m/>
    <m/>
    <m/>
  </r>
  <r>
    <m/>
    <m/>
    <m/>
    <x v="10"/>
    <x v="2"/>
    <s v="reference"/>
    <s v="ISO/IEC 10646:2003/Amd 7:2010"/>
    <m/>
    <x v="2"/>
    <s v="reference"/>
    <s v="ISO/IEC 10646:2003"/>
    <m/>
    <m/>
    <m/>
    <m/>
    <m/>
    <m/>
    <m/>
  </r>
  <r>
    <m/>
    <m/>
    <m/>
    <x v="5"/>
    <x v="0"/>
    <s v="shortName"/>
    <s v="JTC1 SC 2"/>
    <m/>
    <x v="2"/>
    <s v="reference"/>
    <s v="ISO/IEC 10646:2011"/>
    <m/>
    <m/>
    <m/>
    <m/>
    <m/>
    <m/>
    <m/>
  </r>
  <r>
    <m/>
    <m/>
    <m/>
    <x v="6"/>
    <x v="2"/>
    <s v="reference"/>
    <s v="ISO/IEC 10646:2011"/>
    <m/>
    <x v="3"/>
    <s v="reference"/>
    <s v="ISO/IEC 10646"/>
    <m/>
    <m/>
    <m/>
    <m/>
    <m/>
    <m/>
    <m/>
  </r>
  <r>
    <m/>
    <m/>
    <m/>
    <x v="7"/>
    <x v="2"/>
    <s v="reference"/>
    <s v="ISO/IEC 10646:2011"/>
    <m/>
    <x v="3"/>
    <s v="reference"/>
    <s v="ISO/IEC 10646:2003 (as amended)"/>
    <m/>
    <m/>
    <m/>
    <m/>
    <m/>
    <m/>
    <m/>
  </r>
  <r>
    <m/>
    <m/>
    <m/>
    <x v="8"/>
    <x v="2"/>
    <s v="reference"/>
    <s v="ISO/IEC 10646:2011"/>
    <m/>
    <x v="2"/>
    <s v="reference"/>
    <s v="Unicode 6.0"/>
    <m/>
    <m/>
    <m/>
    <m/>
    <s v="partially equivalent"/>
    <s v="Character repertoire, with Indian rupee sign, equivalent to Unicode 6.0"/>
    <m/>
  </r>
  <r>
    <m/>
    <m/>
    <m/>
    <x v="5"/>
    <x v="0"/>
    <s v="shortName"/>
    <s v="JTC1 SC 2"/>
    <m/>
    <x v="2"/>
    <s v="reference"/>
    <s v="ISO/IEC 10646:2012"/>
    <m/>
    <m/>
    <m/>
    <m/>
    <m/>
    <m/>
    <m/>
  </r>
  <r>
    <m/>
    <m/>
    <m/>
    <x v="6"/>
    <x v="2"/>
    <s v="reference"/>
    <s v="ISO/IEC 10646:2012"/>
    <m/>
    <x v="3"/>
    <s v="reference"/>
    <s v="ISO/IEC 10646:2012 (as amended)"/>
    <m/>
    <m/>
    <m/>
    <m/>
    <m/>
    <m/>
    <m/>
  </r>
  <r>
    <m/>
    <m/>
    <m/>
    <x v="7"/>
    <x v="2"/>
    <s v="reference"/>
    <s v="ISO/IEC 10646:2012"/>
    <m/>
    <x v="2"/>
    <s v="reference"/>
    <s v="ISO/IEC 10646:2011"/>
    <m/>
    <m/>
    <m/>
    <m/>
    <m/>
    <m/>
    <m/>
  </r>
  <r>
    <m/>
    <m/>
    <m/>
    <x v="8"/>
    <x v="2"/>
    <s v="reference"/>
    <s v="ISO/IEC 10646:2012"/>
    <m/>
    <x v="2"/>
    <s v="reference"/>
    <s v="Unicode 6.1"/>
    <m/>
    <m/>
    <m/>
    <m/>
    <s v="partially equivalent"/>
    <s v="Character repertoire equivalent to Unicode 6.1"/>
    <m/>
  </r>
  <r>
    <m/>
    <m/>
    <m/>
    <x v="6"/>
    <x v="3"/>
    <s v="reference"/>
    <s v="ISO/IEC 10646:2012 (as amended)"/>
    <m/>
    <x v="3"/>
    <s v="reference"/>
    <s v="ISO/IEC 10646"/>
    <m/>
    <m/>
    <m/>
    <m/>
    <m/>
    <m/>
    <m/>
  </r>
  <r>
    <m/>
    <m/>
    <m/>
    <x v="5"/>
    <x v="0"/>
    <s v="shortName"/>
    <s v="JTC1 SC 2"/>
    <m/>
    <x v="2"/>
    <s v="reference"/>
    <s v="ISO/IEC 10646:2012/Amd 1:2013"/>
    <m/>
    <m/>
    <m/>
    <m/>
    <m/>
    <m/>
    <m/>
  </r>
  <r>
    <m/>
    <m/>
    <m/>
    <x v="6"/>
    <x v="2"/>
    <s v="reference"/>
    <s v="ISO/IEC 10646:2012/Amd 1:2013"/>
    <m/>
    <x v="3"/>
    <s v="reference"/>
    <s v="ISO/IEC 10646:2012 (as amended)"/>
    <m/>
    <m/>
    <m/>
    <m/>
    <m/>
    <m/>
    <m/>
  </r>
  <r>
    <m/>
    <m/>
    <m/>
    <x v="10"/>
    <x v="2"/>
    <s v="reference"/>
    <s v="ISO/IEC 10646:2012/Amd 1:2013"/>
    <m/>
    <x v="2"/>
    <s v="reference"/>
    <s v="ISO/IEC 10646:2012"/>
    <m/>
    <m/>
    <m/>
    <m/>
    <m/>
    <m/>
    <m/>
  </r>
  <r>
    <m/>
    <m/>
    <m/>
    <x v="5"/>
    <x v="0"/>
    <s v="shortName"/>
    <s v="JTC1 SC 2"/>
    <m/>
    <x v="2"/>
    <s v="reference"/>
    <s v="ISO/IEC 10646:2014"/>
    <m/>
    <m/>
    <m/>
    <m/>
    <m/>
    <m/>
    <m/>
  </r>
  <r>
    <m/>
    <m/>
    <m/>
    <x v="6"/>
    <x v="2"/>
    <s v="reference"/>
    <s v="ISO/IEC 10646:2014"/>
    <m/>
    <x v="3"/>
    <s v="reference"/>
    <s v="ISO/IEC 10646:2014 (as amended)"/>
    <m/>
    <m/>
    <m/>
    <m/>
    <m/>
    <m/>
    <m/>
  </r>
  <r>
    <m/>
    <m/>
    <m/>
    <x v="6"/>
    <x v="2"/>
    <s v="reference"/>
    <s v="ISO/IEC 10646:2014"/>
    <m/>
    <x v="3"/>
    <s v="reference"/>
    <s v="ISO/IEC 10646:2014 (Unicode 8.0)"/>
    <m/>
    <m/>
    <m/>
    <m/>
    <m/>
    <m/>
    <m/>
  </r>
  <r>
    <m/>
    <m/>
    <m/>
    <x v="6"/>
    <x v="2"/>
    <s v="reference"/>
    <s v="ISO/IEC 10646:2014"/>
    <m/>
    <x v="3"/>
    <s v="reference"/>
    <s v="ISO/IEC 10646:2014 (Unicode 9.0)"/>
    <m/>
    <m/>
    <m/>
    <m/>
    <m/>
    <m/>
    <m/>
  </r>
  <r>
    <m/>
    <m/>
    <m/>
    <x v="8"/>
    <x v="2"/>
    <s v="reference"/>
    <s v="ISO/IEC 10646:2014"/>
    <m/>
    <x v="2"/>
    <s v="reference"/>
    <s v="Unicode 7.0"/>
    <m/>
    <m/>
    <m/>
    <m/>
    <s v="partially equivalent"/>
    <s v="Character repertoire equivalent to Unicode 7.0"/>
    <m/>
  </r>
  <r>
    <m/>
    <m/>
    <m/>
    <x v="7"/>
    <x v="2"/>
    <s v="reference"/>
    <s v="ISO/IEC 10646:2014"/>
    <m/>
    <x v="3"/>
    <s v="reference"/>
    <s v="ISO/IEC 10646:2012 (as amended)"/>
    <m/>
    <m/>
    <m/>
    <m/>
    <m/>
    <m/>
    <m/>
  </r>
  <r>
    <m/>
    <m/>
    <m/>
    <x v="6"/>
    <x v="3"/>
    <s v="reference"/>
    <s v="ISO/IEC 10646:2014 (as amended)"/>
    <m/>
    <x v="3"/>
    <s v="reference"/>
    <s v="ISO/IEC 10646"/>
    <m/>
    <m/>
    <m/>
    <m/>
    <m/>
    <m/>
    <m/>
  </r>
  <r>
    <m/>
    <m/>
    <m/>
    <x v="5"/>
    <x v="0"/>
    <s v="shortName"/>
    <s v="JTC1 SC 2"/>
    <m/>
    <x v="2"/>
    <s v="reference"/>
    <s v="ISO/IEC 10646:2014/Amd 1:2015"/>
    <m/>
    <m/>
    <m/>
    <m/>
    <m/>
    <m/>
    <m/>
  </r>
  <r>
    <m/>
    <m/>
    <m/>
    <x v="6"/>
    <x v="2"/>
    <s v="reference"/>
    <s v="ISO/IEC 10646:2014/Amd 1:2015"/>
    <m/>
    <x v="3"/>
    <s v="reference"/>
    <s v="ISO/IEC 10646:2014 (as amended)"/>
    <m/>
    <m/>
    <m/>
    <m/>
    <m/>
    <m/>
    <m/>
  </r>
  <r>
    <m/>
    <m/>
    <m/>
    <x v="6"/>
    <x v="2"/>
    <s v="reference"/>
    <s v="ISO/IEC 10646:2014/Amd 1:2015"/>
    <m/>
    <x v="3"/>
    <s v="reference"/>
    <s v="ISO/IEC 10646:2014 (Unicode 8.0)"/>
    <m/>
    <m/>
    <m/>
    <m/>
    <m/>
    <m/>
    <m/>
  </r>
  <r>
    <m/>
    <m/>
    <m/>
    <x v="6"/>
    <x v="2"/>
    <s v="reference"/>
    <s v="ISO/IEC 10646:2014/Amd 1:2015"/>
    <m/>
    <x v="3"/>
    <s v="reference"/>
    <s v="ISO/IEC 10646:2014 (Unicode 9.0)"/>
    <m/>
    <m/>
    <m/>
    <m/>
    <m/>
    <m/>
    <m/>
  </r>
  <r>
    <m/>
    <m/>
    <m/>
    <x v="10"/>
    <x v="2"/>
    <s v="reference"/>
    <s v="ISO/IEC 10646:2014/Amd 1:2015"/>
    <m/>
    <x v="2"/>
    <s v="reference"/>
    <s v="ISO/IEC 10646:2014"/>
    <m/>
    <m/>
    <m/>
    <m/>
    <m/>
    <m/>
    <m/>
  </r>
  <r>
    <m/>
    <m/>
    <m/>
    <x v="8"/>
    <x v="3"/>
    <s v="reference"/>
    <s v="ISO/IEC 10646:2014 (Unicode 8.0)"/>
    <m/>
    <x v="2"/>
    <s v="reference"/>
    <s v="Unicode 8.0"/>
    <m/>
    <m/>
    <m/>
    <m/>
    <s v="partially equivalent"/>
    <s v="Character repertoire, plus 51 additional characters, equivalent to Unicode 8.0"/>
    <m/>
  </r>
  <r>
    <m/>
    <m/>
    <m/>
    <x v="5"/>
    <x v="0"/>
    <s v="shortName"/>
    <s v="JTC1 SC 2"/>
    <m/>
    <x v="2"/>
    <s v="reference"/>
    <s v="ISO/IEC 10646:2014/Amd 2:2016"/>
    <m/>
    <m/>
    <m/>
    <m/>
    <m/>
    <m/>
    <m/>
  </r>
  <r>
    <m/>
    <m/>
    <m/>
    <x v="6"/>
    <x v="2"/>
    <s v="reference"/>
    <s v="ISO/IEC 10646:2014/Amd 2:2016"/>
    <m/>
    <x v="3"/>
    <s v="reference"/>
    <s v="ISO/IEC 10646:2014 (as amended)"/>
    <m/>
    <m/>
    <m/>
    <m/>
    <m/>
    <m/>
    <m/>
  </r>
  <r>
    <m/>
    <m/>
    <m/>
    <x v="6"/>
    <x v="2"/>
    <s v="reference"/>
    <s v="ISO/IEC 10646:2014/Amd 2:2016"/>
    <m/>
    <x v="3"/>
    <s v="reference"/>
    <s v="ISO/IEC 10646:2014 (Unicode 9.0)"/>
    <m/>
    <m/>
    <m/>
    <m/>
    <m/>
    <m/>
    <m/>
  </r>
  <r>
    <m/>
    <m/>
    <m/>
    <x v="10"/>
    <x v="2"/>
    <s v="reference"/>
    <s v="ISO/IEC 10646:2014/Amd 2:2016"/>
    <m/>
    <x v="2"/>
    <s v="reference"/>
    <s v="ISO/IEC 10646:2014"/>
    <m/>
    <m/>
    <m/>
    <m/>
    <m/>
    <m/>
    <m/>
  </r>
  <r>
    <m/>
    <m/>
    <m/>
    <x v="8"/>
    <x v="3"/>
    <s v="reference"/>
    <s v="ISO/IEC 10646:2014 (Unicode 9.0)"/>
    <m/>
    <x v="2"/>
    <s v="reference"/>
    <s v="Unicode 9.0"/>
    <m/>
    <m/>
    <m/>
    <m/>
    <s v="partially equivalent"/>
    <s v="Character repertoire, plus 273 additional characters, equivalent to Unicode 9.0"/>
    <m/>
  </r>
  <r>
    <m/>
    <m/>
    <m/>
    <x v="5"/>
    <x v="0"/>
    <s v="shortName"/>
    <s v="JTC1 SC 2"/>
    <m/>
    <x v="2"/>
    <s v="reference"/>
    <s v="ISO/IEC 10646:2017"/>
    <m/>
    <m/>
    <m/>
    <m/>
    <m/>
    <m/>
    <m/>
  </r>
  <r>
    <m/>
    <m/>
    <m/>
    <x v="6"/>
    <x v="2"/>
    <s v="reference"/>
    <s v="ISO/IEC 10646:2017"/>
    <m/>
    <x v="3"/>
    <s v="reference"/>
    <s v="ISO/IEC 10646:2017 (as amended)"/>
    <m/>
    <m/>
    <m/>
    <m/>
    <m/>
    <m/>
    <m/>
  </r>
  <r>
    <m/>
    <m/>
    <m/>
    <x v="6"/>
    <x v="2"/>
    <s v="reference"/>
    <s v="ISO/IEC 10646:2017"/>
    <m/>
    <x v="3"/>
    <s v="reference"/>
    <s v="ISO/IEC 10646:2017 (Unicode 11.0)"/>
    <m/>
    <m/>
    <m/>
    <m/>
    <m/>
    <m/>
    <m/>
  </r>
  <r>
    <m/>
    <m/>
    <m/>
    <x v="6"/>
    <x v="2"/>
    <s v="reference"/>
    <s v="ISO/IEC 10646:2017"/>
    <m/>
    <x v="3"/>
    <s v="reference"/>
    <s v="ISO/IEC 10646:2017 (Unicode 12.0)"/>
    <m/>
    <m/>
    <m/>
    <m/>
    <m/>
    <m/>
    <m/>
  </r>
  <r>
    <m/>
    <m/>
    <m/>
    <x v="7"/>
    <x v="2"/>
    <s v="reference"/>
    <s v="ISO/IEC 10646:2017"/>
    <m/>
    <x v="3"/>
    <s v="reference"/>
    <s v="ISO/IEC 10646:2014 (as amended)"/>
    <m/>
    <m/>
    <m/>
    <m/>
    <m/>
    <m/>
    <m/>
  </r>
  <r>
    <m/>
    <m/>
    <m/>
    <x v="8"/>
    <x v="2"/>
    <s v="reference"/>
    <s v="ISO/IEC 10646:2017"/>
    <m/>
    <x v="2"/>
    <s v="reference"/>
    <s v="Unicode 10.0"/>
    <m/>
    <m/>
    <m/>
    <m/>
    <s v="partially equivalent"/>
    <s v="Character repertoire, plus 344 additional characters, equivalent to Unicode 10.0"/>
    <m/>
  </r>
  <r>
    <m/>
    <m/>
    <m/>
    <x v="6"/>
    <x v="3"/>
    <s v="reference"/>
    <s v="ISO/IEC 10646:2017 (as amended)"/>
    <m/>
    <x v="3"/>
    <s v="reference"/>
    <s v="ISO/IEC 10646"/>
    <m/>
    <m/>
    <m/>
    <m/>
    <m/>
    <m/>
    <m/>
  </r>
  <r>
    <m/>
    <m/>
    <m/>
    <x v="5"/>
    <x v="0"/>
    <s v="shortName"/>
    <s v="JTC1 SC 2"/>
    <m/>
    <x v="2"/>
    <s v="reference"/>
    <s v="ISO/IEC 10646:2017/Amd 1:2019"/>
    <m/>
    <m/>
    <m/>
    <m/>
    <m/>
    <m/>
    <m/>
  </r>
  <r>
    <m/>
    <m/>
    <m/>
    <x v="6"/>
    <x v="2"/>
    <s v="reference"/>
    <s v="ISO/IEC 10646:2017/Amd 1:2019"/>
    <m/>
    <x v="3"/>
    <s v="reference"/>
    <s v="ISO/IEC 10646:2017 (as amended)"/>
    <m/>
    <m/>
    <m/>
    <m/>
    <m/>
    <m/>
    <m/>
  </r>
  <r>
    <m/>
    <m/>
    <m/>
    <x v="6"/>
    <x v="2"/>
    <s v="reference"/>
    <s v="ISO/IEC 10646:2017/Amd 1:2019"/>
    <m/>
    <x v="3"/>
    <s v="reference"/>
    <s v="ISO/IEC 10646:2017 (Unicode 11.0)"/>
    <m/>
    <m/>
    <m/>
    <m/>
    <m/>
    <m/>
    <m/>
  </r>
  <r>
    <m/>
    <m/>
    <m/>
    <x v="6"/>
    <x v="2"/>
    <s v="reference"/>
    <s v="ISO/IEC 10646:2017/Amd 1:2019"/>
    <m/>
    <x v="3"/>
    <s v="reference"/>
    <s v="ISO/IEC 10646:2017 (Unicode 12.0)"/>
    <m/>
    <m/>
    <m/>
    <m/>
    <m/>
    <m/>
    <m/>
  </r>
  <r>
    <m/>
    <m/>
    <m/>
    <x v="10"/>
    <x v="2"/>
    <s v="reference"/>
    <s v="ISO/IEC 10646:2017/Amd 1:2019"/>
    <m/>
    <x v="2"/>
    <s v="reference"/>
    <s v="ISO/IEC 10646:2017"/>
    <m/>
    <m/>
    <m/>
    <m/>
    <m/>
    <m/>
    <m/>
  </r>
  <r>
    <m/>
    <m/>
    <m/>
    <x v="8"/>
    <x v="3"/>
    <s v="reference"/>
    <s v="ISO/IEC 10646:2017 (Unicode 11.0)"/>
    <m/>
    <x v="2"/>
    <s v="reference"/>
    <s v="Unicode 11.0"/>
    <m/>
    <m/>
    <m/>
    <m/>
    <s v="partially equivalent"/>
    <s v="Character repertoire, plus 117 additional characters, equivalent to Unicode 11.0"/>
    <m/>
  </r>
  <r>
    <m/>
    <m/>
    <m/>
    <x v="5"/>
    <x v="0"/>
    <s v="shortName"/>
    <s v="JTC1 SC 2"/>
    <m/>
    <x v="2"/>
    <s v="reference"/>
    <s v="ISO/IEC 10646:2017/Amd 2:2019"/>
    <m/>
    <m/>
    <m/>
    <m/>
    <m/>
    <m/>
    <m/>
  </r>
  <r>
    <m/>
    <m/>
    <m/>
    <x v="6"/>
    <x v="2"/>
    <s v="reference"/>
    <s v="ISO/IEC 10646:2017/Amd 2:2019"/>
    <m/>
    <x v="3"/>
    <s v="reference"/>
    <s v="ISO/IEC 10646:2017 (as amended)"/>
    <m/>
    <m/>
    <m/>
    <m/>
    <m/>
    <m/>
    <m/>
  </r>
  <r>
    <m/>
    <m/>
    <m/>
    <x v="6"/>
    <x v="2"/>
    <s v="reference"/>
    <s v="ISO/IEC 10646:2017/Amd 2:2019"/>
    <m/>
    <x v="3"/>
    <s v="reference"/>
    <s v="ISO/IEC 10646:2017 (Unicode 12.0)"/>
    <m/>
    <m/>
    <m/>
    <m/>
    <m/>
    <m/>
    <m/>
  </r>
  <r>
    <m/>
    <m/>
    <m/>
    <x v="10"/>
    <x v="2"/>
    <s v="reference"/>
    <s v="ISO/IEC 10646:2017/Amd 2:2019"/>
    <m/>
    <x v="2"/>
    <s v="reference"/>
    <s v="ISO/IEC 10646:2017"/>
    <m/>
    <m/>
    <m/>
    <m/>
    <m/>
    <m/>
    <m/>
  </r>
  <r>
    <m/>
    <m/>
    <m/>
    <x v="8"/>
    <x v="3"/>
    <s v="reference"/>
    <s v="ISO/IEC 10646:2017 (Unicode 12.0)"/>
    <m/>
    <x v="2"/>
    <s v="reference"/>
    <s v="Unicode 12.0"/>
    <m/>
    <m/>
    <m/>
    <m/>
    <s v="partially equivalent"/>
    <s v="Character repertoire, plus 62 additional characters, equivalent to Unicode 12.0"/>
    <m/>
  </r>
  <r>
    <m/>
    <m/>
    <m/>
    <x v="5"/>
    <x v="0"/>
    <s v="shortName"/>
    <s v="JTC1 SC 2"/>
    <m/>
    <x v="2"/>
    <s v="reference"/>
    <s v="ISO/IEC 10646:2020"/>
    <m/>
    <m/>
    <m/>
    <m/>
    <m/>
    <m/>
    <m/>
  </r>
  <r>
    <m/>
    <m/>
    <m/>
    <x v="6"/>
    <x v="2"/>
    <s v="reference"/>
    <s v="ISO/IEC 10646:2020"/>
    <m/>
    <x v="3"/>
    <s v="reference"/>
    <s v="ISO/IEC 10646:2020 (as amended)"/>
    <m/>
    <m/>
    <m/>
    <m/>
    <m/>
    <m/>
    <m/>
  </r>
  <r>
    <m/>
    <m/>
    <m/>
    <x v="6"/>
    <x v="2"/>
    <s v="reference"/>
    <s v="ISO/IEC 10646:2020"/>
    <m/>
    <x v="3"/>
    <s v="reference"/>
    <s v="ISO/IEC 10646:2020 (Unicode 15.0)"/>
    <m/>
    <m/>
    <m/>
    <m/>
    <m/>
    <m/>
    <m/>
  </r>
  <r>
    <m/>
    <m/>
    <m/>
    <x v="6"/>
    <x v="2"/>
    <s v="reference"/>
    <s v="ISO/IEC 10646:2020"/>
    <m/>
    <x v="3"/>
    <s v="reference"/>
    <s v="ISO/IEC 10646:2020 (Unicode 16.0)"/>
    <m/>
    <m/>
    <m/>
    <m/>
    <m/>
    <m/>
    <m/>
  </r>
  <r>
    <m/>
    <m/>
    <m/>
    <x v="7"/>
    <x v="2"/>
    <s v="reference"/>
    <s v="ISO/IEC 10646:2020"/>
    <m/>
    <x v="3"/>
    <s v="reference"/>
    <s v="ISO/IEC 10646:2017 (as amended)"/>
    <m/>
    <m/>
    <m/>
    <m/>
    <m/>
    <m/>
    <m/>
  </r>
  <r>
    <m/>
    <m/>
    <m/>
    <x v="8"/>
    <x v="2"/>
    <s v="reference"/>
    <s v="ISO/IEC 10646:2020"/>
    <m/>
    <x v="2"/>
    <s v="reference"/>
    <s v="Unicode 13.0"/>
    <m/>
    <m/>
    <m/>
    <m/>
    <s v="partially equivalent"/>
    <s v="Character repertoire equivalent to Unicode 13.0"/>
    <m/>
  </r>
  <r>
    <m/>
    <m/>
    <m/>
    <x v="6"/>
    <x v="3"/>
    <s v="reference"/>
    <s v="ISO/IEC 10646:2020 (as amended)"/>
    <m/>
    <x v="3"/>
    <s v="reference"/>
    <s v="ISO/IEC 10646"/>
    <m/>
    <m/>
    <m/>
    <m/>
    <m/>
    <m/>
    <m/>
  </r>
  <r>
    <m/>
    <m/>
    <m/>
    <x v="5"/>
    <x v="0"/>
    <s v="shortName"/>
    <s v="JTC1 SC 2"/>
    <m/>
    <x v="2"/>
    <s v="reference"/>
    <s v="ISO/IEC 10646:2020/Amd 1:2023"/>
    <m/>
    <m/>
    <m/>
    <m/>
    <m/>
    <m/>
    <m/>
  </r>
  <r>
    <m/>
    <m/>
    <m/>
    <x v="6"/>
    <x v="2"/>
    <s v="reference"/>
    <s v="ISO/IEC 10646:2020/Amd 1:2023"/>
    <m/>
    <x v="3"/>
    <s v="reference"/>
    <s v="ISO/IEC 10646:2020 (as amended)"/>
    <m/>
    <m/>
    <m/>
    <m/>
    <m/>
    <m/>
    <m/>
  </r>
  <r>
    <m/>
    <m/>
    <m/>
    <x v="6"/>
    <x v="2"/>
    <s v="reference"/>
    <s v="ISO/IEC 10646:2020/Amd 1:2023"/>
    <m/>
    <x v="3"/>
    <s v="reference"/>
    <s v="ISO/IEC 10646:2020 (Unicode 15.0)"/>
    <m/>
    <m/>
    <m/>
    <m/>
    <m/>
    <m/>
    <m/>
  </r>
  <r>
    <m/>
    <m/>
    <m/>
    <x v="6"/>
    <x v="2"/>
    <s v="reference"/>
    <s v="ISO/IEC 10646:2020/Amd 1:2023"/>
    <m/>
    <x v="3"/>
    <s v="reference"/>
    <s v="ISO/IEC 10646:2020 (Unicode 16.0)"/>
    <m/>
    <m/>
    <m/>
    <m/>
    <m/>
    <m/>
    <m/>
  </r>
  <r>
    <m/>
    <m/>
    <m/>
    <x v="10"/>
    <x v="2"/>
    <s v="reference"/>
    <s v="ISO/IEC 10646:2020/Amd 1:2023"/>
    <m/>
    <x v="2"/>
    <s v="reference"/>
    <s v="ISO/IEC 10646:2020"/>
    <m/>
    <m/>
    <m/>
    <m/>
    <m/>
    <m/>
    <m/>
  </r>
  <r>
    <m/>
    <m/>
    <m/>
    <x v="8"/>
    <x v="3"/>
    <s v="reference"/>
    <s v="ISO/IEC 10646:2020 (Unicode 15.0)"/>
    <m/>
    <x v="2"/>
    <s v="reference"/>
    <s v="Unicode 15.0"/>
    <m/>
    <m/>
    <m/>
    <m/>
    <s v="partially equivalent"/>
    <s v="Character repertoire equivalent to Unicode 15.0"/>
    <m/>
  </r>
  <r>
    <m/>
    <m/>
    <m/>
    <x v="5"/>
    <x v="0"/>
    <s v="shortName"/>
    <s v="JTC1 SC 2"/>
    <m/>
    <x v="2"/>
    <s v="reference"/>
    <s v="ISO/IEC 10646:2020/Amd 2:2025"/>
    <m/>
    <m/>
    <m/>
    <m/>
    <m/>
    <m/>
    <m/>
  </r>
  <r>
    <m/>
    <m/>
    <m/>
    <x v="6"/>
    <x v="2"/>
    <s v="reference"/>
    <s v="ISO/IEC 10646:2020/Amd 2:2025"/>
    <m/>
    <x v="3"/>
    <s v="reference"/>
    <s v="ISO/IEC 10646:2020 (as amended)"/>
    <m/>
    <m/>
    <m/>
    <m/>
    <m/>
    <m/>
    <m/>
  </r>
  <r>
    <m/>
    <m/>
    <m/>
    <x v="6"/>
    <x v="2"/>
    <s v="reference"/>
    <s v="ISO/IEC 10646:2020/Amd 2:2025"/>
    <m/>
    <x v="3"/>
    <s v="reference"/>
    <s v="ISO/IEC 10646:2020 (Unicode 16.0)"/>
    <m/>
    <m/>
    <m/>
    <m/>
    <m/>
    <m/>
    <m/>
  </r>
  <r>
    <m/>
    <m/>
    <m/>
    <x v="10"/>
    <x v="2"/>
    <s v="reference"/>
    <s v="ISO/IEC 10646:2020/Amd 2:2025"/>
    <m/>
    <x v="2"/>
    <s v="reference"/>
    <s v="ISO/IEC 10646:2020"/>
    <m/>
    <m/>
    <m/>
    <m/>
    <m/>
    <m/>
    <m/>
  </r>
  <r>
    <m/>
    <m/>
    <m/>
    <x v="8"/>
    <x v="3"/>
    <s v="reference"/>
    <s v="ISO/IEC 10646:2020 (Unicode 16.0)"/>
    <m/>
    <x v="2"/>
    <s v="reference"/>
    <s v="Unicode 16.0"/>
    <m/>
    <m/>
    <m/>
    <m/>
    <s v="partially equivalent"/>
    <s v="Character repertoire equivalent to Unicode 16.0"/>
    <m/>
  </r>
  <r>
    <m/>
    <m/>
    <m/>
    <x v="9"/>
    <x v="3"/>
    <s v="reference"/>
    <s v="ISO/IEC 10646"/>
    <m/>
    <x v="4"/>
    <s v="shortName"/>
    <s v="UTF-32"/>
    <m/>
    <m/>
    <m/>
    <m/>
    <m/>
    <s v="ISO/IEC 10646 replicates the encoding forms of Unicode"/>
    <m/>
  </r>
  <r>
    <m/>
    <m/>
    <m/>
    <x v="9"/>
    <x v="3"/>
    <s v="reference"/>
    <s v="ISO/IEC 10646"/>
    <m/>
    <x v="4"/>
    <s v="shortName"/>
    <s v="UTF-32BE"/>
    <m/>
    <m/>
    <m/>
    <m/>
    <m/>
    <s v="ISO/IEC 10646 replicates the encoding forms of Unicode"/>
    <m/>
  </r>
  <r>
    <m/>
    <m/>
    <m/>
    <x v="9"/>
    <x v="3"/>
    <s v="reference"/>
    <s v="ISO/IEC 10646"/>
    <m/>
    <x v="4"/>
    <s v="shortName"/>
    <s v="UTF-32LE"/>
    <m/>
    <m/>
    <m/>
    <m/>
    <m/>
    <s v="ISO/IEC 10646 replicates the encoding forms of Unicode"/>
    <m/>
  </r>
  <r>
    <m/>
    <m/>
    <m/>
    <x v="9"/>
    <x v="3"/>
    <s v="reference"/>
    <s v="ISO/IEC 10646"/>
    <m/>
    <x v="4"/>
    <s v="shortName"/>
    <s v="UTF-16"/>
    <m/>
    <m/>
    <m/>
    <m/>
    <m/>
    <s v="ISO/IEC 10646 replicates the encoding forms of Unicode"/>
    <m/>
  </r>
  <r>
    <m/>
    <m/>
    <m/>
    <x v="9"/>
    <x v="3"/>
    <s v="reference"/>
    <s v="ISO/IEC 10646"/>
    <m/>
    <x v="4"/>
    <s v="shortName"/>
    <s v="UTF-16BE"/>
    <m/>
    <m/>
    <m/>
    <m/>
    <m/>
    <s v="ISO/IEC 10646 replicates the encoding forms of Unicode"/>
    <m/>
  </r>
  <r>
    <m/>
    <m/>
    <m/>
    <x v="9"/>
    <x v="3"/>
    <s v="reference"/>
    <s v="ISO/IEC 10646"/>
    <m/>
    <x v="4"/>
    <s v="shortName"/>
    <s v="UTF-16LE"/>
    <m/>
    <m/>
    <m/>
    <m/>
    <m/>
    <s v="ISO/IEC 10646 replicates the encoding forms of Unicode"/>
    <m/>
  </r>
  <r>
    <m/>
    <m/>
    <m/>
    <x v="9"/>
    <x v="3"/>
    <s v="reference"/>
    <s v="ISO/IEC 10646"/>
    <m/>
    <x v="4"/>
    <s v="shortName"/>
    <s v="UTF-8"/>
    <m/>
    <m/>
    <m/>
    <m/>
    <m/>
    <s v="ISO/IEC 10646 replicates the encoding forms of Unicode"/>
    <m/>
  </r>
  <r>
    <m/>
    <m/>
    <m/>
    <x v="5"/>
    <x v="0"/>
    <s v="shortName"/>
    <s v="X/Open (Open Group)"/>
    <m/>
    <x v="2"/>
    <s v="reference"/>
    <s v="X/Open FSS UTF"/>
    <m/>
    <m/>
    <m/>
    <m/>
    <m/>
    <m/>
    <m/>
  </r>
  <r>
    <m/>
    <m/>
    <m/>
    <x v="9"/>
    <x v="2"/>
    <s v="reference"/>
    <s v="X/Open FSS UTF"/>
    <m/>
    <x v="4"/>
    <s v="shortName"/>
    <s v="UTF-8"/>
    <m/>
    <m/>
    <m/>
    <m/>
    <m/>
    <s v="FSS UTF-8 originates the format prior to inclusion in Unicode"/>
    <m/>
  </r>
  <r>
    <m/>
    <m/>
    <m/>
    <x v="5"/>
    <x v="0"/>
    <s v="shortName"/>
    <s v="IETF"/>
    <m/>
    <x v="2"/>
    <s v="reference"/>
    <s v="RFC2044"/>
    <m/>
    <m/>
    <m/>
    <m/>
    <m/>
    <m/>
    <m/>
  </r>
  <r>
    <m/>
    <m/>
    <m/>
    <x v="12"/>
    <x v="2"/>
    <s v="reference"/>
    <s v="RFC2044"/>
    <m/>
    <x v="2"/>
    <s v="reference"/>
    <s v="X/Open FSS UTF"/>
    <m/>
    <m/>
    <m/>
    <m/>
    <m/>
    <m/>
    <m/>
  </r>
  <r>
    <m/>
    <m/>
    <m/>
    <x v="12"/>
    <x v="2"/>
    <s v="reference"/>
    <s v="RFC2044"/>
    <m/>
    <x v="2"/>
    <s v="reference"/>
    <s v="ISO/IEC 10646-1:1993"/>
    <m/>
    <m/>
    <m/>
    <m/>
    <m/>
    <m/>
    <m/>
  </r>
  <r>
    <m/>
    <m/>
    <m/>
    <x v="12"/>
    <x v="2"/>
    <s v="reference"/>
    <s v="RFC2044"/>
    <m/>
    <x v="2"/>
    <s v="reference"/>
    <s v="Unicode 1.0"/>
    <m/>
    <m/>
    <m/>
    <m/>
    <m/>
    <m/>
    <m/>
  </r>
  <r>
    <m/>
    <m/>
    <m/>
    <x v="12"/>
    <x v="2"/>
    <s v="reference"/>
    <s v="RFC2044"/>
    <m/>
    <x v="2"/>
    <s v="reference"/>
    <s v="US-ASCII [ANSI X3.4-1986]"/>
    <m/>
    <m/>
    <m/>
    <m/>
    <m/>
    <m/>
    <m/>
  </r>
  <r>
    <m/>
    <m/>
    <m/>
    <x v="5"/>
    <x v="0"/>
    <s v="shortName"/>
    <s v="IETF"/>
    <m/>
    <x v="2"/>
    <s v="reference"/>
    <s v="RFC2279"/>
    <m/>
    <m/>
    <m/>
    <m/>
    <m/>
    <m/>
    <m/>
  </r>
  <r>
    <m/>
    <m/>
    <m/>
    <x v="13"/>
    <x v="2"/>
    <s v="reference"/>
    <s v="RFC2279"/>
    <m/>
    <x v="2"/>
    <s v="reference"/>
    <s v="RFC2044"/>
    <m/>
    <m/>
    <m/>
    <m/>
    <m/>
    <m/>
    <m/>
  </r>
  <r>
    <m/>
    <m/>
    <m/>
    <x v="12"/>
    <x v="2"/>
    <s v="reference"/>
    <s v="RFC2279"/>
    <m/>
    <x v="3"/>
    <s v="reference"/>
    <s v="ISO/IEC 10646-1:1993 (Unicode 2.0)"/>
    <m/>
    <m/>
    <m/>
    <m/>
    <m/>
    <m/>
    <m/>
  </r>
  <r>
    <m/>
    <m/>
    <m/>
    <x v="12"/>
    <x v="2"/>
    <s v="reference"/>
    <s v="RFC2279"/>
    <m/>
    <x v="2"/>
    <s v="reference"/>
    <s v="Unicode 2.0"/>
    <m/>
    <m/>
    <m/>
    <m/>
    <m/>
    <m/>
    <m/>
  </r>
  <r>
    <m/>
    <m/>
    <m/>
    <x v="12"/>
    <x v="2"/>
    <s v="reference"/>
    <s v="RFC2279"/>
    <m/>
    <x v="2"/>
    <s v="reference"/>
    <s v="US-ASCII [ANSI X3.4-1986]"/>
    <m/>
    <m/>
    <m/>
    <m/>
    <m/>
    <m/>
    <m/>
  </r>
  <r>
    <m/>
    <m/>
    <m/>
    <x v="5"/>
    <x v="0"/>
    <s v="shortName"/>
    <s v="IETF"/>
    <m/>
    <x v="2"/>
    <s v="reference"/>
    <s v="RFC3629"/>
    <m/>
    <m/>
    <m/>
    <m/>
    <m/>
    <m/>
    <m/>
  </r>
  <r>
    <m/>
    <m/>
    <m/>
    <x v="6"/>
    <x v="2"/>
    <s v="reference"/>
    <s v="RFC3629"/>
    <m/>
    <x v="3"/>
    <s v="reference"/>
    <s v="STD63"/>
    <m/>
    <m/>
    <m/>
    <m/>
    <m/>
    <m/>
    <m/>
  </r>
  <r>
    <m/>
    <m/>
    <m/>
    <x v="13"/>
    <x v="2"/>
    <s v="reference"/>
    <s v="RFC3629"/>
    <m/>
    <x v="2"/>
    <s v="reference"/>
    <s v="RFC2279"/>
    <m/>
    <m/>
    <m/>
    <m/>
    <m/>
    <m/>
    <m/>
  </r>
  <r>
    <m/>
    <m/>
    <m/>
    <x v="12"/>
    <x v="2"/>
    <s v="reference"/>
    <s v="RFC3629"/>
    <m/>
    <x v="2"/>
    <s v="reference"/>
    <s v="RFC2119"/>
    <m/>
    <m/>
    <s v="normative"/>
    <m/>
    <m/>
    <m/>
    <m/>
  </r>
  <r>
    <m/>
    <m/>
    <m/>
    <x v="12"/>
    <x v="2"/>
    <s v="reference"/>
    <s v="RFC3629"/>
    <m/>
    <x v="3"/>
    <s v="reference"/>
    <s v="ISO/IEC 10646:2000/2001 (Unicode 3.2)"/>
    <m/>
    <m/>
    <s v="normative"/>
    <m/>
    <m/>
    <m/>
    <m/>
  </r>
  <r>
    <m/>
    <m/>
    <m/>
    <x v="12"/>
    <x v="2"/>
    <s v="reference"/>
    <s v="RFC3629"/>
    <m/>
    <x v="2"/>
    <s v="reference"/>
    <s v="Unicode 4.0"/>
    <m/>
    <m/>
    <s v="normative"/>
    <m/>
    <m/>
    <m/>
    <m/>
  </r>
  <r>
    <m/>
    <m/>
    <m/>
    <x v="12"/>
    <x v="2"/>
    <s v="reference"/>
    <s v="RFC3629"/>
    <m/>
    <x v="3"/>
    <s v="reference"/>
    <s v="ISO/IEC 10646"/>
    <m/>
    <m/>
    <s v="ongoing"/>
    <m/>
    <m/>
    <s v="References character repertoire of ISO/IEC 10646"/>
    <m/>
  </r>
  <r>
    <m/>
    <m/>
    <m/>
    <x v="12"/>
    <x v="2"/>
    <s v="reference"/>
    <s v="RFC3629"/>
    <m/>
    <x v="3"/>
    <s v="reference"/>
    <s v="Unicode"/>
    <m/>
    <m/>
    <s v="ongoing"/>
    <m/>
    <m/>
    <s v="References UTF-8 presentation from Unicode"/>
    <m/>
  </r>
  <r>
    <m/>
    <m/>
    <m/>
    <x v="4"/>
    <x v="1"/>
    <m/>
    <m/>
    <m/>
    <x v="1"/>
    <m/>
    <m/>
    <m/>
    <m/>
    <m/>
    <m/>
    <m/>
    <m/>
    <m/>
  </r>
  <r>
    <m/>
    <m/>
    <s v="LEGACY FORMATS"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s v="DOCUMENTATION SUPPORT"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5"/>
    <x v="0"/>
    <s v="shortName"/>
    <s v="IETF"/>
    <m/>
    <x v="2"/>
    <s v="reference"/>
    <s v="RFC2119"/>
    <m/>
    <m/>
    <m/>
    <m/>
    <m/>
    <m/>
    <m/>
  </r>
  <r>
    <m/>
    <m/>
    <m/>
    <x v="6"/>
    <x v="2"/>
    <s v="reference"/>
    <s v="RFC2119"/>
    <m/>
    <x v="3"/>
    <s v="reference"/>
    <s v="BCP14"/>
    <m/>
    <m/>
    <m/>
    <m/>
    <m/>
    <m/>
    <m/>
  </r>
  <r>
    <m/>
    <m/>
    <m/>
    <x v="5"/>
    <x v="0"/>
    <s v="shortName"/>
    <s v="IETF"/>
    <m/>
    <x v="2"/>
    <s v="reference"/>
    <s v="RFC8174"/>
    <m/>
    <m/>
    <m/>
    <m/>
    <m/>
    <m/>
    <m/>
  </r>
  <r>
    <m/>
    <m/>
    <m/>
    <x v="6"/>
    <x v="2"/>
    <s v="reference"/>
    <s v="RFC8174"/>
    <m/>
    <x v="3"/>
    <s v="reference"/>
    <s v="BCP14"/>
    <m/>
    <m/>
    <m/>
    <m/>
    <m/>
    <m/>
    <m/>
  </r>
  <r>
    <m/>
    <m/>
    <m/>
    <x v="10"/>
    <x v="2"/>
    <s v="reference"/>
    <s v="RFC8174"/>
    <m/>
    <x v="2"/>
    <s v="reference"/>
    <s v="RFC2119"/>
    <m/>
    <m/>
    <m/>
    <m/>
    <m/>
    <m/>
    <m/>
  </r>
  <r>
    <m/>
    <m/>
    <m/>
    <x v="12"/>
    <x v="2"/>
    <s v="reference"/>
    <s v="RFC8174"/>
    <m/>
    <x v="2"/>
    <s v="reference"/>
    <s v="RFC2119"/>
    <m/>
    <m/>
    <s v="normative"/>
    <m/>
    <m/>
    <m/>
    <m/>
  </r>
  <r>
    <m/>
    <m/>
    <m/>
    <x v="5"/>
    <x v="0"/>
    <s v="shortName"/>
    <s v="drums WG"/>
    <m/>
    <x v="2"/>
    <s v="reference"/>
    <s v="RFC2234"/>
    <m/>
    <m/>
    <m/>
    <m/>
    <m/>
    <m/>
    <m/>
  </r>
  <r>
    <m/>
    <m/>
    <m/>
    <x v="12"/>
    <x v="2"/>
    <s v="reference"/>
    <s v="RFC2234"/>
    <m/>
    <x v="2"/>
    <s v="reference"/>
    <s v="US-ASCII [ANSI X3.4-1986]"/>
    <m/>
    <m/>
    <m/>
    <m/>
    <m/>
    <m/>
    <m/>
  </r>
  <r>
    <m/>
    <m/>
    <m/>
    <x v="12"/>
    <x v="2"/>
    <s v="reference"/>
    <s v="RFC2234"/>
    <m/>
    <x v="2"/>
    <s v="reference"/>
    <s v="RFC733"/>
    <m/>
    <m/>
    <m/>
    <m/>
    <m/>
    <m/>
    <m/>
  </r>
  <r>
    <m/>
    <m/>
    <m/>
    <x v="12"/>
    <x v="2"/>
    <s v="reference"/>
    <s v="RFC2234"/>
    <m/>
    <x v="2"/>
    <s v="reference"/>
    <s v="RFC822"/>
    <m/>
    <m/>
    <m/>
    <m/>
    <m/>
    <m/>
    <m/>
  </r>
  <r>
    <m/>
    <m/>
    <m/>
    <x v="5"/>
    <x v="0"/>
    <s v="shortName"/>
    <s v="IETF"/>
    <m/>
    <x v="2"/>
    <s v="reference"/>
    <s v="RFC4234"/>
    <m/>
    <m/>
    <m/>
    <m/>
    <m/>
    <m/>
    <m/>
  </r>
  <r>
    <m/>
    <m/>
    <m/>
    <x v="13"/>
    <x v="2"/>
    <s v="reference"/>
    <s v="RFC4234"/>
    <m/>
    <x v="2"/>
    <s v="reference"/>
    <s v="RFC2234"/>
    <m/>
    <m/>
    <m/>
    <m/>
    <m/>
    <m/>
    <m/>
  </r>
  <r>
    <m/>
    <m/>
    <m/>
    <x v="12"/>
    <x v="2"/>
    <s v="reference"/>
    <s v="RFC4234"/>
    <m/>
    <x v="2"/>
    <s v="reference"/>
    <s v="US-ASCII [ANSI X3.4-1986]"/>
    <m/>
    <m/>
    <s v="normative"/>
    <m/>
    <m/>
    <m/>
    <m/>
  </r>
  <r>
    <m/>
    <m/>
    <m/>
    <x v="12"/>
    <x v="2"/>
    <s v="reference"/>
    <s v="RFC4234"/>
    <m/>
    <x v="2"/>
    <s v="reference"/>
    <s v="RFC2234"/>
    <m/>
    <m/>
    <s v="informative"/>
    <m/>
    <m/>
    <m/>
    <m/>
  </r>
  <r>
    <m/>
    <m/>
    <m/>
    <x v="12"/>
    <x v="2"/>
    <s v="reference"/>
    <s v="RFC4234"/>
    <m/>
    <x v="2"/>
    <s v="reference"/>
    <s v="RFC733"/>
    <m/>
    <m/>
    <s v="informative"/>
    <m/>
    <m/>
    <m/>
    <m/>
  </r>
  <r>
    <m/>
    <m/>
    <m/>
    <x v="12"/>
    <x v="2"/>
    <s v="reference"/>
    <s v="RFC4234"/>
    <m/>
    <x v="2"/>
    <s v="reference"/>
    <s v="RFC822"/>
    <m/>
    <m/>
    <s v="informative"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5"/>
    <x v="0"/>
    <s v="shortName"/>
    <s v="Netscape"/>
    <m/>
    <x v="2"/>
    <s v="reference"/>
    <s v="Netscape SSL2"/>
    <m/>
    <m/>
    <m/>
    <m/>
    <m/>
    <m/>
    <m/>
  </r>
  <r>
    <m/>
    <m/>
    <m/>
    <x v="6"/>
    <x v="2"/>
    <s v="reference"/>
    <s v="Netscape SSL2"/>
    <m/>
    <x v="3"/>
    <s v="reference"/>
    <s v="SSL/TLS"/>
    <m/>
    <m/>
    <m/>
    <m/>
    <m/>
    <m/>
    <m/>
  </r>
  <r>
    <m/>
    <m/>
    <m/>
    <x v="8"/>
    <x v="2"/>
    <s v="reference"/>
    <s v="Netscape SSL2"/>
    <m/>
    <x v="2"/>
    <s v="reference"/>
    <s v="draft-hickman-netscape-ssl-00"/>
    <m/>
    <m/>
    <m/>
    <m/>
    <s v="technically equivalent"/>
    <s v="Internet-Draft restates SSL v2"/>
    <m/>
  </r>
  <r>
    <m/>
    <m/>
    <m/>
    <x v="5"/>
    <x v="0"/>
    <s v="shortName"/>
    <s v="IETF"/>
    <m/>
    <x v="2"/>
    <s v="reference"/>
    <s v="draft-hickman-netscape-ssl-00"/>
    <m/>
    <m/>
    <m/>
    <m/>
    <m/>
    <m/>
    <m/>
  </r>
  <r>
    <m/>
    <m/>
    <m/>
    <x v="6"/>
    <x v="2"/>
    <s v="reference"/>
    <s v="draft-hickman-netscape-ssl-00"/>
    <m/>
    <x v="3"/>
    <s v="reference"/>
    <s v="SSL/TLS"/>
    <m/>
    <m/>
    <m/>
    <m/>
    <m/>
    <m/>
    <m/>
  </r>
  <r>
    <m/>
    <m/>
    <m/>
    <x v="8"/>
    <x v="2"/>
    <s v="reference"/>
    <s v="draft-hickman-netscape-ssl-00"/>
    <m/>
    <x v="2"/>
    <s v="reference"/>
    <s v="Netscape SSL2"/>
    <m/>
    <m/>
    <m/>
    <m/>
    <s v="technically equivalent"/>
    <s v="Restatement of SSLv2 as Internet-Draft"/>
    <m/>
  </r>
  <r>
    <m/>
    <m/>
    <m/>
    <x v="5"/>
    <x v="0"/>
    <s v="shortName"/>
    <s v="Netscape"/>
    <m/>
    <x v="2"/>
    <s v="reference"/>
    <s v="Netscape SSL3"/>
    <m/>
    <m/>
    <m/>
    <m/>
    <m/>
    <m/>
    <m/>
  </r>
  <r>
    <m/>
    <m/>
    <m/>
    <x v="6"/>
    <x v="2"/>
    <s v="reference"/>
    <s v="Netscape SSL3"/>
    <m/>
    <x v="3"/>
    <s v="reference"/>
    <s v="SSL/TLS"/>
    <m/>
    <m/>
    <m/>
    <m/>
    <m/>
    <m/>
    <m/>
  </r>
  <r>
    <m/>
    <m/>
    <m/>
    <x v="8"/>
    <x v="2"/>
    <s v="reference"/>
    <s v="Netscape SSL3"/>
    <m/>
    <x v="2"/>
    <s v="reference"/>
    <s v="RFC6101"/>
    <m/>
    <m/>
    <m/>
    <m/>
    <s v="textually equivalent"/>
    <s v="RFC6101 restates SSLv3 with minimal editorial changes"/>
    <m/>
  </r>
  <r>
    <m/>
    <m/>
    <m/>
    <x v="5"/>
    <x v="0"/>
    <s v="shortName"/>
    <s v="IETF"/>
    <m/>
    <x v="2"/>
    <s v="reference"/>
    <s v="RFC6101"/>
    <m/>
    <m/>
    <m/>
    <m/>
    <m/>
    <m/>
    <m/>
  </r>
  <r>
    <m/>
    <m/>
    <m/>
    <x v="6"/>
    <x v="2"/>
    <s v="reference"/>
    <s v="RFC6101"/>
    <m/>
    <x v="3"/>
    <s v="reference"/>
    <s v="SSL/TLS"/>
    <m/>
    <m/>
    <m/>
    <m/>
    <m/>
    <m/>
    <m/>
  </r>
  <r>
    <m/>
    <m/>
    <m/>
    <x v="8"/>
    <x v="2"/>
    <s v="reference"/>
    <s v="RFC6101"/>
    <m/>
    <x v="2"/>
    <s v="reference"/>
    <s v="Netscape SSL3"/>
    <m/>
    <m/>
    <m/>
    <m/>
    <s v="textually equivalent"/>
    <s v="Restatement of SSLv3 for historical record with minimal editorial changes"/>
    <m/>
  </r>
  <r>
    <m/>
    <m/>
    <m/>
    <x v="5"/>
    <x v="0"/>
    <s v="shortName"/>
    <s v="tls WG"/>
    <m/>
    <x v="2"/>
    <s v="reference"/>
    <s v="RFC2246"/>
    <m/>
    <m/>
    <m/>
    <m/>
    <m/>
    <m/>
    <m/>
  </r>
  <r>
    <m/>
    <m/>
    <m/>
    <x v="6"/>
    <x v="2"/>
    <s v="reference"/>
    <s v="RFC2246"/>
    <m/>
    <x v="3"/>
    <s v="reference"/>
    <s v="SSL/TLS"/>
    <m/>
    <m/>
    <m/>
    <m/>
    <m/>
    <m/>
    <m/>
  </r>
  <r>
    <m/>
    <m/>
    <m/>
    <x v="5"/>
    <x v="0"/>
    <s v="shortName"/>
    <s v="tls WG"/>
    <m/>
    <x v="2"/>
    <s v="reference"/>
    <s v="RFC3268"/>
    <m/>
    <m/>
    <m/>
    <m/>
    <m/>
    <m/>
    <m/>
  </r>
  <r>
    <m/>
    <m/>
    <m/>
    <x v="5"/>
    <x v="0"/>
    <s v="shortName"/>
    <s v="tls WG"/>
    <m/>
    <x v="2"/>
    <s v="reference"/>
    <s v="RFC3546"/>
    <m/>
    <m/>
    <m/>
    <m/>
    <m/>
    <m/>
    <m/>
  </r>
  <r>
    <m/>
    <m/>
    <m/>
    <x v="10"/>
    <x v="2"/>
    <s v="reference"/>
    <s v="RFC3546"/>
    <m/>
    <x v="2"/>
    <s v="reference"/>
    <s v="RFC2246"/>
    <m/>
    <m/>
    <m/>
    <m/>
    <m/>
    <m/>
    <m/>
  </r>
  <r>
    <m/>
    <m/>
    <m/>
    <x v="5"/>
    <x v="0"/>
    <s v="shortName"/>
    <s v="tls WG"/>
    <m/>
    <x v="2"/>
    <s v="reference"/>
    <s v="RFC3749"/>
    <m/>
    <m/>
    <m/>
    <m/>
    <m/>
    <m/>
    <m/>
  </r>
  <r>
    <m/>
    <m/>
    <m/>
    <x v="5"/>
    <x v="0"/>
    <s v="shortName"/>
    <s v="tls WG"/>
    <m/>
    <x v="2"/>
    <s v="reference"/>
    <s v="RFC4346"/>
    <m/>
    <m/>
    <m/>
    <m/>
    <m/>
    <m/>
    <m/>
  </r>
  <r>
    <m/>
    <m/>
    <m/>
    <x v="6"/>
    <x v="2"/>
    <s v="reference"/>
    <s v="RFC4346"/>
    <m/>
    <x v="3"/>
    <s v="reference"/>
    <s v="SSL/TLS"/>
    <m/>
    <m/>
    <m/>
    <m/>
    <m/>
    <m/>
    <m/>
  </r>
  <r>
    <m/>
    <m/>
    <m/>
    <x v="13"/>
    <x v="2"/>
    <s v="reference"/>
    <s v="RFC4346"/>
    <m/>
    <x v="2"/>
    <s v="reference"/>
    <s v="RFC2246"/>
    <m/>
    <m/>
    <m/>
    <m/>
    <m/>
    <m/>
    <m/>
  </r>
  <r>
    <m/>
    <m/>
    <m/>
    <x v="5"/>
    <x v="0"/>
    <s v="shortName"/>
    <s v="IETF"/>
    <m/>
    <x v="2"/>
    <s v="reference"/>
    <s v="RFC4347"/>
    <m/>
    <m/>
    <m/>
    <m/>
    <m/>
    <m/>
    <m/>
  </r>
  <r>
    <m/>
    <m/>
    <m/>
    <x v="6"/>
    <x v="2"/>
    <s v="reference"/>
    <s v="RFC4347"/>
    <m/>
    <x v="3"/>
    <s v="reference"/>
    <s v="DTLS"/>
    <m/>
    <m/>
    <m/>
    <m/>
    <m/>
    <m/>
    <m/>
  </r>
  <r>
    <m/>
    <m/>
    <m/>
    <x v="5"/>
    <x v="0"/>
    <s v="shortName"/>
    <s v="tls WG"/>
    <m/>
    <x v="2"/>
    <s v="reference"/>
    <s v="RFC4366"/>
    <m/>
    <m/>
    <m/>
    <m/>
    <m/>
    <m/>
    <m/>
  </r>
  <r>
    <m/>
    <m/>
    <m/>
    <x v="13"/>
    <x v="2"/>
    <s v="reference"/>
    <s v="RFC4366"/>
    <m/>
    <x v="2"/>
    <s v="reference"/>
    <s v="RFC3546"/>
    <m/>
    <m/>
    <m/>
    <m/>
    <m/>
    <m/>
    <m/>
  </r>
  <r>
    <m/>
    <m/>
    <m/>
    <x v="10"/>
    <x v="2"/>
    <s v="reference"/>
    <s v="RFC4366"/>
    <m/>
    <x v="2"/>
    <s v="reference"/>
    <s v="RFC4346"/>
    <m/>
    <m/>
    <m/>
    <m/>
    <m/>
    <m/>
    <m/>
  </r>
  <r>
    <m/>
    <m/>
    <m/>
    <x v="5"/>
    <x v="0"/>
    <s v="shortName"/>
    <s v="tls WG"/>
    <m/>
    <x v="2"/>
    <s v="reference"/>
    <s v="RFC4492"/>
    <m/>
    <m/>
    <m/>
    <m/>
    <m/>
    <m/>
    <m/>
  </r>
  <r>
    <m/>
    <m/>
    <m/>
    <x v="5"/>
    <x v="0"/>
    <s v="shortName"/>
    <s v="IETF"/>
    <m/>
    <x v="2"/>
    <s v="reference"/>
    <s v="RFC4507"/>
    <m/>
    <m/>
    <m/>
    <m/>
    <m/>
    <m/>
    <m/>
  </r>
  <r>
    <m/>
    <m/>
    <m/>
    <x v="5"/>
    <x v="0"/>
    <s v="shortName"/>
    <s v="IETF"/>
    <m/>
    <x v="2"/>
    <s v="reference"/>
    <s v="RFC4680"/>
    <m/>
    <m/>
    <m/>
    <m/>
    <m/>
    <m/>
    <m/>
  </r>
  <r>
    <m/>
    <m/>
    <m/>
    <x v="10"/>
    <x v="2"/>
    <s v="reference"/>
    <s v="RFC4680"/>
    <m/>
    <x v="2"/>
    <s v="reference"/>
    <s v="RFC4346"/>
    <m/>
    <m/>
    <m/>
    <m/>
    <m/>
    <m/>
    <m/>
  </r>
  <r>
    <m/>
    <m/>
    <m/>
    <x v="5"/>
    <x v="0"/>
    <s v="shortName"/>
    <s v="IETF"/>
    <m/>
    <x v="2"/>
    <s v="reference"/>
    <s v="RFC4681"/>
    <m/>
    <m/>
    <m/>
    <m/>
    <m/>
    <m/>
    <m/>
  </r>
  <r>
    <m/>
    <m/>
    <m/>
    <x v="10"/>
    <x v="2"/>
    <s v="reference"/>
    <s v="RFC4681"/>
    <m/>
    <x v="2"/>
    <s v="reference"/>
    <s v="RFC4346"/>
    <m/>
    <m/>
    <m/>
    <m/>
    <m/>
    <m/>
    <m/>
  </r>
  <r>
    <m/>
    <m/>
    <m/>
    <x v="5"/>
    <x v="0"/>
    <s v="shortName"/>
    <s v="IETF"/>
    <m/>
    <x v="2"/>
    <s v="reference"/>
    <s v="RFC5077"/>
    <m/>
    <m/>
    <m/>
    <m/>
    <m/>
    <m/>
    <m/>
  </r>
  <r>
    <m/>
    <m/>
    <m/>
    <x v="13"/>
    <x v="2"/>
    <s v="reference"/>
    <s v="RFC5077"/>
    <m/>
    <x v="2"/>
    <s v="reference"/>
    <s v="RFC4507"/>
    <m/>
    <m/>
    <m/>
    <m/>
    <m/>
    <m/>
    <m/>
  </r>
  <r>
    <m/>
    <m/>
    <m/>
    <x v="5"/>
    <x v="0"/>
    <s v="shortName"/>
    <s v="tls WG"/>
    <m/>
    <x v="2"/>
    <s v="reference"/>
    <s v="RFC5246"/>
    <m/>
    <m/>
    <m/>
    <m/>
    <m/>
    <m/>
    <m/>
  </r>
  <r>
    <m/>
    <m/>
    <m/>
    <x v="6"/>
    <x v="2"/>
    <s v="reference"/>
    <s v="RFC5246"/>
    <m/>
    <x v="3"/>
    <s v="reference"/>
    <s v="SSL/TLS"/>
    <m/>
    <m/>
    <m/>
    <m/>
    <m/>
    <m/>
    <m/>
  </r>
  <r>
    <m/>
    <m/>
    <m/>
    <x v="13"/>
    <x v="2"/>
    <s v="reference"/>
    <s v="RFC5246"/>
    <m/>
    <x v="2"/>
    <s v="reference"/>
    <s v="RFC4346"/>
    <m/>
    <m/>
    <m/>
    <m/>
    <m/>
    <m/>
    <m/>
  </r>
  <r>
    <m/>
    <m/>
    <m/>
    <x v="13"/>
    <x v="2"/>
    <s v="reference"/>
    <s v="RFC5246"/>
    <m/>
    <x v="2"/>
    <s v="reference"/>
    <s v="RFC4366"/>
    <m/>
    <m/>
    <m/>
    <m/>
    <m/>
    <m/>
    <m/>
  </r>
  <r>
    <m/>
    <m/>
    <m/>
    <x v="13"/>
    <x v="2"/>
    <s v="reference"/>
    <s v="RFC5246"/>
    <m/>
    <x v="2"/>
    <s v="reference"/>
    <s v="RFC3268"/>
    <m/>
    <m/>
    <m/>
    <m/>
    <m/>
    <m/>
    <m/>
  </r>
  <r>
    <m/>
    <m/>
    <m/>
    <x v="10"/>
    <x v="2"/>
    <s v="reference"/>
    <s v="RFC5246"/>
    <m/>
    <x v="2"/>
    <s v="reference"/>
    <s v="RFC4492"/>
    <m/>
    <m/>
    <m/>
    <m/>
    <m/>
    <m/>
    <m/>
  </r>
  <r>
    <m/>
    <m/>
    <m/>
    <x v="5"/>
    <x v="0"/>
    <s v="shortName"/>
    <s v="tls WG"/>
    <m/>
    <x v="2"/>
    <s v="reference"/>
    <s v="RFC5288"/>
    <m/>
    <m/>
    <m/>
    <m/>
    <m/>
    <m/>
    <m/>
  </r>
  <r>
    <m/>
    <m/>
    <m/>
    <x v="5"/>
    <x v="0"/>
    <s v="shortName"/>
    <s v="tls WG"/>
    <m/>
    <x v="2"/>
    <s v="reference"/>
    <s v="RFC5469"/>
    <m/>
    <m/>
    <m/>
    <m/>
    <m/>
    <m/>
    <m/>
  </r>
  <r>
    <m/>
    <m/>
    <m/>
    <x v="5"/>
    <x v="0"/>
    <s v="shortName"/>
    <s v="tls WG"/>
    <m/>
    <x v="2"/>
    <s v="reference"/>
    <s v="RFC5705"/>
    <m/>
    <m/>
    <m/>
    <m/>
    <m/>
    <m/>
    <m/>
  </r>
  <r>
    <m/>
    <m/>
    <m/>
    <x v="5"/>
    <x v="0"/>
    <s v="shortName"/>
    <s v="tls WG"/>
    <m/>
    <x v="2"/>
    <s v="reference"/>
    <s v="RFC5746"/>
    <m/>
    <m/>
    <m/>
    <m/>
    <m/>
    <m/>
    <m/>
  </r>
  <r>
    <m/>
    <m/>
    <m/>
    <x v="10"/>
    <x v="2"/>
    <s v="reference"/>
    <s v="RFC5746"/>
    <m/>
    <x v="2"/>
    <s v="reference"/>
    <s v="RFC5246"/>
    <m/>
    <m/>
    <m/>
    <m/>
    <m/>
    <m/>
    <m/>
  </r>
  <r>
    <m/>
    <m/>
    <m/>
    <x v="10"/>
    <x v="2"/>
    <s v="reference"/>
    <s v="RFC5746"/>
    <m/>
    <x v="2"/>
    <s v="reference"/>
    <s v="RFC4346"/>
    <m/>
    <m/>
    <m/>
    <m/>
    <m/>
    <m/>
    <m/>
  </r>
  <r>
    <m/>
    <m/>
    <m/>
    <x v="10"/>
    <x v="2"/>
    <s v="reference"/>
    <s v="RFC5746"/>
    <m/>
    <x v="2"/>
    <s v="reference"/>
    <s v="RFC4366"/>
    <m/>
    <m/>
    <m/>
    <m/>
    <m/>
    <m/>
    <m/>
  </r>
  <r>
    <m/>
    <m/>
    <m/>
    <x v="10"/>
    <x v="2"/>
    <s v="reference"/>
    <s v="RFC5746"/>
    <m/>
    <x v="2"/>
    <s v="reference"/>
    <s v="RFC2246"/>
    <m/>
    <m/>
    <m/>
    <m/>
    <m/>
    <m/>
    <m/>
  </r>
  <r>
    <m/>
    <m/>
    <m/>
    <x v="10"/>
    <x v="2"/>
    <s v="reference"/>
    <s v="RFC5746"/>
    <m/>
    <x v="2"/>
    <s v="reference"/>
    <s v="RFC4347"/>
    <m/>
    <m/>
    <m/>
    <m/>
    <m/>
    <m/>
    <m/>
  </r>
  <r>
    <m/>
    <m/>
    <m/>
    <x v="5"/>
    <x v="0"/>
    <s v="shortName"/>
    <s v="IETF"/>
    <m/>
    <x v="2"/>
    <s v="reference"/>
    <s v="RFC5878"/>
    <m/>
    <m/>
    <m/>
    <m/>
    <m/>
    <m/>
    <m/>
  </r>
  <r>
    <m/>
    <m/>
    <m/>
    <x v="10"/>
    <x v="2"/>
    <s v="reference"/>
    <s v="RFC5878"/>
    <m/>
    <x v="2"/>
    <s v="reference"/>
    <s v="RFC5246"/>
    <m/>
    <m/>
    <m/>
    <m/>
    <m/>
    <m/>
    <m/>
  </r>
  <r>
    <m/>
    <m/>
    <m/>
    <x v="5"/>
    <x v="0"/>
    <s v="shortName"/>
    <s v="tls WG"/>
    <m/>
    <x v="2"/>
    <s v="reference"/>
    <s v="RFC6066"/>
    <m/>
    <m/>
    <m/>
    <m/>
    <m/>
    <m/>
    <m/>
  </r>
  <r>
    <m/>
    <m/>
    <m/>
    <x v="13"/>
    <x v="2"/>
    <s v="reference"/>
    <s v="RFC6066"/>
    <m/>
    <x v="2"/>
    <s v="reference"/>
    <s v="RFC4366"/>
    <m/>
    <m/>
    <m/>
    <m/>
    <m/>
    <m/>
    <m/>
  </r>
  <r>
    <m/>
    <m/>
    <m/>
    <x v="5"/>
    <x v="0"/>
    <s v="shortName"/>
    <s v="tls WG"/>
    <m/>
    <x v="2"/>
    <s v="reference"/>
    <s v="RFC6176"/>
    <m/>
    <m/>
    <m/>
    <m/>
    <m/>
    <m/>
    <m/>
  </r>
  <r>
    <m/>
    <m/>
    <m/>
    <x v="14"/>
    <x v="2"/>
    <s v="reference"/>
    <s v="RFC6176"/>
    <m/>
    <x v="2"/>
    <s v="reference"/>
    <s v="Netscape SSL2"/>
    <m/>
    <m/>
    <m/>
    <m/>
    <m/>
    <m/>
    <m/>
  </r>
  <r>
    <m/>
    <m/>
    <m/>
    <x v="14"/>
    <x v="2"/>
    <s v="reference"/>
    <s v="RFC6176"/>
    <m/>
    <x v="2"/>
    <s v="reference"/>
    <s v="draft-hickman-netscape-ssl-00"/>
    <m/>
    <m/>
    <m/>
    <m/>
    <m/>
    <m/>
    <m/>
  </r>
  <r>
    <m/>
    <m/>
    <m/>
    <x v="10"/>
    <x v="2"/>
    <s v="reference"/>
    <s v="RFC6176"/>
    <m/>
    <x v="2"/>
    <s v="reference"/>
    <s v="RFC5246"/>
    <m/>
    <m/>
    <m/>
    <m/>
    <m/>
    <m/>
    <m/>
  </r>
  <r>
    <m/>
    <m/>
    <m/>
    <x v="10"/>
    <x v="2"/>
    <s v="reference"/>
    <s v="RFC6176"/>
    <m/>
    <x v="2"/>
    <s v="reference"/>
    <s v="RFC4346"/>
    <m/>
    <m/>
    <m/>
    <m/>
    <m/>
    <m/>
    <m/>
  </r>
  <r>
    <m/>
    <m/>
    <m/>
    <x v="10"/>
    <x v="2"/>
    <s v="reference"/>
    <s v="RFC6176"/>
    <m/>
    <x v="2"/>
    <s v="reference"/>
    <s v="RFC2246"/>
    <m/>
    <m/>
    <m/>
    <m/>
    <m/>
    <m/>
    <m/>
  </r>
  <r>
    <m/>
    <m/>
    <m/>
    <x v="5"/>
    <x v="0"/>
    <s v="shortName"/>
    <s v="tls WG"/>
    <m/>
    <x v="2"/>
    <s v="reference"/>
    <s v="RFC6347"/>
    <m/>
    <m/>
    <m/>
    <m/>
    <m/>
    <m/>
    <m/>
  </r>
  <r>
    <m/>
    <m/>
    <m/>
    <x v="6"/>
    <x v="2"/>
    <s v="reference"/>
    <s v="RFC6347"/>
    <m/>
    <x v="3"/>
    <s v="reference"/>
    <s v="DTLS"/>
    <m/>
    <m/>
    <m/>
    <m/>
    <m/>
    <m/>
    <m/>
  </r>
  <r>
    <m/>
    <m/>
    <m/>
    <x v="13"/>
    <x v="2"/>
    <s v="reference"/>
    <s v="RFC6347"/>
    <m/>
    <x v="2"/>
    <s v="reference"/>
    <s v="RFC4347"/>
    <m/>
    <m/>
    <m/>
    <m/>
    <m/>
    <m/>
    <m/>
  </r>
  <r>
    <m/>
    <m/>
    <m/>
    <x v="5"/>
    <x v="0"/>
    <s v="shortName"/>
    <s v="tls WG"/>
    <m/>
    <x v="2"/>
    <s v="reference"/>
    <s v="RFC6520"/>
    <m/>
    <m/>
    <m/>
    <m/>
    <m/>
    <m/>
    <m/>
  </r>
  <r>
    <m/>
    <m/>
    <m/>
    <x v="5"/>
    <x v="0"/>
    <s v="shortName"/>
    <s v="tls WG"/>
    <m/>
    <x v="2"/>
    <s v="reference"/>
    <s v="RFC6961"/>
    <m/>
    <m/>
    <m/>
    <m/>
    <m/>
    <m/>
    <m/>
  </r>
  <r>
    <m/>
    <m/>
    <m/>
    <x v="5"/>
    <x v="0"/>
    <s v="shortName"/>
    <s v="IETF"/>
    <m/>
    <x v="2"/>
    <s v="reference"/>
    <s v="RFC7027"/>
    <m/>
    <m/>
    <m/>
    <m/>
    <m/>
    <m/>
    <m/>
  </r>
  <r>
    <m/>
    <m/>
    <m/>
    <x v="10"/>
    <x v="2"/>
    <s v="reference"/>
    <s v="RFC7027"/>
    <m/>
    <x v="2"/>
    <s v="reference"/>
    <s v="RFC4492"/>
    <m/>
    <m/>
    <m/>
    <m/>
    <m/>
    <m/>
    <m/>
  </r>
  <r>
    <m/>
    <m/>
    <m/>
    <x v="5"/>
    <x v="0"/>
    <s v="shortName"/>
    <s v="tls WG"/>
    <m/>
    <x v="2"/>
    <s v="reference"/>
    <s v="RFC7301"/>
    <m/>
    <m/>
    <m/>
    <m/>
    <m/>
    <m/>
    <m/>
  </r>
  <r>
    <m/>
    <m/>
    <m/>
    <x v="5"/>
    <x v="0"/>
    <s v="shortName"/>
    <s v="tls WG"/>
    <m/>
    <x v="2"/>
    <s v="reference"/>
    <s v="RFC7465"/>
    <m/>
    <m/>
    <m/>
    <m/>
    <m/>
    <m/>
    <m/>
  </r>
  <r>
    <m/>
    <m/>
    <m/>
    <x v="10"/>
    <x v="2"/>
    <s v="reference"/>
    <s v="RFC7465"/>
    <m/>
    <x v="2"/>
    <s v="reference"/>
    <s v="RFC5246"/>
    <m/>
    <m/>
    <m/>
    <m/>
    <m/>
    <m/>
    <m/>
  </r>
  <r>
    <m/>
    <m/>
    <m/>
    <x v="10"/>
    <x v="2"/>
    <s v="reference"/>
    <s v="RFC7465"/>
    <m/>
    <x v="2"/>
    <s v="reference"/>
    <s v="RFC4346"/>
    <m/>
    <m/>
    <m/>
    <m/>
    <m/>
    <m/>
    <m/>
  </r>
  <r>
    <m/>
    <m/>
    <m/>
    <x v="10"/>
    <x v="2"/>
    <s v="reference"/>
    <s v="RFC7465"/>
    <m/>
    <x v="2"/>
    <s v="reference"/>
    <s v="RFC2246"/>
    <m/>
    <m/>
    <m/>
    <m/>
    <m/>
    <m/>
    <m/>
  </r>
  <r>
    <m/>
    <m/>
    <m/>
    <x v="5"/>
    <x v="0"/>
    <s v="shortName"/>
    <s v="tls WG"/>
    <m/>
    <x v="2"/>
    <s v="reference"/>
    <s v="RFC7507"/>
    <m/>
    <m/>
    <m/>
    <m/>
    <m/>
    <m/>
    <m/>
  </r>
  <r>
    <m/>
    <m/>
    <m/>
    <x v="10"/>
    <x v="2"/>
    <s v="reference"/>
    <s v="RFC7507"/>
    <m/>
    <x v="2"/>
    <s v="reference"/>
    <s v="RFC5246"/>
    <m/>
    <m/>
    <m/>
    <m/>
    <m/>
    <m/>
    <m/>
  </r>
  <r>
    <m/>
    <m/>
    <m/>
    <x v="10"/>
    <x v="2"/>
    <s v="reference"/>
    <s v="RFC7507"/>
    <m/>
    <x v="2"/>
    <s v="reference"/>
    <s v="RFC4346"/>
    <m/>
    <m/>
    <m/>
    <m/>
    <m/>
    <m/>
    <m/>
  </r>
  <r>
    <m/>
    <m/>
    <m/>
    <x v="10"/>
    <x v="2"/>
    <s v="reference"/>
    <s v="RFC7507"/>
    <m/>
    <x v="2"/>
    <s v="reference"/>
    <s v="RFC2246"/>
    <m/>
    <m/>
    <m/>
    <m/>
    <m/>
    <m/>
    <m/>
  </r>
  <r>
    <m/>
    <m/>
    <m/>
    <x v="10"/>
    <x v="2"/>
    <s v="reference"/>
    <s v="RFC7507"/>
    <m/>
    <x v="2"/>
    <s v="reference"/>
    <s v="RFC6347"/>
    <m/>
    <m/>
    <m/>
    <m/>
    <m/>
    <m/>
    <m/>
  </r>
  <r>
    <m/>
    <m/>
    <m/>
    <x v="10"/>
    <x v="2"/>
    <s v="reference"/>
    <s v="RFC7507"/>
    <m/>
    <x v="2"/>
    <s v="reference"/>
    <s v="RFC4347"/>
    <m/>
    <m/>
    <m/>
    <m/>
    <m/>
    <m/>
    <m/>
  </r>
  <r>
    <m/>
    <m/>
    <m/>
    <x v="5"/>
    <x v="0"/>
    <s v="shortName"/>
    <s v="uta WG"/>
    <m/>
    <x v="2"/>
    <s v="reference"/>
    <s v="RFC7525"/>
    <m/>
    <m/>
    <m/>
    <m/>
    <m/>
    <m/>
    <m/>
  </r>
  <r>
    <m/>
    <m/>
    <m/>
    <x v="5"/>
    <x v="0"/>
    <s v="shortName"/>
    <s v="tls WG"/>
    <m/>
    <x v="2"/>
    <s v="reference"/>
    <s v="RFC7568"/>
    <m/>
    <m/>
    <m/>
    <m/>
    <m/>
    <m/>
    <m/>
  </r>
  <r>
    <m/>
    <m/>
    <m/>
    <x v="14"/>
    <x v="2"/>
    <s v="reference"/>
    <s v="RFC7568"/>
    <m/>
    <x v="2"/>
    <s v="reference"/>
    <s v="Netscape SSL3"/>
    <m/>
    <m/>
    <m/>
    <m/>
    <m/>
    <m/>
    <m/>
  </r>
  <r>
    <m/>
    <m/>
    <m/>
    <x v="14"/>
    <x v="2"/>
    <s v="reference"/>
    <s v="RFC7568"/>
    <m/>
    <x v="2"/>
    <s v="reference"/>
    <s v="RFC6101"/>
    <m/>
    <m/>
    <m/>
    <m/>
    <m/>
    <m/>
    <m/>
  </r>
  <r>
    <m/>
    <m/>
    <m/>
    <x v="10"/>
    <x v="2"/>
    <s v="reference"/>
    <s v="RFC7568"/>
    <m/>
    <x v="2"/>
    <s v="reference"/>
    <s v="RFC5246"/>
    <m/>
    <m/>
    <m/>
    <m/>
    <m/>
    <m/>
    <m/>
  </r>
  <r>
    <m/>
    <m/>
    <m/>
    <x v="5"/>
    <x v="0"/>
    <s v="shortName"/>
    <s v="tls WG"/>
    <m/>
    <x v="2"/>
    <s v="reference"/>
    <s v="RFC7627"/>
    <m/>
    <m/>
    <m/>
    <m/>
    <m/>
    <m/>
    <m/>
  </r>
  <r>
    <m/>
    <m/>
    <m/>
    <x v="10"/>
    <x v="2"/>
    <s v="reference"/>
    <s v="RFC7627"/>
    <m/>
    <x v="2"/>
    <s v="reference"/>
    <s v="RFC5246"/>
    <m/>
    <m/>
    <m/>
    <m/>
    <m/>
    <m/>
    <m/>
  </r>
  <r>
    <m/>
    <m/>
    <m/>
    <x v="5"/>
    <x v="0"/>
    <s v="shortName"/>
    <s v="tls WG"/>
    <m/>
    <x v="2"/>
    <s v="reference"/>
    <s v="RFC7685"/>
    <m/>
    <m/>
    <m/>
    <m/>
    <m/>
    <m/>
    <m/>
  </r>
  <r>
    <m/>
    <m/>
    <m/>
    <x v="10"/>
    <x v="2"/>
    <s v="reference"/>
    <s v="RFC7685"/>
    <m/>
    <x v="2"/>
    <s v="reference"/>
    <s v="RFC5246"/>
    <m/>
    <m/>
    <m/>
    <m/>
    <m/>
    <m/>
    <m/>
  </r>
  <r>
    <m/>
    <m/>
    <m/>
    <x v="5"/>
    <x v="0"/>
    <s v="shortName"/>
    <s v="tls WG"/>
    <m/>
    <x v="2"/>
    <s v="reference"/>
    <s v="RFC7905"/>
    <m/>
    <m/>
    <m/>
    <m/>
    <m/>
    <m/>
    <m/>
  </r>
  <r>
    <m/>
    <m/>
    <m/>
    <x v="10"/>
    <x v="2"/>
    <s v="reference"/>
    <s v="RFC7905"/>
    <m/>
    <x v="2"/>
    <s v="reference"/>
    <s v="RFC5246"/>
    <m/>
    <m/>
    <m/>
    <m/>
    <m/>
    <m/>
    <m/>
  </r>
  <r>
    <m/>
    <m/>
    <m/>
    <x v="10"/>
    <x v="2"/>
    <s v="reference"/>
    <s v="RFC7905"/>
    <m/>
    <x v="2"/>
    <s v="reference"/>
    <s v="RFC6347"/>
    <m/>
    <m/>
    <m/>
    <m/>
    <m/>
    <m/>
    <m/>
  </r>
  <r>
    <m/>
    <m/>
    <m/>
    <x v="5"/>
    <x v="0"/>
    <s v="shortName"/>
    <s v="tls WG"/>
    <m/>
    <x v="2"/>
    <s v="reference"/>
    <s v="RFC7919"/>
    <m/>
    <m/>
    <m/>
    <m/>
    <m/>
    <m/>
    <m/>
  </r>
  <r>
    <m/>
    <m/>
    <m/>
    <x v="10"/>
    <x v="2"/>
    <s v="reference"/>
    <s v="RFC7919"/>
    <m/>
    <x v="2"/>
    <s v="reference"/>
    <s v="RFC5246"/>
    <m/>
    <m/>
    <m/>
    <m/>
    <m/>
    <m/>
    <m/>
  </r>
  <r>
    <m/>
    <m/>
    <m/>
    <x v="10"/>
    <x v="2"/>
    <s v="reference"/>
    <s v="RFC7919"/>
    <m/>
    <x v="2"/>
    <s v="reference"/>
    <s v="RFC4492"/>
    <m/>
    <m/>
    <m/>
    <m/>
    <m/>
    <m/>
    <m/>
  </r>
  <r>
    <m/>
    <m/>
    <m/>
    <x v="10"/>
    <x v="2"/>
    <s v="reference"/>
    <s v="RFC7919"/>
    <m/>
    <x v="2"/>
    <s v="reference"/>
    <s v="RFC4346"/>
    <m/>
    <m/>
    <m/>
    <m/>
    <m/>
    <m/>
    <m/>
  </r>
  <r>
    <m/>
    <m/>
    <m/>
    <x v="10"/>
    <x v="2"/>
    <s v="reference"/>
    <s v="RFC7919"/>
    <m/>
    <x v="2"/>
    <s v="reference"/>
    <s v="RFC2246"/>
    <m/>
    <m/>
    <m/>
    <m/>
    <m/>
    <m/>
    <m/>
  </r>
  <r>
    <m/>
    <m/>
    <m/>
    <x v="5"/>
    <x v="0"/>
    <s v="shortName"/>
    <s v="tls WG"/>
    <m/>
    <x v="2"/>
    <s v="reference"/>
    <s v="RFC8422"/>
    <m/>
    <m/>
    <m/>
    <m/>
    <m/>
    <m/>
    <m/>
  </r>
  <r>
    <m/>
    <m/>
    <m/>
    <x v="13"/>
    <x v="2"/>
    <s v="reference"/>
    <s v="RFC8422"/>
    <m/>
    <x v="2"/>
    <s v="reference"/>
    <s v="RFC4492"/>
    <m/>
    <m/>
    <m/>
    <m/>
    <m/>
    <m/>
    <m/>
  </r>
  <r>
    <m/>
    <m/>
    <m/>
    <x v="5"/>
    <x v="0"/>
    <s v="shortName"/>
    <s v="tls WG"/>
    <m/>
    <x v="2"/>
    <s v="reference"/>
    <s v="RFC8446"/>
    <m/>
    <m/>
    <m/>
    <m/>
    <m/>
    <m/>
    <m/>
  </r>
  <r>
    <m/>
    <m/>
    <m/>
    <x v="6"/>
    <x v="2"/>
    <s v="reference"/>
    <s v="RFC8446"/>
    <m/>
    <x v="3"/>
    <s v="reference"/>
    <s v="SSL/TLS"/>
    <m/>
    <m/>
    <m/>
    <m/>
    <m/>
    <m/>
    <m/>
  </r>
  <r>
    <m/>
    <m/>
    <m/>
    <x v="13"/>
    <x v="2"/>
    <s v="reference"/>
    <s v="RFC8446"/>
    <m/>
    <x v="2"/>
    <s v="reference"/>
    <s v="RFC5246"/>
    <m/>
    <m/>
    <m/>
    <m/>
    <m/>
    <m/>
    <m/>
  </r>
  <r>
    <m/>
    <m/>
    <m/>
    <x v="13"/>
    <x v="2"/>
    <s v="reference"/>
    <s v="RFC8446"/>
    <m/>
    <x v="2"/>
    <s v="reference"/>
    <s v="RFC5077"/>
    <m/>
    <m/>
    <m/>
    <m/>
    <m/>
    <m/>
    <m/>
  </r>
  <r>
    <m/>
    <m/>
    <m/>
    <x v="13"/>
    <x v="2"/>
    <s v="reference"/>
    <s v="RFC8446"/>
    <m/>
    <x v="2"/>
    <s v="reference"/>
    <s v="RFC6961"/>
    <m/>
    <m/>
    <m/>
    <m/>
    <m/>
    <m/>
    <m/>
  </r>
  <r>
    <m/>
    <m/>
    <m/>
    <x v="10"/>
    <x v="2"/>
    <s v="reference"/>
    <s v="RFC8446"/>
    <m/>
    <x v="2"/>
    <s v="reference"/>
    <s v="RFC5705"/>
    <m/>
    <m/>
    <m/>
    <m/>
    <m/>
    <m/>
    <m/>
  </r>
  <r>
    <m/>
    <m/>
    <m/>
    <x v="10"/>
    <x v="2"/>
    <s v="reference"/>
    <s v="RFC8446"/>
    <m/>
    <x v="2"/>
    <s v="reference"/>
    <s v="RFC6066"/>
    <m/>
    <m/>
    <m/>
    <m/>
    <m/>
    <m/>
    <m/>
  </r>
  <r>
    <m/>
    <m/>
    <m/>
    <x v="5"/>
    <x v="0"/>
    <s v="shortName"/>
    <s v="tls WG"/>
    <m/>
    <x v="2"/>
    <s v="reference"/>
    <s v="RFC8447"/>
    <m/>
    <m/>
    <m/>
    <m/>
    <m/>
    <m/>
    <m/>
  </r>
  <r>
    <m/>
    <m/>
    <m/>
    <x v="10"/>
    <x v="2"/>
    <s v="reference"/>
    <s v="RFC8447"/>
    <m/>
    <x v="2"/>
    <s v="reference"/>
    <s v="RFC5246"/>
    <m/>
    <m/>
    <m/>
    <m/>
    <m/>
    <m/>
    <m/>
  </r>
  <r>
    <m/>
    <m/>
    <m/>
    <x v="10"/>
    <x v="2"/>
    <s v="reference"/>
    <s v="RFC8447"/>
    <m/>
    <x v="2"/>
    <s v="reference"/>
    <s v="RFC3749"/>
    <m/>
    <m/>
    <m/>
    <m/>
    <m/>
    <m/>
    <m/>
  </r>
  <r>
    <m/>
    <m/>
    <m/>
    <x v="10"/>
    <x v="2"/>
    <s v="reference"/>
    <s v="RFC8447"/>
    <m/>
    <x v="2"/>
    <s v="reference"/>
    <s v="RFC4680"/>
    <m/>
    <m/>
    <m/>
    <m/>
    <m/>
    <m/>
    <m/>
  </r>
  <r>
    <m/>
    <m/>
    <m/>
    <x v="10"/>
    <x v="2"/>
    <s v="reference"/>
    <s v="RFC8447"/>
    <m/>
    <x v="2"/>
    <s v="reference"/>
    <s v="RFC5077"/>
    <m/>
    <m/>
    <m/>
    <m/>
    <m/>
    <m/>
    <m/>
  </r>
  <r>
    <m/>
    <m/>
    <m/>
    <x v="10"/>
    <x v="2"/>
    <s v="reference"/>
    <s v="RFC8447"/>
    <m/>
    <x v="2"/>
    <s v="reference"/>
    <s v="RFC5705"/>
    <m/>
    <m/>
    <m/>
    <m/>
    <m/>
    <m/>
    <m/>
  </r>
  <r>
    <m/>
    <m/>
    <m/>
    <x v="10"/>
    <x v="2"/>
    <s v="reference"/>
    <s v="RFC8447"/>
    <m/>
    <x v="2"/>
    <s v="reference"/>
    <s v="RFC5878"/>
    <m/>
    <m/>
    <m/>
    <m/>
    <m/>
    <m/>
    <m/>
  </r>
  <r>
    <m/>
    <m/>
    <m/>
    <x v="10"/>
    <x v="2"/>
    <s v="reference"/>
    <s v="RFC8447"/>
    <m/>
    <x v="2"/>
    <s v="reference"/>
    <s v="RFC6520"/>
    <m/>
    <m/>
    <m/>
    <m/>
    <m/>
    <m/>
    <m/>
  </r>
  <r>
    <m/>
    <m/>
    <m/>
    <x v="10"/>
    <x v="2"/>
    <s v="reference"/>
    <s v="RFC8447"/>
    <m/>
    <x v="2"/>
    <s v="reference"/>
    <s v="RFC7301"/>
    <m/>
    <m/>
    <m/>
    <m/>
    <m/>
    <m/>
    <m/>
  </r>
  <r>
    <m/>
    <m/>
    <m/>
    <x v="5"/>
    <x v="0"/>
    <s v="shortName"/>
    <s v="tls WG"/>
    <m/>
    <x v="2"/>
    <s v="reference"/>
    <s v="RFC8449"/>
    <m/>
    <m/>
    <m/>
    <m/>
    <m/>
    <m/>
    <m/>
  </r>
  <r>
    <m/>
    <m/>
    <m/>
    <x v="10"/>
    <x v="2"/>
    <s v="reference"/>
    <s v="RFC8449"/>
    <m/>
    <x v="2"/>
    <s v="reference"/>
    <s v="RFC6066"/>
    <m/>
    <m/>
    <m/>
    <m/>
    <m/>
    <m/>
    <m/>
  </r>
  <r>
    <m/>
    <m/>
    <m/>
    <x v="5"/>
    <x v="0"/>
    <s v="shortName"/>
    <s v="tls WG"/>
    <m/>
    <x v="2"/>
    <s v="reference"/>
    <s v="RFC8996"/>
    <m/>
    <m/>
    <m/>
    <m/>
    <m/>
    <m/>
    <m/>
  </r>
  <r>
    <m/>
    <m/>
    <m/>
    <x v="6"/>
    <x v="2"/>
    <s v="reference"/>
    <s v="RFC8996"/>
    <m/>
    <x v="3"/>
    <s v="reference"/>
    <s v="BCP195"/>
    <m/>
    <m/>
    <m/>
    <m/>
    <m/>
    <m/>
    <m/>
  </r>
  <r>
    <m/>
    <m/>
    <m/>
    <x v="14"/>
    <x v="2"/>
    <s v="reference"/>
    <s v="RFC8996"/>
    <m/>
    <x v="2"/>
    <s v="reference"/>
    <s v="RFC2246"/>
    <m/>
    <m/>
    <m/>
    <m/>
    <m/>
    <m/>
    <m/>
  </r>
  <r>
    <m/>
    <m/>
    <m/>
    <x v="14"/>
    <x v="2"/>
    <s v="reference"/>
    <s v="RFC8996"/>
    <m/>
    <x v="2"/>
    <s v="reference"/>
    <s v="RFC4346"/>
    <m/>
    <m/>
    <m/>
    <m/>
    <m/>
    <m/>
    <m/>
  </r>
  <r>
    <m/>
    <m/>
    <m/>
    <x v="14"/>
    <x v="2"/>
    <s v="reference"/>
    <s v="RFC8996"/>
    <m/>
    <x v="2"/>
    <s v="reference"/>
    <s v="RFC4347"/>
    <m/>
    <m/>
    <m/>
    <m/>
    <m/>
    <m/>
    <m/>
  </r>
  <r>
    <m/>
    <m/>
    <m/>
    <x v="13"/>
    <x v="2"/>
    <s v="reference"/>
    <s v="RFC8996"/>
    <m/>
    <x v="2"/>
    <s v="reference"/>
    <s v="RFC7507"/>
    <m/>
    <m/>
    <m/>
    <m/>
    <m/>
    <m/>
    <m/>
  </r>
  <r>
    <m/>
    <m/>
    <m/>
    <x v="13"/>
    <x v="2"/>
    <s v="reference"/>
    <s v="RFC8996"/>
    <m/>
    <x v="2"/>
    <s v="reference"/>
    <s v="RFC5469"/>
    <m/>
    <m/>
    <m/>
    <m/>
    <m/>
    <m/>
    <m/>
  </r>
  <r>
    <m/>
    <m/>
    <m/>
    <x v="10"/>
    <x v="2"/>
    <s v="reference"/>
    <s v="RFC8996"/>
    <m/>
    <x v="2"/>
    <s v="reference"/>
    <s v="RFC8422"/>
    <m/>
    <m/>
    <m/>
    <m/>
    <m/>
    <m/>
    <m/>
  </r>
  <r>
    <m/>
    <m/>
    <m/>
    <x v="10"/>
    <x v="2"/>
    <s v="reference"/>
    <s v="RFC8996"/>
    <m/>
    <x v="2"/>
    <s v="reference"/>
    <s v="RFC7568"/>
    <m/>
    <m/>
    <m/>
    <m/>
    <m/>
    <m/>
    <m/>
  </r>
  <r>
    <m/>
    <m/>
    <m/>
    <x v="10"/>
    <x v="2"/>
    <s v="reference"/>
    <s v="RFC8996"/>
    <m/>
    <x v="2"/>
    <s v="reference"/>
    <s v="RFC7525"/>
    <m/>
    <m/>
    <m/>
    <m/>
    <m/>
    <m/>
    <m/>
  </r>
  <r>
    <m/>
    <m/>
    <m/>
    <x v="10"/>
    <x v="2"/>
    <s v="reference"/>
    <s v="RFC8996"/>
    <m/>
    <x v="2"/>
    <s v="reference"/>
    <s v="RFC7465"/>
    <m/>
    <m/>
    <m/>
    <m/>
    <m/>
    <m/>
    <m/>
  </r>
  <r>
    <m/>
    <m/>
    <m/>
    <x v="10"/>
    <x v="2"/>
    <s v="reference"/>
    <s v="RFC8996"/>
    <m/>
    <x v="2"/>
    <s v="reference"/>
    <s v="RFC6750"/>
    <m/>
    <m/>
    <m/>
    <m/>
    <m/>
    <m/>
    <m/>
  </r>
  <r>
    <m/>
    <m/>
    <m/>
    <x v="10"/>
    <x v="2"/>
    <s v="reference"/>
    <s v="RFC8996"/>
    <m/>
    <x v="2"/>
    <s v="reference"/>
    <s v="RFC6749"/>
    <m/>
    <m/>
    <m/>
    <m/>
    <m/>
    <m/>
    <m/>
  </r>
  <r>
    <m/>
    <m/>
    <m/>
    <x v="10"/>
    <x v="2"/>
    <s v="reference"/>
    <s v="RFC8996"/>
    <m/>
    <x v="2"/>
    <s v="reference"/>
    <s v="RFC6347"/>
    <m/>
    <m/>
    <m/>
    <m/>
    <m/>
    <m/>
    <m/>
  </r>
  <r>
    <m/>
    <m/>
    <m/>
    <x v="10"/>
    <x v="2"/>
    <s v="reference"/>
    <s v="RFC8996"/>
    <m/>
    <x v="2"/>
    <s v="reference"/>
    <s v="RFC6176"/>
    <m/>
    <m/>
    <m/>
    <m/>
    <m/>
    <m/>
    <m/>
  </r>
  <r>
    <m/>
    <m/>
    <m/>
    <x v="10"/>
    <x v="2"/>
    <s v="reference"/>
    <s v="RFC8996"/>
    <m/>
    <x v="2"/>
    <s v="reference"/>
    <s v="RFC5878"/>
    <m/>
    <m/>
    <m/>
    <m/>
    <m/>
    <m/>
    <m/>
  </r>
  <r>
    <m/>
    <m/>
    <m/>
    <x v="10"/>
    <x v="2"/>
    <s v="reference"/>
    <s v="RFC8996"/>
    <m/>
    <x v="2"/>
    <s v="reference"/>
    <s v="RFC4681"/>
    <m/>
    <m/>
    <m/>
    <m/>
    <m/>
    <m/>
    <m/>
  </r>
  <r>
    <m/>
    <m/>
    <m/>
    <x v="10"/>
    <x v="2"/>
    <s v="reference"/>
    <s v="RFC8996"/>
    <m/>
    <x v="2"/>
    <s v="reference"/>
    <s v="RFC4680"/>
    <m/>
    <m/>
    <m/>
    <m/>
    <m/>
    <m/>
    <m/>
  </r>
  <r>
    <m/>
    <m/>
    <m/>
    <x v="10"/>
    <x v="2"/>
    <s v="reference"/>
    <s v="RFC8996"/>
    <m/>
    <x v="2"/>
    <s v="reference"/>
    <s v="RFC3749"/>
    <m/>
    <m/>
    <m/>
    <m/>
    <m/>
    <m/>
    <m/>
  </r>
  <r>
    <m/>
    <m/>
    <m/>
    <x v="10"/>
    <x v="2"/>
    <s v="reference"/>
    <s v="RFC8996"/>
    <m/>
    <x v="2"/>
    <s v="reference"/>
    <s v="RFC3261"/>
    <m/>
    <m/>
    <m/>
    <m/>
    <m/>
    <m/>
    <m/>
  </r>
  <r>
    <m/>
    <m/>
    <m/>
    <x v="10"/>
    <x v="2"/>
    <s v="reference"/>
    <s v="RFC8996"/>
    <m/>
    <x v="2"/>
    <s v="reference"/>
    <s v="RFC3329"/>
    <m/>
    <m/>
    <m/>
    <m/>
    <m/>
    <m/>
    <m/>
  </r>
  <r>
    <m/>
    <m/>
    <m/>
    <x v="10"/>
    <x v="2"/>
    <s v="reference"/>
    <s v="RFC8996"/>
    <m/>
    <x v="2"/>
    <s v="reference"/>
    <s v="RFC3436"/>
    <m/>
    <m/>
    <m/>
    <m/>
    <m/>
    <m/>
    <m/>
  </r>
  <r>
    <m/>
    <m/>
    <m/>
    <x v="10"/>
    <x v="2"/>
    <s v="reference"/>
    <s v="RFC8996"/>
    <m/>
    <x v="2"/>
    <s v="reference"/>
    <s v="RFC3470"/>
    <m/>
    <m/>
    <m/>
    <m/>
    <m/>
    <m/>
    <m/>
  </r>
  <r>
    <m/>
    <m/>
    <m/>
    <x v="10"/>
    <x v="2"/>
    <s v="reference"/>
    <s v="RFC8996"/>
    <m/>
    <x v="2"/>
    <s v="reference"/>
    <s v="RFC3501"/>
    <m/>
    <m/>
    <m/>
    <m/>
    <m/>
    <m/>
    <m/>
  </r>
  <r>
    <m/>
    <m/>
    <m/>
    <x v="10"/>
    <x v="2"/>
    <s v="reference"/>
    <s v="RFC8996"/>
    <m/>
    <x v="2"/>
    <s v="reference"/>
    <s v="RFC3552"/>
    <m/>
    <m/>
    <m/>
    <m/>
    <m/>
    <m/>
    <m/>
  </r>
  <r>
    <m/>
    <m/>
    <m/>
    <x v="10"/>
    <x v="2"/>
    <s v="reference"/>
    <s v="RFC8996"/>
    <m/>
    <x v="2"/>
    <s v="reference"/>
    <s v="RFC3568"/>
    <m/>
    <m/>
    <m/>
    <m/>
    <m/>
    <m/>
    <m/>
  </r>
  <r>
    <m/>
    <m/>
    <m/>
    <x v="10"/>
    <x v="2"/>
    <s v="reference"/>
    <s v="RFC8996"/>
    <m/>
    <x v="2"/>
    <s v="reference"/>
    <s v="RFC3656"/>
    <m/>
    <m/>
    <m/>
    <m/>
    <m/>
    <m/>
    <m/>
  </r>
  <r>
    <m/>
    <m/>
    <m/>
    <x v="10"/>
    <x v="2"/>
    <s v="reference"/>
    <s v="RFC8996"/>
    <m/>
    <x v="2"/>
    <s v="reference"/>
    <s v="RFC3767"/>
    <m/>
    <m/>
    <m/>
    <m/>
    <m/>
    <m/>
    <m/>
  </r>
  <r>
    <m/>
    <m/>
    <m/>
    <x v="10"/>
    <x v="2"/>
    <s v="reference"/>
    <s v="RFC8996"/>
    <m/>
    <x v="2"/>
    <s v="reference"/>
    <s v="RFC3856"/>
    <m/>
    <m/>
    <m/>
    <m/>
    <m/>
    <m/>
    <m/>
  </r>
  <r>
    <m/>
    <m/>
    <m/>
    <x v="10"/>
    <x v="2"/>
    <s v="reference"/>
    <s v="RFC8996"/>
    <m/>
    <x v="2"/>
    <s v="reference"/>
    <s v="RFC3871"/>
    <m/>
    <m/>
    <m/>
    <m/>
    <m/>
    <m/>
    <m/>
  </r>
  <r>
    <m/>
    <m/>
    <m/>
    <x v="10"/>
    <x v="2"/>
    <s v="reference"/>
    <s v="RFC8996"/>
    <m/>
    <x v="2"/>
    <s v="reference"/>
    <s v="RFC3887"/>
    <m/>
    <m/>
    <m/>
    <m/>
    <m/>
    <m/>
    <m/>
  </r>
  <r>
    <m/>
    <m/>
    <m/>
    <x v="10"/>
    <x v="2"/>
    <s v="reference"/>
    <s v="RFC8996"/>
    <m/>
    <x v="2"/>
    <s v="reference"/>
    <s v="RFC3903"/>
    <m/>
    <m/>
    <m/>
    <m/>
    <m/>
    <m/>
    <m/>
  </r>
  <r>
    <m/>
    <m/>
    <m/>
    <x v="10"/>
    <x v="2"/>
    <s v="reference"/>
    <s v="RFC8996"/>
    <m/>
    <x v="2"/>
    <s v="reference"/>
    <s v="RFC3943"/>
    <m/>
    <m/>
    <m/>
    <m/>
    <m/>
    <m/>
    <m/>
  </r>
  <r>
    <m/>
    <m/>
    <m/>
    <x v="10"/>
    <x v="2"/>
    <s v="reference"/>
    <s v="RFC8996"/>
    <m/>
    <x v="2"/>
    <s v="reference"/>
    <s v="RFC3983"/>
    <m/>
    <m/>
    <m/>
    <m/>
    <m/>
    <m/>
    <m/>
  </r>
  <r>
    <m/>
    <m/>
    <m/>
    <x v="10"/>
    <x v="2"/>
    <s v="reference"/>
    <s v="RFC8996"/>
    <m/>
    <x v="2"/>
    <s v="reference"/>
    <s v="RFC4097"/>
    <m/>
    <m/>
    <m/>
    <m/>
    <m/>
    <m/>
    <m/>
  </r>
  <r>
    <m/>
    <m/>
    <m/>
    <x v="10"/>
    <x v="2"/>
    <s v="reference"/>
    <s v="RFC8996"/>
    <m/>
    <x v="2"/>
    <s v="reference"/>
    <s v="RFC4111"/>
    <m/>
    <m/>
    <m/>
    <m/>
    <m/>
    <m/>
    <m/>
  </r>
  <r>
    <m/>
    <m/>
    <m/>
    <x v="10"/>
    <x v="2"/>
    <s v="reference"/>
    <s v="RFC8996"/>
    <m/>
    <x v="2"/>
    <s v="reference"/>
    <s v="RFC4162"/>
    <m/>
    <m/>
    <m/>
    <m/>
    <m/>
    <m/>
    <m/>
  </r>
  <r>
    <m/>
    <m/>
    <m/>
    <x v="10"/>
    <x v="2"/>
    <s v="reference"/>
    <s v="RFC8996"/>
    <m/>
    <x v="2"/>
    <s v="reference"/>
    <s v="RFC4168"/>
    <m/>
    <m/>
    <m/>
    <m/>
    <m/>
    <m/>
    <m/>
  </r>
  <r>
    <m/>
    <m/>
    <m/>
    <x v="10"/>
    <x v="2"/>
    <s v="reference"/>
    <s v="RFC8996"/>
    <m/>
    <x v="2"/>
    <s v="reference"/>
    <s v="RFC4217"/>
    <m/>
    <m/>
    <m/>
    <m/>
    <m/>
    <m/>
    <m/>
  </r>
  <r>
    <m/>
    <m/>
    <m/>
    <x v="10"/>
    <x v="2"/>
    <s v="reference"/>
    <s v="RFC8996"/>
    <m/>
    <x v="2"/>
    <s v="reference"/>
    <s v="RFC4235"/>
    <m/>
    <m/>
    <m/>
    <m/>
    <m/>
    <m/>
    <m/>
  </r>
  <r>
    <m/>
    <m/>
    <m/>
    <x v="10"/>
    <x v="2"/>
    <s v="reference"/>
    <s v="RFC8996"/>
    <m/>
    <x v="2"/>
    <s v="reference"/>
    <s v="RFC4261"/>
    <m/>
    <m/>
    <m/>
    <m/>
    <m/>
    <m/>
    <m/>
  </r>
  <r>
    <m/>
    <m/>
    <m/>
    <x v="10"/>
    <x v="2"/>
    <s v="reference"/>
    <s v="RFC8996"/>
    <m/>
    <x v="2"/>
    <s v="reference"/>
    <s v="RFC4279"/>
    <m/>
    <m/>
    <m/>
    <m/>
    <m/>
    <m/>
    <m/>
  </r>
  <r>
    <m/>
    <m/>
    <m/>
    <x v="10"/>
    <x v="2"/>
    <s v="reference"/>
    <s v="RFC8996"/>
    <m/>
    <x v="2"/>
    <s v="reference"/>
    <s v="RFC4497"/>
    <m/>
    <m/>
    <m/>
    <m/>
    <m/>
    <m/>
    <m/>
  </r>
  <r>
    <m/>
    <m/>
    <m/>
    <x v="10"/>
    <x v="2"/>
    <s v="reference"/>
    <s v="RFC8996"/>
    <m/>
    <x v="2"/>
    <s v="reference"/>
    <s v="RFC4513"/>
    <m/>
    <m/>
    <m/>
    <m/>
    <m/>
    <m/>
    <m/>
  </r>
  <r>
    <m/>
    <m/>
    <m/>
    <x v="10"/>
    <x v="2"/>
    <s v="reference"/>
    <s v="RFC8996"/>
    <m/>
    <x v="2"/>
    <s v="reference"/>
    <s v="RFC4531"/>
    <m/>
    <m/>
    <m/>
    <m/>
    <m/>
    <m/>
    <m/>
  </r>
  <r>
    <m/>
    <m/>
    <m/>
    <x v="10"/>
    <x v="2"/>
    <s v="reference"/>
    <s v="RFC8996"/>
    <m/>
    <x v="2"/>
    <s v="reference"/>
    <s v="RFC4540"/>
    <m/>
    <m/>
    <m/>
    <m/>
    <m/>
    <m/>
    <m/>
  </r>
  <r>
    <m/>
    <m/>
    <m/>
    <x v="10"/>
    <x v="2"/>
    <s v="reference"/>
    <s v="RFC8996"/>
    <m/>
    <x v="2"/>
    <s v="reference"/>
    <s v="RFC4582"/>
    <m/>
    <m/>
    <m/>
    <m/>
    <m/>
    <m/>
    <m/>
  </r>
  <r>
    <m/>
    <m/>
    <m/>
    <x v="10"/>
    <x v="2"/>
    <s v="reference"/>
    <s v="RFC8996"/>
    <m/>
    <x v="2"/>
    <s v="reference"/>
    <s v="RFC4616"/>
    <m/>
    <m/>
    <m/>
    <m/>
    <m/>
    <m/>
    <m/>
  </r>
  <r>
    <m/>
    <m/>
    <m/>
    <x v="10"/>
    <x v="2"/>
    <s v="reference"/>
    <s v="RFC8996"/>
    <m/>
    <x v="2"/>
    <s v="reference"/>
    <s v="RFC4642"/>
    <m/>
    <m/>
    <m/>
    <m/>
    <m/>
    <m/>
    <m/>
  </r>
  <r>
    <m/>
    <m/>
    <m/>
    <x v="10"/>
    <x v="2"/>
    <s v="reference"/>
    <s v="RFC8996"/>
    <m/>
    <x v="2"/>
    <s v="reference"/>
    <s v="RFC4712"/>
    <m/>
    <m/>
    <m/>
    <m/>
    <m/>
    <m/>
    <m/>
  </r>
  <r>
    <m/>
    <m/>
    <m/>
    <x v="10"/>
    <x v="2"/>
    <s v="reference"/>
    <s v="RFC8996"/>
    <m/>
    <x v="2"/>
    <s v="reference"/>
    <s v="RFC4732"/>
    <m/>
    <m/>
    <m/>
    <m/>
    <m/>
    <m/>
    <m/>
  </r>
  <r>
    <m/>
    <m/>
    <m/>
    <x v="10"/>
    <x v="2"/>
    <s v="reference"/>
    <s v="RFC8996"/>
    <m/>
    <x v="2"/>
    <s v="reference"/>
    <s v="RFC4743"/>
    <m/>
    <m/>
    <m/>
    <m/>
    <m/>
    <m/>
    <m/>
  </r>
  <r>
    <m/>
    <m/>
    <m/>
    <x v="10"/>
    <x v="2"/>
    <s v="reference"/>
    <s v="RFC8996"/>
    <m/>
    <x v="2"/>
    <s v="reference"/>
    <s v="RFC4744"/>
    <m/>
    <m/>
    <m/>
    <m/>
    <m/>
    <m/>
    <m/>
  </r>
  <r>
    <m/>
    <m/>
    <m/>
    <x v="10"/>
    <x v="2"/>
    <s v="reference"/>
    <s v="RFC8996"/>
    <m/>
    <x v="2"/>
    <s v="reference"/>
    <s v="RFC4785"/>
    <m/>
    <m/>
    <m/>
    <m/>
    <m/>
    <m/>
    <m/>
  </r>
  <r>
    <m/>
    <m/>
    <m/>
    <x v="10"/>
    <x v="2"/>
    <s v="reference"/>
    <s v="RFC8996"/>
    <m/>
    <x v="2"/>
    <s v="reference"/>
    <s v="RFC4791"/>
    <m/>
    <m/>
    <m/>
    <m/>
    <m/>
    <m/>
    <m/>
  </r>
  <r>
    <m/>
    <m/>
    <m/>
    <x v="10"/>
    <x v="2"/>
    <s v="reference"/>
    <s v="RFC8996"/>
    <m/>
    <x v="2"/>
    <s v="reference"/>
    <s v="RFC4823"/>
    <m/>
    <m/>
    <m/>
    <m/>
    <m/>
    <m/>
    <m/>
  </r>
  <r>
    <m/>
    <m/>
    <m/>
    <x v="10"/>
    <x v="2"/>
    <s v="reference"/>
    <s v="RFC8996"/>
    <m/>
    <x v="2"/>
    <s v="reference"/>
    <s v="RFC4851"/>
    <m/>
    <m/>
    <m/>
    <m/>
    <m/>
    <m/>
    <m/>
  </r>
  <r>
    <m/>
    <m/>
    <m/>
    <x v="10"/>
    <x v="2"/>
    <s v="reference"/>
    <s v="RFC8996"/>
    <m/>
    <x v="2"/>
    <s v="reference"/>
    <s v="RFC4964"/>
    <m/>
    <m/>
    <m/>
    <m/>
    <m/>
    <m/>
    <m/>
  </r>
  <r>
    <m/>
    <m/>
    <m/>
    <x v="10"/>
    <x v="2"/>
    <s v="reference"/>
    <s v="RFC8996"/>
    <m/>
    <x v="2"/>
    <s v="reference"/>
    <s v="RFC4975"/>
    <m/>
    <m/>
    <m/>
    <m/>
    <m/>
    <m/>
    <m/>
  </r>
  <r>
    <m/>
    <m/>
    <m/>
    <x v="10"/>
    <x v="2"/>
    <s v="reference"/>
    <s v="RFC8996"/>
    <m/>
    <x v="2"/>
    <s v="reference"/>
    <s v="RFC4976"/>
    <m/>
    <m/>
    <m/>
    <m/>
    <m/>
    <m/>
    <m/>
  </r>
  <r>
    <m/>
    <m/>
    <m/>
    <x v="10"/>
    <x v="2"/>
    <s v="reference"/>
    <s v="RFC8996"/>
    <m/>
    <x v="2"/>
    <s v="reference"/>
    <s v="RFC4992"/>
    <m/>
    <m/>
    <m/>
    <m/>
    <m/>
    <m/>
    <m/>
  </r>
  <r>
    <m/>
    <m/>
    <m/>
    <x v="10"/>
    <x v="2"/>
    <s v="reference"/>
    <s v="RFC8996"/>
    <m/>
    <x v="2"/>
    <s v="reference"/>
    <s v="RFC5018"/>
    <m/>
    <m/>
    <m/>
    <m/>
    <m/>
    <m/>
    <m/>
  </r>
  <r>
    <m/>
    <m/>
    <m/>
    <x v="10"/>
    <x v="2"/>
    <s v="reference"/>
    <s v="RFC8996"/>
    <m/>
    <x v="2"/>
    <s v="reference"/>
    <s v="RFC5019"/>
    <m/>
    <m/>
    <m/>
    <m/>
    <m/>
    <m/>
    <m/>
  </r>
  <r>
    <m/>
    <m/>
    <m/>
    <x v="10"/>
    <x v="2"/>
    <s v="reference"/>
    <s v="RFC8996"/>
    <m/>
    <x v="2"/>
    <s v="reference"/>
    <s v="RFC5023"/>
    <m/>
    <m/>
    <m/>
    <m/>
    <m/>
    <m/>
    <m/>
  </r>
  <r>
    <m/>
    <m/>
    <m/>
    <x v="10"/>
    <x v="2"/>
    <s v="reference"/>
    <s v="RFC8996"/>
    <m/>
    <x v="2"/>
    <s v="reference"/>
    <s v="RFC5024"/>
    <m/>
    <m/>
    <m/>
    <m/>
    <m/>
    <m/>
    <m/>
  </r>
  <r>
    <m/>
    <m/>
    <m/>
    <x v="10"/>
    <x v="2"/>
    <s v="reference"/>
    <s v="RFC8996"/>
    <m/>
    <x v="2"/>
    <s v="reference"/>
    <s v="RFC5049"/>
    <m/>
    <m/>
    <m/>
    <m/>
    <m/>
    <m/>
    <m/>
  </r>
  <r>
    <m/>
    <m/>
    <m/>
    <x v="10"/>
    <x v="2"/>
    <s v="reference"/>
    <s v="RFC8996"/>
    <m/>
    <x v="2"/>
    <s v="reference"/>
    <s v="RFC5054"/>
    <m/>
    <m/>
    <m/>
    <m/>
    <m/>
    <m/>
    <m/>
  </r>
  <r>
    <m/>
    <m/>
    <m/>
    <x v="10"/>
    <x v="2"/>
    <s v="reference"/>
    <s v="RFC8996"/>
    <m/>
    <x v="2"/>
    <s v="reference"/>
    <s v="RFC5091"/>
    <m/>
    <m/>
    <m/>
    <m/>
    <m/>
    <m/>
    <m/>
  </r>
  <r>
    <m/>
    <m/>
    <m/>
    <x v="10"/>
    <x v="2"/>
    <s v="reference"/>
    <s v="RFC8996"/>
    <m/>
    <x v="2"/>
    <s v="reference"/>
    <s v="RFC5158"/>
    <m/>
    <m/>
    <m/>
    <m/>
    <m/>
    <m/>
    <m/>
  </r>
  <r>
    <m/>
    <m/>
    <m/>
    <x v="10"/>
    <x v="2"/>
    <s v="reference"/>
    <s v="RFC8996"/>
    <m/>
    <x v="2"/>
    <s v="reference"/>
    <s v="RFC5216"/>
    <m/>
    <m/>
    <m/>
    <m/>
    <m/>
    <m/>
    <m/>
  </r>
  <r>
    <m/>
    <m/>
    <m/>
    <x v="10"/>
    <x v="2"/>
    <s v="reference"/>
    <s v="RFC8996"/>
    <m/>
    <x v="2"/>
    <s v="reference"/>
    <s v="RFC5238"/>
    <m/>
    <m/>
    <m/>
    <m/>
    <m/>
    <m/>
    <m/>
  </r>
  <r>
    <m/>
    <m/>
    <m/>
    <x v="10"/>
    <x v="2"/>
    <s v="reference"/>
    <s v="RFC8996"/>
    <m/>
    <x v="2"/>
    <s v="reference"/>
    <s v="RFC5263"/>
    <m/>
    <m/>
    <m/>
    <m/>
    <m/>
    <m/>
    <m/>
  </r>
  <r>
    <m/>
    <m/>
    <m/>
    <x v="10"/>
    <x v="2"/>
    <s v="reference"/>
    <s v="RFC8996"/>
    <m/>
    <x v="2"/>
    <s v="reference"/>
    <s v="RFC5281"/>
    <m/>
    <m/>
    <m/>
    <m/>
    <m/>
    <m/>
    <m/>
  </r>
  <r>
    <m/>
    <m/>
    <m/>
    <x v="10"/>
    <x v="2"/>
    <s v="reference"/>
    <s v="RFC8996"/>
    <m/>
    <x v="2"/>
    <s v="reference"/>
    <s v="RFC5364"/>
    <m/>
    <m/>
    <m/>
    <m/>
    <m/>
    <m/>
    <m/>
  </r>
  <r>
    <m/>
    <m/>
    <m/>
    <x v="10"/>
    <x v="2"/>
    <s v="reference"/>
    <s v="RFC8996"/>
    <m/>
    <x v="2"/>
    <s v="reference"/>
    <s v="RFC5415"/>
    <m/>
    <m/>
    <m/>
    <m/>
    <m/>
    <m/>
    <m/>
  </r>
  <r>
    <m/>
    <m/>
    <m/>
    <x v="10"/>
    <x v="2"/>
    <s v="reference"/>
    <s v="RFC8996"/>
    <m/>
    <x v="2"/>
    <s v="reference"/>
    <s v="RFC5422"/>
    <m/>
    <m/>
    <m/>
    <m/>
    <m/>
    <m/>
    <m/>
  </r>
  <r>
    <m/>
    <m/>
    <m/>
    <x v="10"/>
    <x v="2"/>
    <s v="reference"/>
    <s v="RFC8996"/>
    <m/>
    <x v="2"/>
    <s v="reference"/>
    <s v="RFC5456"/>
    <m/>
    <m/>
    <m/>
    <m/>
    <m/>
    <m/>
    <m/>
  </r>
  <r>
    <m/>
    <m/>
    <m/>
    <x v="10"/>
    <x v="2"/>
    <s v="reference"/>
    <s v="RFC8996"/>
    <m/>
    <x v="2"/>
    <s v="reference"/>
    <s v="RFC5734"/>
    <m/>
    <m/>
    <m/>
    <m/>
    <m/>
    <m/>
    <m/>
  </r>
  <r>
    <m/>
    <m/>
    <m/>
    <x v="10"/>
    <x v="2"/>
    <s v="reference"/>
    <s v="RFC8996"/>
    <m/>
    <x v="2"/>
    <s v="reference"/>
    <s v="RFC5953"/>
    <m/>
    <m/>
    <m/>
    <m/>
    <m/>
    <m/>
    <m/>
  </r>
  <r>
    <m/>
    <m/>
    <m/>
    <x v="10"/>
    <x v="2"/>
    <s v="reference"/>
    <s v="RFC8996"/>
    <m/>
    <x v="2"/>
    <s v="reference"/>
    <s v="RFC6012"/>
    <m/>
    <m/>
    <m/>
    <m/>
    <m/>
    <m/>
    <m/>
  </r>
  <r>
    <m/>
    <m/>
    <m/>
    <x v="10"/>
    <x v="2"/>
    <s v="reference"/>
    <s v="RFC8996"/>
    <m/>
    <x v="2"/>
    <s v="reference"/>
    <s v="RFC6042"/>
    <m/>
    <m/>
    <m/>
    <m/>
    <m/>
    <m/>
    <m/>
  </r>
  <r>
    <m/>
    <m/>
    <m/>
    <x v="10"/>
    <x v="2"/>
    <s v="reference"/>
    <s v="RFC8996"/>
    <m/>
    <x v="2"/>
    <s v="reference"/>
    <s v="RFC6083"/>
    <m/>
    <m/>
    <m/>
    <m/>
    <m/>
    <m/>
    <m/>
  </r>
  <r>
    <m/>
    <m/>
    <m/>
    <x v="10"/>
    <x v="2"/>
    <s v="reference"/>
    <s v="RFC8996"/>
    <m/>
    <x v="2"/>
    <s v="reference"/>
    <s v="RFC6084"/>
    <m/>
    <m/>
    <m/>
    <m/>
    <m/>
    <m/>
    <m/>
  </r>
  <r>
    <m/>
    <m/>
    <m/>
    <x v="10"/>
    <x v="2"/>
    <s v="reference"/>
    <s v="RFC8996"/>
    <m/>
    <x v="2"/>
    <s v="reference"/>
    <s v="RFC6353"/>
    <m/>
    <m/>
    <m/>
    <m/>
    <m/>
    <m/>
    <m/>
  </r>
  <r>
    <m/>
    <m/>
    <m/>
    <x v="10"/>
    <x v="2"/>
    <s v="reference"/>
    <s v="RFC8996"/>
    <m/>
    <x v="2"/>
    <s v="reference"/>
    <s v="RFC6367"/>
    <m/>
    <m/>
    <m/>
    <m/>
    <m/>
    <m/>
    <m/>
  </r>
  <r>
    <m/>
    <m/>
    <m/>
    <x v="10"/>
    <x v="2"/>
    <s v="reference"/>
    <s v="RFC8996"/>
    <m/>
    <x v="2"/>
    <s v="reference"/>
    <s v="RFC6460"/>
    <m/>
    <m/>
    <m/>
    <m/>
    <m/>
    <m/>
    <m/>
  </r>
  <r>
    <m/>
    <m/>
    <m/>
    <x v="10"/>
    <x v="2"/>
    <s v="reference"/>
    <s v="RFC8996"/>
    <m/>
    <x v="2"/>
    <s v="reference"/>
    <s v="RFC6614"/>
    <m/>
    <m/>
    <m/>
    <m/>
    <m/>
    <m/>
    <m/>
  </r>
  <r>
    <m/>
    <m/>
    <m/>
    <x v="10"/>
    <x v="2"/>
    <s v="reference"/>
    <s v="RFC8996"/>
    <m/>
    <x v="2"/>
    <s v="reference"/>
    <s v="RFC6739"/>
    <m/>
    <m/>
    <m/>
    <m/>
    <m/>
    <m/>
    <m/>
  </r>
  <r>
    <m/>
    <m/>
    <m/>
    <x v="10"/>
    <x v="2"/>
    <s v="reference"/>
    <s v="RFC8996"/>
    <m/>
    <x v="2"/>
    <s v="reference"/>
    <s v="RFC7030"/>
    <m/>
    <m/>
    <m/>
    <m/>
    <m/>
    <m/>
    <m/>
  </r>
  <r>
    <m/>
    <m/>
    <m/>
    <x v="10"/>
    <x v="2"/>
    <s v="reference"/>
    <s v="RFC8996"/>
    <m/>
    <x v="2"/>
    <s v="reference"/>
    <s v="RFC7562"/>
    <m/>
    <m/>
    <m/>
    <m/>
    <m/>
    <m/>
    <m/>
  </r>
  <r>
    <m/>
    <m/>
    <m/>
    <x v="10"/>
    <x v="2"/>
    <s v="reference"/>
    <s v="RFC8996"/>
    <m/>
    <x v="2"/>
    <s v="reference"/>
    <s v="RFC8261"/>
    <m/>
    <m/>
    <m/>
    <m/>
    <m/>
    <m/>
    <m/>
  </r>
  <r>
    <m/>
    <m/>
    <m/>
    <x v="5"/>
    <x v="0"/>
    <s v="shortName"/>
    <s v="tls WG"/>
    <m/>
    <x v="2"/>
    <s v="reference"/>
    <s v="RFC9146"/>
    <m/>
    <m/>
    <m/>
    <m/>
    <m/>
    <m/>
    <m/>
  </r>
  <r>
    <m/>
    <m/>
    <m/>
    <x v="10"/>
    <x v="2"/>
    <s v="reference"/>
    <s v="RFC9146"/>
    <m/>
    <x v="2"/>
    <s v="reference"/>
    <s v="RFC6347"/>
    <m/>
    <m/>
    <m/>
    <m/>
    <m/>
    <m/>
    <m/>
  </r>
  <r>
    <m/>
    <m/>
    <m/>
    <x v="5"/>
    <x v="0"/>
    <s v="shortName"/>
    <s v="tls WG"/>
    <m/>
    <x v="2"/>
    <s v="reference"/>
    <s v="RFC9147"/>
    <m/>
    <m/>
    <m/>
    <m/>
    <m/>
    <m/>
    <m/>
  </r>
  <r>
    <m/>
    <m/>
    <m/>
    <x v="6"/>
    <x v="2"/>
    <s v="reference"/>
    <s v="RFC9147"/>
    <m/>
    <x v="3"/>
    <s v="reference"/>
    <s v="DTLS"/>
    <m/>
    <m/>
    <m/>
    <m/>
    <m/>
    <m/>
    <m/>
  </r>
  <r>
    <m/>
    <m/>
    <m/>
    <x v="13"/>
    <x v="2"/>
    <s v="reference"/>
    <s v="RFC9147"/>
    <m/>
    <x v="2"/>
    <s v="reference"/>
    <s v="RFC6347"/>
    <m/>
    <m/>
    <m/>
    <m/>
    <m/>
    <m/>
    <m/>
  </r>
  <r>
    <m/>
    <m/>
    <m/>
    <x v="5"/>
    <x v="0"/>
    <s v="shortName"/>
    <s v="tls WG"/>
    <m/>
    <x v="2"/>
    <s v="reference"/>
    <s v="RFC9155"/>
    <m/>
    <m/>
    <m/>
    <m/>
    <m/>
    <m/>
    <m/>
  </r>
  <r>
    <m/>
    <m/>
    <m/>
    <x v="10"/>
    <x v="2"/>
    <s v="reference"/>
    <s v="RFC9155"/>
    <m/>
    <x v="2"/>
    <s v="reference"/>
    <s v="RFC5246"/>
    <m/>
    <m/>
    <m/>
    <m/>
    <m/>
    <m/>
    <m/>
  </r>
  <r>
    <m/>
    <m/>
    <m/>
    <x v="5"/>
    <x v="0"/>
    <s v="shortName"/>
    <s v="uta WG"/>
    <m/>
    <x v="2"/>
    <s v="reference"/>
    <s v="RFC9325"/>
    <m/>
    <m/>
    <m/>
    <m/>
    <m/>
    <m/>
    <m/>
  </r>
  <r>
    <m/>
    <m/>
    <m/>
    <x v="6"/>
    <x v="2"/>
    <s v="reference"/>
    <s v="RFC9325"/>
    <m/>
    <x v="3"/>
    <s v="reference"/>
    <s v="BCP195"/>
    <m/>
    <m/>
    <m/>
    <m/>
    <m/>
    <m/>
    <m/>
  </r>
  <r>
    <m/>
    <m/>
    <m/>
    <x v="13"/>
    <x v="2"/>
    <s v="reference"/>
    <s v="RFC9325"/>
    <m/>
    <x v="2"/>
    <s v="reference"/>
    <s v="RFC7525"/>
    <m/>
    <m/>
    <m/>
    <m/>
    <m/>
    <m/>
    <m/>
  </r>
  <r>
    <m/>
    <m/>
    <m/>
    <x v="10"/>
    <x v="2"/>
    <s v="reference"/>
    <s v="RFC9325"/>
    <m/>
    <x v="2"/>
    <s v="reference"/>
    <s v="RFC5288"/>
    <m/>
    <m/>
    <m/>
    <m/>
    <m/>
    <m/>
    <m/>
  </r>
  <r>
    <m/>
    <m/>
    <m/>
    <x v="10"/>
    <x v="2"/>
    <s v="reference"/>
    <s v="RFC9325"/>
    <m/>
    <x v="2"/>
    <s v="reference"/>
    <s v="RFC6066"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5"/>
    <x v="0"/>
    <s v="shortName"/>
    <s v="W3C"/>
    <m/>
    <x v="2"/>
    <s v="reference"/>
    <s v="W3C HTTP/0.9"/>
    <m/>
    <m/>
    <m/>
    <m/>
    <m/>
    <m/>
    <m/>
  </r>
  <r>
    <m/>
    <m/>
    <m/>
    <x v="6"/>
    <x v="2"/>
    <s v="reference"/>
    <s v="W3C HTTP/0.9"/>
    <m/>
    <x v="3"/>
    <s v="reference"/>
    <s v="HTTP/HTTPS"/>
    <m/>
    <m/>
    <m/>
    <m/>
    <m/>
    <m/>
    <m/>
  </r>
  <r>
    <m/>
    <m/>
    <m/>
    <x v="5"/>
    <x v="0"/>
    <s v="shortName"/>
    <s v="IETF"/>
    <m/>
    <x v="2"/>
    <s v="reference"/>
    <s v="RFC1041"/>
    <m/>
    <m/>
    <m/>
    <m/>
    <m/>
    <m/>
    <m/>
  </r>
  <r>
    <m/>
    <m/>
    <m/>
    <x v="5"/>
    <x v="0"/>
    <s v="shortName"/>
    <s v="uribof WG"/>
    <m/>
    <x v="2"/>
    <s v="reference"/>
    <s v="RFC1738"/>
    <m/>
    <m/>
    <m/>
    <m/>
    <m/>
    <m/>
    <m/>
  </r>
  <r>
    <m/>
    <m/>
    <m/>
    <x v="5"/>
    <x v="0"/>
    <s v="shortName"/>
    <s v="uribof WG"/>
    <m/>
    <x v="2"/>
    <s v="reference"/>
    <s v="RFC1808"/>
    <m/>
    <m/>
    <m/>
    <m/>
    <m/>
    <m/>
    <m/>
  </r>
  <r>
    <m/>
    <m/>
    <m/>
    <x v="10"/>
    <x v="2"/>
    <s v="reference"/>
    <s v="RFC1808"/>
    <m/>
    <x v="2"/>
    <s v="reference"/>
    <s v="RFC1738"/>
    <m/>
    <m/>
    <m/>
    <m/>
    <m/>
    <m/>
    <m/>
  </r>
  <r>
    <m/>
    <m/>
    <m/>
    <x v="5"/>
    <x v="0"/>
    <s v="shortName"/>
    <s v="http WG"/>
    <m/>
    <x v="2"/>
    <s v="reference"/>
    <s v="RFC1945"/>
    <m/>
    <m/>
    <m/>
    <m/>
    <m/>
    <m/>
    <m/>
  </r>
  <r>
    <m/>
    <m/>
    <m/>
    <x v="6"/>
    <x v="2"/>
    <s v="reference"/>
    <s v="RFC1945"/>
    <m/>
    <x v="3"/>
    <s v="reference"/>
    <s v="HTTP/HTTPS"/>
    <m/>
    <m/>
    <m/>
    <m/>
    <m/>
    <m/>
    <m/>
  </r>
  <r>
    <m/>
    <m/>
    <m/>
    <x v="5"/>
    <x v="0"/>
    <s v="shortName"/>
    <s v="http WG"/>
    <m/>
    <x v="2"/>
    <s v="reference"/>
    <s v="RFC2068"/>
    <m/>
    <m/>
    <m/>
    <m/>
    <m/>
    <m/>
    <m/>
  </r>
  <r>
    <m/>
    <m/>
    <m/>
    <x v="5"/>
    <x v="0"/>
    <s v="shortName"/>
    <s v="http WG"/>
    <m/>
    <x v="2"/>
    <s v="reference"/>
    <s v="RFC2069"/>
    <m/>
    <m/>
    <m/>
    <m/>
    <m/>
    <m/>
    <m/>
  </r>
  <r>
    <m/>
    <m/>
    <m/>
    <x v="5"/>
    <x v="0"/>
    <s v="shortName"/>
    <s v="http WG"/>
    <m/>
    <x v="2"/>
    <s v="reference"/>
    <s v="RFC2145"/>
    <m/>
    <m/>
    <m/>
    <m/>
    <m/>
    <m/>
    <m/>
  </r>
  <r>
    <m/>
    <m/>
    <m/>
    <x v="5"/>
    <x v="0"/>
    <s v="shortName"/>
    <s v="tn3270e WG"/>
    <m/>
    <x v="2"/>
    <s v="reference"/>
    <s v="RFC2355"/>
    <m/>
    <m/>
    <m/>
    <m/>
    <m/>
    <m/>
    <m/>
  </r>
  <r>
    <m/>
    <m/>
    <m/>
    <x v="5"/>
    <x v="0"/>
    <s v="shortName"/>
    <s v="IETF"/>
    <m/>
    <x v="2"/>
    <s v="reference"/>
    <s v="RFC2368"/>
    <m/>
    <m/>
    <m/>
    <m/>
    <m/>
    <m/>
    <m/>
  </r>
  <r>
    <m/>
    <m/>
    <m/>
    <x v="10"/>
    <x v="2"/>
    <s v="reference"/>
    <s v="RFC2368"/>
    <m/>
    <x v="2"/>
    <s v="reference"/>
    <s v="RFC1738"/>
    <m/>
    <m/>
    <m/>
    <m/>
    <m/>
    <m/>
    <m/>
  </r>
  <r>
    <m/>
    <m/>
    <m/>
    <x v="10"/>
    <x v="2"/>
    <s v="reference"/>
    <s v="RFC2368"/>
    <m/>
    <x v="2"/>
    <s v="reference"/>
    <s v="RFC1808"/>
    <m/>
    <m/>
    <m/>
    <m/>
    <m/>
    <m/>
    <m/>
  </r>
  <r>
    <m/>
    <m/>
    <m/>
    <x v="5"/>
    <x v="0"/>
    <s v="shortName"/>
    <s v="IETF"/>
    <m/>
    <x v="2"/>
    <s v="reference"/>
    <s v="RFC2396"/>
    <m/>
    <m/>
    <m/>
    <m/>
    <m/>
    <m/>
    <m/>
  </r>
  <r>
    <m/>
    <m/>
    <m/>
    <x v="10"/>
    <x v="2"/>
    <s v="reference"/>
    <s v="RFC2396"/>
    <m/>
    <x v="2"/>
    <s v="reference"/>
    <s v="RFC1738"/>
    <m/>
    <m/>
    <m/>
    <m/>
    <m/>
    <m/>
    <m/>
  </r>
  <r>
    <m/>
    <m/>
    <m/>
    <x v="10"/>
    <x v="2"/>
    <s v="reference"/>
    <s v="RFC2396"/>
    <m/>
    <x v="2"/>
    <s v="reference"/>
    <s v="RFC1808"/>
    <m/>
    <m/>
    <m/>
    <m/>
    <m/>
    <m/>
    <m/>
  </r>
  <r>
    <m/>
    <m/>
    <m/>
    <x v="5"/>
    <x v="0"/>
    <s v="shortName"/>
    <s v="http WG"/>
    <m/>
    <x v="2"/>
    <s v="reference"/>
    <s v="RFC2616"/>
    <m/>
    <m/>
    <m/>
    <m/>
    <m/>
    <m/>
    <m/>
  </r>
  <r>
    <m/>
    <m/>
    <m/>
    <x v="13"/>
    <x v="2"/>
    <s v="reference"/>
    <s v="RFC2616"/>
    <m/>
    <x v="2"/>
    <s v="reference"/>
    <s v="RFC2068"/>
    <m/>
    <m/>
    <m/>
    <m/>
    <m/>
    <m/>
    <m/>
  </r>
  <r>
    <m/>
    <m/>
    <m/>
    <x v="5"/>
    <x v="0"/>
    <s v="shortName"/>
    <s v="http WG"/>
    <m/>
    <x v="2"/>
    <s v="reference"/>
    <s v="RFC2617"/>
    <m/>
    <m/>
    <m/>
    <m/>
    <m/>
    <m/>
    <m/>
  </r>
  <r>
    <m/>
    <m/>
    <m/>
    <x v="13"/>
    <x v="2"/>
    <s v="reference"/>
    <s v="RFC2617"/>
    <m/>
    <x v="2"/>
    <s v="reference"/>
    <s v="RFC2069"/>
    <m/>
    <m/>
    <m/>
    <m/>
    <m/>
    <m/>
    <m/>
  </r>
  <r>
    <m/>
    <m/>
    <m/>
    <x v="5"/>
    <x v="0"/>
    <s v="shortName"/>
    <s v="urlreg WG"/>
    <m/>
    <x v="2"/>
    <s v="reference"/>
    <s v="RFC2717"/>
    <m/>
    <m/>
    <m/>
    <m/>
    <m/>
    <m/>
    <m/>
  </r>
  <r>
    <m/>
    <m/>
    <m/>
    <x v="5"/>
    <x v="0"/>
    <s v="shortName"/>
    <s v="urlreg WG"/>
    <m/>
    <x v="2"/>
    <s v="reference"/>
    <s v="RFC2718"/>
    <m/>
    <m/>
    <m/>
    <m/>
    <m/>
    <m/>
    <m/>
  </r>
  <r>
    <m/>
    <m/>
    <m/>
    <x v="5"/>
    <x v="0"/>
    <s v="shortName"/>
    <s v="ipngwg WG"/>
    <m/>
    <x v="2"/>
    <s v="reference"/>
    <s v="RFC2732"/>
    <m/>
    <m/>
    <m/>
    <m/>
    <m/>
    <m/>
    <m/>
  </r>
  <r>
    <m/>
    <m/>
    <m/>
    <x v="10"/>
    <x v="2"/>
    <s v="reference"/>
    <s v="RFC2732"/>
    <m/>
    <x v="2"/>
    <s v="reference"/>
    <s v="RFC2396"/>
    <m/>
    <m/>
    <m/>
    <m/>
    <m/>
    <m/>
    <m/>
  </r>
  <r>
    <m/>
    <m/>
    <m/>
    <x v="5"/>
    <x v="0"/>
    <s v="shortName"/>
    <s v="tls WG"/>
    <m/>
    <x v="2"/>
    <s v="reference"/>
    <s v="RFC2817"/>
    <m/>
    <m/>
    <m/>
    <m/>
    <m/>
    <m/>
    <m/>
  </r>
  <r>
    <m/>
    <m/>
    <m/>
    <x v="10"/>
    <x v="2"/>
    <s v="reference"/>
    <s v="RFC2817"/>
    <m/>
    <x v="2"/>
    <s v="reference"/>
    <s v="RFC2616"/>
    <m/>
    <m/>
    <m/>
    <m/>
    <m/>
    <m/>
    <m/>
  </r>
  <r>
    <m/>
    <m/>
    <m/>
    <x v="5"/>
    <x v="0"/>
    <s v="shortName"/>
    <s v="tls WG"/>
    <m/>
    <x v="2"/>
    <s v="reference"/>
    <s v="RFC2818"/>
    <m/>
    <m/>
    <m/>
    <m/>
    <m/>
    <m/>
    <m/>
  </r>
  <r>
    <m/>
    <m/>
    <m/>
    <x v="5"/>
    <x v="0"/>
    <s v="shortName"/>
    <s v="IETF"/>
    <m/>
    <x v="2"/>
    <s v="reference"/>
    <s v="RFC3864"/>
    <m/>
    <m/>
    <m/>
    <m/>
    <m/>
    <m/>
    <m/>
  </r>
  <r>
    <m/>
    <m/>
    <m/>
    <x v="6"/>
    <x v="2"/>
    <s v="reference"/>
    <s v="RFC3864"/>
    <m/>
    <x v="3"/>
    <s v="reference"/>
    <s v="BCP90"/>
    <m/>
    <m/>
    <m/>
    <m/>
    <m/>
    <m/>
    <m/>
  </r>
  <r>
    <m/>
    <m/>
    <m/>
    <x v="5"/>
    <x v="0"/>
    <s v="shortName"/>
    <s v="IETF"/>
    <m/>
    <x v="2"/>
    <s v="reference"/>
    <s v="RFC3986"/>
    <m/>
    <m/>
    <m/>
    <m/>
    <m/>
    <m/>
    <m/>
  </r>
  <r>
    <m/>
    <m/>
    <m/>
    <x v="6"/>
    <x v="2"/>
    <s v="reference"/>
    <s v="RFC3986"/>
    <m/>
    <x v="3"/>
    <s v="reference"/>
    <s v="STD66"/>
    <m/>
    <m/>
    <m/>
    <m/>
    <m/>
    <m/>
    <m/>
  </r>
  <r>
    <m/>
    <m/>
    <m/>
    <x v="13"/>
    <x v="2"/>
    <s v="reference"/>
    <s v="RFC3986"/>
    <m/>
    <x v="2"/>
    <s v="reference"/>
    <s v="RFC2396"/>
    <m/>
    <m/>
    <m/>
    <m/>
    <m/>
    <m/>
    <m/>
  </r>
  <r>
    <m/>
    <m/>
    <m/>
    <x v="13"/>
    <x v="2"/>
    <s v="reference"/>
    <s v="RFC3986"/>
    <m/>
    <x v="2"/>
    <s v="reference"/>
    <s v="RFC1808"/>
    <m/>
    <m/>
    <m/>
    <m/>
    <m/>
    <m/>
    <m/>
  </r>
  <r>
    <m/>
    <m/>
    <m/>
    <x v="13"/>
    <x v="2"/>
    <s v="reference"/>
    <s v="RFC3986"/>
    <m/>
    <x v="2"/>
    <s v="reference"/>
    <s v="RFC2732"/>
    <m/>
    <m/>
    <m/>
    <m/>
    <m/>
    <m/>
    <m/>
  </r>
  <r>
    <m/>
    <m/>
    <m/>
    <x v="10"/>
    <x v="2"/>
    <s v="reference"/>
    <s v="RFC3986"/>
    <m/>
    <x v="2"/>
    <s v="reference"/>
    <s v="RFC1738"/>
    <m/>
    <m/>
    <m/>
    <m/>
    <m/>
    <m/>
    <m/>
  </r>
  <r>
    <m/>
    <m/>
    <m/>
    <x v="5"/>
    <x v="0"/>
    <s v="shortName"/>
    <s v="ipv6 WG"/>
    <m/>
    <x v="2"/>
    <s v="reference"/>
    <s v="RFC4007"/>
    <m/>
    <m/>
    <m/>
    <m/>
    <m/>
    <m/>
    <m/>
  </r>
  <r>
    <m/>
    <m/>
    <m/>
    <x v="5"/>
    <x v="0"/>
    <s v="shortName"/>
    <s v="IETF"/>
    <m/>
    <x v="2"/>
    <s v="reference"/>
    <s v="RFC4248"/>
    <m/>
    <m/>
    <m/>
    <m/>
    <m/>
    <m/>
    <m/>
  </r>
  <r>
    <m/>
    <m/>
    <m/>
    <x v="13"/>
    <x v="2"/>
    <s v="reference"/>
    <s v="RFC4248"/>
    <m/>
    <x v="2"/>
    <s v="reference"/>
    <s v="RFC1738"/>
    <m/>
    <m/>
    <m/>
    <m/>
    <m/>
    <m/>
    <m/>
  </r>
  <r>
    <m/>
    <m/>
    <m/>
    <x v="5"/>
    <x v="0"/>
    <s v="shortName"/>
    <s v="IETF"/>
    <m/>
    <x v="2"/>
    <s v="reference"/>
    <s v="RFC4266"/>
    <m/>
    <m/>
    <m/>
    <m/>
    <m/>
    <m/>
    <m/>
  </r>
  <r>
    <m/>
    <m/>
    <m/>
    <x v="13"/>
    <x v="2"/>
    <s v="reference"/>
    <s v="RFC4266"/>
    <m/>
    <x v="2"/>
    <s v="reference"/>
    <s v="RFC1738"/>
    <m/>
    <m/>
    <m/>
    <m/>
    <m/>
    <m/>
    <m/>
  </r>
  <r>
    <m/>
    <m/>
    <m/>
    <x v="5"/>
    <x v="0"/>
    <s v="shortName"/>
    <s v="IETF"/>
    <m/>
    <x v="2"/>
    <s v="reference"/>
    <s v="RFC4395"/>
    <m/>
    <m/>
    <m/>
    <m/>
    <m/>
    <m/>
    <m/>
  </r>
  <r>
    <m/>
    <m/>
    <m/>
    <x v="13"/>
    <x v="2"/>
    <s v="reference"/>
    <s v="RFC4395"/>
    <m/>
    <x v="2"/>
    <s v="reference"/>
    <s v="RFC2717"/>
    <m/>
    <m/>
    <m/>
    <m/>
    <m/>
    <m/>
    <m/>
  </r>
  <r>
    <m/>
    <m/>
    <m/>
    <x v="13"/>
    <x v="2"/>
    <s v="reference"/>
    <s v="RFC4395"/>
    <m/>
    <x v="2"/>
    <s v="reference"/>
    <s v="RFC2718"/>
    <m/>
    <m/>
    <m/>
    <m/>
    <m/>
    <m/>
    <m/>
  </r>
  <r>
    <m/>
    <m/>
    <m/>
    <x v="5"/>
    <x v="0"/>
    <s v="shortName"/>
    <s v="IETF"/>
    <m/>
    <x v="2"/>
    <s v="reference"/>
    <s v="RFC5785"/>
    <m/>
    <m/>
    <m/>
    <m/>
    <m/>
    <m/>
    <m/>
  </r>
  <r>
    <m/>
    <m/>
    <m/>
    <x v="10"/>
    <x v="2"/>
    <s v="reference"/>
    <s v="RFC5785"/>
    <m/>
    <x v="2"/>
    <s v="reference"/>
    <s v="RFC2616"/>
    <m/>
    <m/>
    <m/>
    <m/>
    <m/>
    <m/>
    <m/>
  </r>
  <r>
    <m/>
    <m/>
    <m/>
    <x v="10"/>
    <x v="2"/>
    <s v="reference"/>
    <s v="RFC5785"/>
    <m/>
    <x v="2"/>
    <s v="reference"/>
    <s v="RFC2818"/>
    <m/>
    <m/>
    <m/>
    <m/>
    <m/>
    <m/>
    <m/>
  </r>
  <r>
    <m/>
    <m/>
    <m/>
    <x v="5"/>
    <x v="0"/>
    <s v="shortName"/>
    <s v="IETF"/>
    <m/>
    <x v="2"/>
    <s v="reference"/>
    <s v="RFC6068"/>
    <m/>
    <m/>
    <m/>
    <m/>
    <m/>
    <m/>
    <m/>
  </r>
  <r>
    <m/>
    <m/>
    <m/>
    <x v="13"/>
    <x v="2"/>
    <s v="reference"/>
    <s v="RFC6068"/>
    <m/>
    <x v="2"/>
    <s v="reference"/>
    <s v="RFC2368"/>
    <m/>
    <m/>
    <m/>
    <m/>
    <m/>
    <m/>
    <m/>
  </r>
  <r>
    <m/>
    <m/>
    <m/>
    <x v="5"/>
    <x v="0"/>
    <s v="shortName"/>
    <s v="IETF"/>
    <m/>
    <x v="2"/>
    <s v="reference"/>
    <s v="RFC6196"/>
    <m/>
    <m/>
    <m/>
    <m/>
    <m/>
    <m/>
    <m/>
  </r>
  <r>
    <m/>
    <m/>
    <m/>
    <x v="10"/>
    <x v="2"/>
    <s v="reference"/>
    <s v="RFC6196"/>
    <m/>
    <x v="2"/>
    <s v="reference"/>
    <s v="RFC1738"/>
    <m/>
    <m/>
    <m/>
    <m/>
    <m/>
    <m/>
    <m/>
  </r>
  <r>
    <m/>
    <m/>
    <m/>
    <x v="5"/>
    <x v="0"/>
    <s v="shortName"/>
    <s v="httpbis WG"/>
    <m/>
    <x v="2"/>
    <s v="reference"/>
    <s v="RFC6266"/>
    <m/>
    <m/>
    <m/>
    <m/>
    <m/>
    <m/>
    <m/>
  </r>
  <r>
    <m/>
    <m/>
    <m/>
    <x v="10"/>
    <x v="2"/>
    <s v="reference"/>
    <s v="RFC6266"/>
    <m/>
    <x v="2"/>
    <s v="reference"/>
    <s v="RFC2616"/>
    <m/>
    <m/>
    <m/>
    <m/>
    <m/>
    <m/>
    <m/>
  </r>
  <r>
    <m/>
    <m/>
    <m/>
    <x v="5"/>
    <x v="0"/>
    <s v="shortName"/>
    <s v="IETF"/>
    <m/>
    <x v="2"/>
    <s v="reference"/>
    <s v="RFC6270"/>
    <m/>
    <m/>
    <m/>
    <m/>
    <m/>
    <m/>
    <m/>
  </r>
  <r>
    <m/>
    <m/>
    <m/>
    <x v="10"/>
    <x v="2"/>
    <s v="reference"/>
    <s v="RFC6270"/>
    <m/>
    <x v="2"/>
    <s v="reference"/>
    <s v="RFC2355"/>
    <m/>
    <m/>
    <m/>
    <m/>
    <m/>
    <m/>
    <m/>
  </r>
  <r>
    <m/>
    <m/>
    <m/>
    <x v="10"/>
    <x v="2"/>
    <s v="reference"/>
    <s v="RFC6270"/>
    <m/>
    <x v="2"/>
    <s v="reference"/>
    <s v="RFC1041"/>
    <m/>
    <m/>
    <m/>
    <m/>
    <m/>
    <m/>
    <m/>
  </r>
  <r>
    <m/>
    <m/>
    <m/>
    <x v="10"/>
    <x v="2"/>
    <s v="reference"/>
    <s v="RFC6270"/>
    <m/>
    <x v="2"/>
    <s v="reference"/>
    <s v="RFC1738"/>
    <m/>
    <m/>
    <m/>
    <m/>
    <m/>
    <m/>
    <m/>
  </r>
  <r>
    <m/>
    <m/>
    <m/>
    <x v="5"/>
    <x v="0"/>
    <s v="shortName"/>
    <s v="IETF"/>
    <m/>
    <x v="2"/>
    <s v="reference"/>
    <s v="RFC6585"/>
    <m/>
    <m/>
    <m/>
    <m/>
    <m/>
    <m/>
    <m/>
  </r>
  <r>
    <m/>
    <m/>
    <m/>
    <x v="10"/>
    <x v="2"/>
    <s v="reference"/>
    <s v="RFC6585"/>
    <m/>
    <x v="2"/>
    <s v="reference"/>
    <s v="RFC2616"/>
    <m/>
    <m/>
    <m/>
    <m/>
    <m/>
    <m/>
    <m/>
  </r>
  <r>
    <m/>
    <m/>
    <m/>
    <x v="5"/>
    <x v="0"/>
    <s v="shortName"/>
    <s v="6man WG"/>
    <m/>
    <x v="2"/>
    <s v="reference"/>
    <s v="RFC6874"/>
    <m/>
    <m/>
    <m/>
    <m/>
    <m/>
    <m/>
    <m/>
  </r>
  <r>
    <m/>
    <m/>
    <m/>
    <x v="10"/>
    <x v="2"/>
    <s v="reference"/>
    <s v="RFC6874"/>
    <m/>
    <x v="2"/>
    <s v="reference"/>
    <s v="RFC3986"/>
    <m/>
    <m/>
    <m/>
    <m/>
    <m/>
    <m/>
    <m/>
  </r>
  <r>
    <m/>
    <m/>
    <m/>
    <x v="5"/>
    <x v="0"/>
    <s v="shortName"/>
    <s v="httpbis WG"/>
    <m/>
    <x v="2"/>
    <s v="reference"/>
    <s v="RFC7230"/>
    <m/>
    <m/>
    <m/>
    <m/>
    <m/>
    <m/>
    <m/>
  </r>
  <r>
    <m/>
    <m/>
    <m/>
    <x v="13"/>
    <x v="2"/>
    <s v="reference"/>
    <s v="RFC7230"/>
    <m/>
    <x v="2"/>
    <s v="reference"/>
    <s v="RFC2616"/>
    <m/>
    <m/>
    <m/>
    <m/>
    <m/>
    <m/>
    <m/>
  </r>
  <r>
    <m/>
    <m/>
    <m/>
    <x v="13"/>
    <x v="2"/>
    <s v="reference"/>
    <s v="RFC7230"/>
    <m/>
    <x v="2"/>
    <s v="reference"/>
    <s v="RFC2145"/>
    <m/>
    <m/>
    <m/>
    <m/>
    <m/>
    <m/>
    <m/>
  </r>
  <r>
    <m/>
    <m/>
    <m/>
    <x v="10"/>
    <x v="2"/>
    <s v="reference"/>
    <s v="RFC7230"/>
    <m/>
    <x v="2"/>
    <s v="reference"/>
    <s v="RFC2817"/>
    <m/>
    <m/>
    <m/>
    <m/>
    <m/>
    <m/>
    <m/>
  </r>
  <r>
    <m/>
    <m/>
    <m/>
    <x v="10"/>
    <x v="2"/>
    <s v="reference"/>
    <s v="RFC7230"/>
    <m/>
    <x v="2"/>
    <s v="reference"/>
    <s v="RFC2818"/>
    <m/>
    <m/>
    <m/>
    <m/>
    <m/>
    <m/>
    <m/>
  </r>
  <r>
    <m/>
    <m/>
    <m/>
    <x v="5"/>
    <x v="0"/>
    <s v="shortName"/>
    <s v="httpbis WG"/>
    <m/>
    <x v="2"/>
    <s v="reference"/>
    <s v="RFC7231"/>
    <m/>
    <m/>
    <m/>
    <m/>
    <m/>
    <m/>
    <m/>
  </r>
  <r>
    <m/>
    <m/>
    <m/>
    <x v="13"/>
    <x v="2"/>
    <s v="reference"/>
    <s v="RFC7231"/>
    <m/>
    <x v="2"/>
    <s v="reference"/>
    <s v="RFC2616"/>
    <m/>
    <m/>
    <m/>
    <m/>
    <m/>
    <m/>
    <m/>
  </r>
  <r>
    <m/>
    <m/>
    <m/>
    <x v="10"/>
    <x v="2"/>
    <s v="reference"/>
    <s v="RFC7231"/>
    <m/>
    <x v="2"/>
    <s v="reference"/>
    <s v="RFC2817"/>
    <m/>
    <m/>
    <m/>
    <m/>
    <m/>
    <m/>
    <m/>
  </r>
  <r>
    <m/>
    <m/>
    <m/>
    <x v="5"/>
    <x v="0"/>
    <s v="shortName"/>
    <s v="httpbis WG"/>
    <m/>
    <x v="2"/>
    <s v="reference"/>
    <s v="RFC7232"/>
    <m/>
    <m/>
    <m/>
    <m/>
    <m/>
    <m/>
    <m/>
  </r>
  <r>
    <m/>
    <m/>
    <m/>
    <x v="13"/>
    <x v="2"/>
    <s v="reference"/>
    <s v="RFC7232"/>
    <m/>
    <x v="2"/>
    <s v="reference"/>
    <s v="RFC2616"/>
    <m/>
    <m/>
    <m/>
    <m/>
    <m/>
    <m/>
    <m/>
  </r>
  <r>
    <m/>
    <m/>
    <m/>
    <x v="5"/>
    <x v="0"/>
    <s v="shortName"/>
    <s v="httpbis WG"/>
    <m/>
    <x v="2"/>
    <s v="reference"/>
    <s v="RFC7233"/>
    <m/>
    <m/>
    <m/>
    <m/>
    <m/>
    <m/>
    <m/>
  </r>
  <r>
    <m/>
    <m/>
    <m/>
    <x v="13"/>
    <x v="2"/>
    <s v="reference"/>
    <s v="RFC7233"/>
    <m/>
    <x v="2"/>
    <s v="reference"/>
    <s v="RFC2616"/>
    <m/>
    <m/>
    <m/>
    <m/>
    <m/>
    <m/>
    <m/>
  </r>
  <r>
    <m/>
    <m/>
    <m/>
    <x v="5"/>
    <x v="0"/>
    <s v="shortName"/>
    <s v="httpbis WG"/>
    <m/>
    <x v="2"/>
    <s v="reference"/>
    <s v="RFC7234"/>
    <m/>
    <m/>
    <m/>
    <m/>
    <m/>
    <m/>
    <m/>
  </r>
  <r>
    <m/>
    <m/>
    <m/>
    <x v="13"/>
    <x v="2"/>
    <s v="reference"/>
    <s v="RFC7234"/>
    <m/>
    <x v="2"/>
    <s v="reference"/>
    <s v="RFC2616"/>
    <m/>
    <m/>
    <m/>
    <m/>
    <m/>
    <m/>
    <m/>
  </r>
  <r>
    <m/>
    <m/>
    <m/>
    <x v="5"/>
    <x v="0"/>
    <s v="shortName"/>
    <s v="httpbis WG"/>
    <m/>
    <x v="2"/>
    <s v="reference"/>
    <s v="RFC7235"/>
    <m/>
    <m/>
    <m/>
    <m/>
    <m/>
    <m/>
    <m/>
  </r>
  <r>
    <m/>
    <m/>
    <m/>
    <x v="13"/>
    <x v="2"/>
    <s v="reference"/>
    <s v="RFC7235"/>
    <m/>
    <x v="2"/>
    <s v="reference"/>
    <s v="RFC2616"/>
    <m/>
    <m/>
    <m/>
    <m/>
    <m/>
    <m/>
    <m/>
  </r>
  <r>
    <m/>
    <m/>
    <m/>
    <x v="13"/>
    <x v="2"/>
    <s v="reference"/>
    <s v="RFC7235"/>
    <m/>
    <x v="2"/>
    <s v="reference"/>
    <s v="RFC2617"/>
    <m/>
    <m/>
    <m/>
    <m/>
    <m/>
    <m/>
    <m/>
  </r>
  <r>
    <m/>
    <m/>
    <m/>
    <x v="10"/>
    <x v="2"/>
    <s v="reference"/>
    <s v="RFC7235"/>
    <m/>
    <x v="2"/>
    <s v="reference"/>
    <s v="RFC2617"/>
    <m/>
    <m/>
    <m/>
    <m/>
    <m/>
    <m/>
    <m/>
  </r>
  <r>
    <m/>
    <m/>
    <m/>
    <x v="5"/>
    <x v="0"/>
    <s v="shortName"/>
    <s v="httpbis WG"/>
    <m/>
    <x v="2"/>
    <s v="reference"/>
    <s v="RFC7236"/>
    <m/>
    <m/>
    <m/>
    <m/>
    <m/>
    <m/>
    <m/>
  </r>
  <r>
    <m/>
    <m/>
    <m/>
    <x v="5"/>
    <x v="0"/>
    <s v="shortName"/>
    <s v="httpbis WG"/>
    <m/>
    <x v="2"/>
    <s v="reference"/>
    <s v="RFC7237"/>
    <m/>
    <m/>
    <m/>
    <m/>
    <m/>
    <m/>
    <m/>
  </r>
  <r>
    <m/>
    <m/>
    <m/>
    <x v="5"/>
    <x v="0"/>
    <s v="shortName"/>
    <s v="IETF"/>
    <m/>
    <x v="2"/>
    <s v="reference"/>
    <s v="RFC7238"/>
    <m/>
    <m/>
    <m/>
    <m/>
    <m/>
    <m/>
    <m/>
  </r>
  <r>
    <m/>
    <m/>
    <m/>
    <x v="5"/>
    <x v="0"/>
    <s v="shortName"/>
    <s v="appsawg WG"/>
    <m/>
    <x v="2"/>
    <s v="reference"/>
    <s v="RFC7320"/>
    <m/>
    <m/>
    <m/>
    <m/>
    <m/>
    <m/>
    <m/>
  </r>
  <r>
    <m/>
    <m/>
    <m/>
    <x v="10"/>
    <x v="2"/>
    <s v="reference"/>
    <s v="RFC7320"/>
    <m/>
    <x v="2"/>
    <s v="reference"/>
    <s v="RFC3986"/>
    <m/>
    <m/>
    <m/>
    <m/>
    <m/>
    <m/>
    <m/>
  </r>
  <r>
    <m/>
    <m/>
    <m/>
    <x v="5"/>
    <x v="0"/>
    <s v="shortName"/>
    <s v="httpbis WG"/>
    <m/>
    <x v="2"/>
    <s v="reference"/>
    <s v="RFC7538"/>
    <m/>
    <m/>
    <m/>
    <m/>
    <m/>
    <m/>
    <m/>
  </r>
  <r>
    <m/>
    <m/>
    <m/>
    <x v="13"/>
    <x v="2"/>
    <s v="reference"/>
    <s v="RFC7538"/>
    <m/>
    <x v="2"/>
    <s v="reference"/>
    <s v="RFC7238"/>
    <m/>
    <m/>
    <m/>
    <m/>
    <m/>
    <m/>
    <m/>
  </r>
  <r>
    <m/>
    <m/>
    <m/>
    <x v="5"/>
    <x v="0"/>
    <s v="shortName"/>
    <s v="httpbis WG"/>
    <m/>
    <x v="2"/>
    <s v="reference"/>
    <s v="RFC7540"/>
    <m/>
    <m/>
    <m/>
    <m/>
    <m/>
    <m/>
    <m/>
  </r>
  <r>
    <m/>
    <m/>
    <m/>
    <x v="5"/>
    <x v="0"/>
    <s v="shortName"/>
    <s v="appsawg WG"/>
    <m/>
    <x v="2"/>
    <s v="reference"/>
    <s v="RFC7595"/>
    <m/>
    <m/>
    <m/>
    <m/>
    <m/>
    <m/>
    <m/>
  </r>
  <r>
    <m/>
    <m/>
    <m/>
    <x v="6"/>
    <x v="2"/>
    <s v="reference"/>
    <s v="RFC7595"/>
    <m/>
    <x v="3"/>
    <s v="reference"/>
    <s v="BCP35"/>
    <m/>
    <m/>
    <m/>
    <m/>
    <m/>
    <m/>
    <m/>
  </r>
  <r>
    <m/>
    <m/>
    <m/>
    <x v="13"/>
    <x v="2"/>
    <s v="reference"/>
    <s v="RFC7595"/>
    <m/>
    <x v="2"/>
    <s v="reference"/>
    <s v="RFC4395"/>
    <m/>
    <m/>
    <m/>
    <m/>
    <m/>
    <m/>
    <m/>
  </r>
  <r>
    <m/>
    <m/>
    <m/>
    <x v="5"/>
    <x v="0"/>
    <s v="shortName"/>
    <s v="httpbis WG"/>
    <m/>
    <x v="2"/>
    <s v="reference"/>
    <s v="RFC7615"/>
    <m/>
    <m/>
    <m/>
    <m/>
    <m/>
    <m/>
    <m/>
  </r>
  <r>
    <m/>
    <m/>
    <m/>
    <x v="13"/>
    <x v="2"/>
    <s v="reference"/>
    <s v="RFC7615"/>
    <m/>
    <x v="2"/>
    <s v="reference"/>
    <s v="RFC2617"/>
    <m/>
    <m/>
    <m/>
    <m/>
    <m/>
    <m/>
    <m/>
  </r>
  <r>
    <m/>
    <m/>
    <m/>
    <x v="5"/>
    <x v="0"/>
    <s v="shortName"/>
    <s v="httpauth WG"/>
    <m/>
    <x v="2"/>
    <s v="reference"/>
    <s v="RFC7616"/>
    <m/>
    <m/>
    <m/>
    <m/>
    <m/>
    <m/>
    <m/>
  </r>
  <r>
    <m/>
    <m/>
    <m/>
    <x v="13"/>
    <x v="2"/>
    <s v="reference"/>
    <s v="RFC7616"/>
    <m/>
    <x v="2"/>
    <s v="reference"/>
    <s v="RFC2617"/>
    <m/>
    <m/>
    <m/>
    <m/>
    <m/>
    <m/>
    <m/>
  </r>
  <r>
    <m/>
    <m/>
    <m/>
    <x v="5"/>
    <x v="0"/>
    <s v="shortName"/>
    <s v="httpauth WG"/>
    <m/>
    <x v="2"/>
    <s v="reference"/>
    <s v="RFC7617"/>
    <m/>
    <m/>
    <m/>
    <m/>
    <m/>
    <m/>
    <m/>
  </r>
  <r>
    <m/>
    <m/>
    <m/>
    <x v="13"/>
    <x v="2"/>
    <s v="reference"/>
    <s v="RFC7617"/>
    <m/>
    <x v="2"/>
    <s v="reference"/>
    <s v="RFC2617"/>
    <m/>
    <m/>
    <m/>
    <m/>
    <m/>
    <m/>
    <m/>
  </r>
  <r>
    <m/>
    <m/>
    <m/>
    <x v="5"/>
    <x v="0"/>
    <s v="shortName"/>
    <s v="xmpp WG"/>
    <m/>
    <x v="2"/>
    <s v="reference"/>
    <s v="RFC7622"/>
    <m/>
    <m/>
    <m/>
    <m/>
    <m/>
    <m/>
    <m/>
  </r>
  <r>
    <m/>
    <m/>
    <m/>
    <x v="5"/>
    <x v="0"/>
    <s v="shortName"/>
    <s v="httpbis WG"/>
    <m/>
    <x v="2"/>
    <s v="reference"/>
    <s v="RFC7694"/>
    <m/>
    <m/>
    <m/>
    <m/>
    <m/>
    <m/>
    <m/>
  </r>
  <r>
    <m/>
    <m/>
    <m/>
    <x v="5"/>
    <x v="0"/>
    <s v="shortName"/>
    <s v="appsawg WG"/>
    <m/>
    <x v="2"/>
    <s v="reference"/>
    <s v="RFC8089"/>
    <m/>
    <m/>
    <m/>
    <m/>
    <m/>
    <m/>
    <m/>
  </r>
  <r>
    <m/>
    <m/>
    <m/>
    <x v="10"/>
    <x v="2"/>
    <s v="reference"/>
    <s v="RFC8089"/>
    <m/>
    <x v="2"/>
    <s v="reference"/>
    <s v="RFC1738"/>
    <m/>
    <m/>
    <m/>
    <m/>
    <m/>
    <m/>
    <m/>
  </r>
  <r>
    <m/>
    <m/>
    <m/>
    <x v="5"/>
    <x v="0"/>
    <s v="shortName"/>
    <s v="IETF"/>
    <m/>
    <x v="2"/>
    <s v="reference"/>
    <s v="RFC8615"/>
    <m/>
    <m/>
    <m/>
    <m/>
    <m/>
    <m/>
    <m/>
  </r>
  <r>
    <m/>
    <m/>
    <m/>
    <x v="13"/>
    <x v="2"/>
    <s v="reference"/>
    <s v="RFC8615"/>
    <m/>
    <x v="2"/>
    <s v="reference"/>
    <s v="RFC5785"/>
    <m/>
    <m/>
    <m/>
    <m/>
    <m/>
    <m/>
    <m/>
  </r>
  <r>
    <m/>
    <m/>
    <m/>
    <x v="10"/>
    <x v="2"/>
    <s v="reference"/>
    <s v="RFC8615"/>
    <m/>
    <x v="2"/>
    <s v="reference"/>
    <s v="RFC7230"/>
    <m/>
    <m/>
    <m/>
    <m/>
    <m/>
    <m/>
    <m/>
  </r>
  <r>
    <m/>
    <m/>
    <m/>
    <x v="10"/>
    <x v="2"/>
    <s v="reference"/>
    <s v="RFC8615"/>
    <m/>
    <x v="2"/>
    <s v="reference"/>
    <s v="RFC7595"/>
    <m/>
    <m/>
    <m/>
    <m/>
    <m/>
    <m/>
    <m/>
  </r>
  <r>
    <m/>
    <m/>
    <m/>
    <x v="5"/>
    <x v="0"/>
    <s v="shortName"/>
    <s v="httpbis WG"/>
    <m/>
    <x v="2"/>
    <s v="reference"/>
    <s v="RFC8740"/>
    <m/>
    <m/>
    <m/>
    <m/>
    <m/>
    <m/>
    <m/>
  </r>
  <r>
    <m/>
    <m/>
    <m/>
    <x v="10"/>
    <x v="2"/>
    <s v="reference"/>
    <s v="RFC8740"/>
    <m/>
    <x v="2"/>
    <s v="reference"/>
    <s v="RFC7540"/>
    <m/>
    <m/>
    <m/>
    <m/>
    <m/>
    <m/>
    <m/>
  </r>
  <r>
    <m/>
    <m/>
    <m/>
    <x v="5"/>
    <x v="0"/>
    <s v="shortName"/>
    <s v="IETF"/>
    <m/>
    <x v="2"/>
    <s v="reference"/>
    <s v="RFC8820"/>
    <m/>
    <m/>
    <m/>
    <m/>
    <m/>
    <m/>
    <m/>
  </r>
  <r>
    <m/>
    <m/>
    <m/>
    <x v="6"/>
    <x v="2"/>
    <s v="reference"/>
    <s v="RFC8820"/>
    <m/>
    <x v="3"/>
    <s v="reference"/>
    <s v="BCP190"/>
    <m/>
    <m/>
    <m/>
    <m/>
    <m/>
    <m/>
    <m/>
  </r>
  <r>
    <m/>
    <m/>
    <m/>
    <x v="13"/>
    <x v="2"/>
    <s v="reference"/>
    <s v="RFC8820"/>
    <m/>
    <x v="2"/>
    <s v="reference"/>
    <s v="RFC7320"/>
    <m/>
    <m/>
    <m/>
    <m/>
    <m/>
    <m/>
    <m/>
  </r>
  <r>
    <m/>
    <m/>
    <m/>
    <x v="10"/>
    <x v="2"/>
    <s v="reference"/>
    <s v="RFC8820"/>
    <m/>
    <x v="2"/>
    <s v="reference"/>
    <s v="RFC3986"/>
    <m/>
    <m/>
    <m/>
    <m/>
    <m/>
    <m/>
    <m/>
  </r>
  <r>
    <m/>
    <m/>
    <m/>
    <x v="5"/>
    <x v="0"/>
    <s v="shortName"/>
    <s v="httpbis WG"/>
    <m/>
    <x v="2"/>
    <s v="reference"/>
    <s v="RFC9110"/>
    <m/>
    <m/>
    <m/>
    <m/>
    <m/>
    <m/>
    <m/>
  </r>
  <r>
    <m/>
    <m/>
    <m/>
    <x v="6"/>
    <x v="2"/>
    <s v="reference"/>
    <s v="RFC9110"/>
    <m/>
    <x v="3"/>
    <s v="reference"/>
    <s v="STD97"/>
    <m/>
    <m/>
    <m/>
    <m/>
    <m/>
    <m/>
    <m/>
  </r>
  <r>
    <m/>
    <m/>
    <m/>
    <x v="6"/>
    <x v="2"/>
    <s v="reference"/>
    <s v="RFC9110"/>
    <m/>
    <x v="3"/>
    <s v="reference"/>
    <s v="HTTP/HTTPS"/>
    <m/>
    <m/>
    <m/>
    <m/>
    <m/>
    <m/>
    <m/>
  </r>
  <r>
    <m/>
    <m/>
    <m/>
    <x v="13"/>
    <x v="2"/>
    <s v="reference"/>
    <s v="RFC9110"/>
    <m/>
    <x v="2"/>
    <s v="reference"/>
    <s v="RFC7230"/>
    <m/>
    <m/>
    <m/>
    <m/>
    <m/>
    <m/>
    <m/>
  </r>
  <r>
    <m/>
    <m/>
    <m/>
    <x v="13"/>
    <x v="2"/>
    <s v="reference"/>
    <s v="RFC9110"/>
    <m/>
    <x v="2"/>
    <s v="reference"/>
    <s v="RFC7231"/>
    <m/>
    <m/>
    <m/>
    <m/>
    <m/>
    <m/>
    <m/>
  </r>
  <r>
    <m/>
    <m/>
    <m/>
    <x v="13"/>
    <x v="2"/>
    <s v="reference"/>
    <s v="RFC9110"/>
    <m/>
    <x v="2"/>
    <s v="reference"/>
    <s v="RFC7232"/>
    <m/>
    <m/>
    <m/>
    <m/>
    <m/>
    <m/>
    <m/>
  </r>
  <r>
    <m/>
    <m/>
    <m/>
    <x v="13"/>
    <x v="2"/>
    <s v="reference"/>
    <s v="RFC9110"/>
    <m/>
    <x v="2"/>
    <s v="reference"/>
    <s v="RFC7233"/>
    <m/>
    <m/>
    <m/>
    <m/>
    <m/>
    <m/>
    <m/>
  </r>
  <r>
    <m/>
    <m/>
    <m/>
    <x v="13"/>
    <x v="2"/>
    <s v="reference"/>
    <s v="RFC9110"/>
    <m/>
    <x v="2"/>
    <s v="reference"/>
    <s v="RFC7235"/>
    <m/>
    <m/>
    <m/>
    <m/>
    <m/>
    <m/>
    <m/>
  </r>
  <r>
    <m/>
    <m/>
    <m/>
    <x v="13"/>
    <x v="2"/>
    <s v="reference"/>
    <s v="RFC9110"/>
    <m/>
    <x v="2"/>
    <s v="reference"/>
    <s v="RFC2818"/>
    <m/>
    <m/>
    <m/>
    <m/>
    <m/>
    <m/>
    <m/>
  </r>
  <r>
    <m/>
    <m/>
    <m/>
    <x v="13"/>
    <x v="2"/>
    <s v="reference"/>
    <s v="RFC9110"/>
    <m/>
    <x v="2"/>
    <s v="reference"/>
    <s v="RFC7538"/>
    <m/>
    <m/>
    <m/>
    <m/>
    <m/>
    <m/>
    <m/>
  </r>
  <r>
    <m/>
    <m/>
    <m/>
    <x v="13"/>
    <x v="2"/>
    <s v="reference"/>
    <s v="RFC9110"/>
    <m/>
    <x v="2"/>
    <s v="reference"/>
    <s v="RFC7615"/>
    <m/>
    <m/>
    <m/>
    <m/>
    <m/>
    <m/>
    <m/>
  </r>
  <r>
    <m/>
    <m/>
    <m/>
    <x v="13"/>
    <x v="2"/>
    <s v="reference"/>
    <s v="RFC9110"/>
    <m/>
    <x v="2"/>
    <s v="reference"/>
    <s v="RFC7694"/>
    <m/>
    <m/>
    <m/>
    <m/>
    <m/>
    <m/>
    <m/>
  </r>
  <r>
    <m/>
    <m/>
    <m/>
    <x v="10"/>
    <x v="2"/>
    <s v="reference"/>
    <s v="RFC9110"/>
    <m/>
    <x v="2"/>
    <s v="reference"/>
    <s v="RFC3864"/>
    <m/>
    <m/>
    <m/>
    <m/>
    <m/>
    <m/>
    <m/>
  </r>
  <r>
    <m/>
    <m/>
    <m/>
    <x v="5"/>
    <x v="0"/>
    <s v="shortName"/>
    <s v="httpbis WG"/>
    <m/>
    <x v="2"/>
    <s v="reference"/>
    <s v="RFC9111"/>
    <m/>
    <m/>
    <m/>
    <m/>
    <m/>
    <m/>
    <m/>
  </r>
  <r>
    <m/>
    <m/>
    <m/>
    <x v="6"/>
    <x v="2"/>
    <s v="reference"/>
    <s v="RFC9111"/>
    <m/>
    <x v="3"/>
    <s v="reference"/>
    <s v="STD98"/>
    <m/>
    <m/>
    <m/>
    <m/>
    <m/>
    <m/>
    <m/>
  </r>
  <r>
    <m/>
    <m/>
    <m/>
    <x v="6"/>
    <x v="2"/>
    <s v="reference"/>
    <s v="RFC9111"/>
    <m/>
    <x v="3"/>
    <s v="reference"/>
    <s v="HTTP/HTTPS"/>
    <m/>
    <m/>
    <m/>
    <m/>
    <m/>
    <m/>
    <m/>
  </r>
  <r>
    <m/>
    <m/>
    <m/>
    <x v="13"/>
    <x v="2"/>
    <s v="reference"/>
    <s v="RFC9111"/>
    <m/>
    <x v="2"/>
    <s v="reference"/>
    <s v="RFC7234"/>
    <m/>
    <m/>
    <m/>
    <m/>
    <m/>
    <m/>
    <m/>
  </r>
  <r>
    <m/>
    <m/>
    <m/>
    <x v="5"/>
    <x v="0"/>
    <s v="shortName"/>
    <s v="httpbis WG"/>
    <m/>
    <x v="2"/>
    <s v="reference"/>
    <s v="RFC9112"/>
    <m/>
    <m/>
    <m/>
    <m/>
    <m/>
    <m/>
    <m/>
  </r>
  <r>
    <m/>
    <m/>
    <m/>
    <x v="6"/>
    <x v="2"/>
    <s v="reference"/>
    <s v="RFC9112"/>
    <m/>
    <x v="3"/>
    <s v="reference"/>
    <s v="STD99"/>
    <m/>
    <m/>
    <m/>
    <m/>
    <m/>
    <m/>
    <m/>
  </r>
  <r>
    <m/>
    <m/>
    <m/>
    <x v="6"/>
    <x v="2"/>
    <s v="reference"/>
    <s v="RFC9112"/>
    <m/>
    <x v="3"/>
    <s v="reference"/>
    <s v="HTTP/HTTPS"/>
    <m/>
    <m/>
    <m/>
    <m/>
    <m/>
    <m/>
    <m/>
  </r>
  <r>
    <m/>
    <m/>
    <m/>
    <x v="13"/>
    <x v="2"/>
    <s v="reference"/>
    <s v="RFC9112"/>
    <m/>
    <x v="2"/>
    <s v="reference"/>
    <s v="RFC7230"/>
    <m/>
    <m/>
    <m/>
    <m/>
    <m/>
    <m/>
    <m/>
  </r>
  <r>
    <m/>
    <m/>
    <m/>
    <x v="5"/>
    <x v="0"/>
    <s v="shortName"/>
    <s v="httpbis WG"/>
    <m/>
    <x v="2"/>
    <s v="reference"/>
    <s v="RFC9113"/>
    <m/>
    <m/>
    <m/>
    <m/>
    <m/>
    <m/>
    <m/>
  </r>
  <r>
    <m/>
    <m/>
    <m/>
    <x v="6"/>
    <x v="2"/>
    <s v="reference"/>
    <s v="RFC9113"/>
    <m/>
    <x v="3"/>
    <s v="reference"/>
    <s v="HTTP/HTTPS"/>
    <m/>
    <m/>
    <m/>
    <m/>
    <m/>
    <m/>
    <m/>
  </r>
  <r>
    <m/>
    <m/>
    <m/>
    <x v="13"/>
    <x v="2"/>
    <s v="reference"/>
    <s v="RFC9113"/>
    <m/>
    <x v="2"/>
    <s v="reference"/>
    <s v="RFC7540"/>
    <m/>
    <m/>
    <m/>
    <m/>
    <m/>
    <m/>
    <m/>
  </r>
  <r>
    <m/>
    <m/>
    <m/>
    <x v="13"/>
    <x v="2"/>
    <s v="reference"/>
    <s v="RFC9113"/>
    <m/>
    <x v="2"/>
    <s v="reference"/>
    <s v="RFC8740"/>
    <m/>
    <m/>
    <m/>
    <m/>
    <m/>
    <m/>
    <m/>
  </r>
  <r>
    <m/>
    <m/>
    <m/>
    <x v="5"/>
    <x v="0"/>
    <s v="shortName"/>
    <s v="quic WG"/>
    <m/>
    <x v="2"/>
    <s v="reference"/>
    <s v="RFC9114"/>
    <m/>
    <m/>
    <m/>
    <m/>
    <m/>
    <m/>
    <m/>
  </r>
  <r>
    <m/>
    <m/>
    <m/>
    <x v="6"/>
    <x v="2"/>
    <s v="reference"/>
    <s v="RFC9114"/>
    <m/>
    <x v="3"/>
    <s v="reference"/>
    <s v="HTTP/HTTPS"/>
    <m/>
    <m/>
    <m/>
    <m/>
    <m/>
    <m/>
    <m/>
  </r>
  <r>
    <m/>
    <m/>
    <m/>
    <x v="5"/>
    <x v="0"/>
    <s v="shortName"/>
    <s v="6man WG"/>
    <m/>
    <x v="2"/>
    <s v="reference"/>
    <s v="RFC9844"/>
    <m/>
    <m/>
    <m/>
    <m/>
    <m/>
    <m/>
    <m/>
  </r>
  <r>
    <m/>
    <m/>
    <m/>
    <x v="13"/>
    <x v="2"/>
    <s v="reference"/>
    <s v="RFC9844"/>
    <m/>
    <x v="2"/>
    <s v="reference"/>
    <s v="RFC6874"/>
    <m/>
    <m/>
    <m/>
    <m/>
    <m/>
    <m/>
    <m/>
  </r>
  <r>
    <m/>
    <m/>
    <m/>
    <x v="10"/>
    <x v="2"/>
    <s v="reference"/>
    <s v="RFC9844"/>
    <m/>
    <x v="2"/>
    <s v="reference"/>
    <s v="RFC8089"/>
    <m/>
    <m/>
    <m/>
    <m/>
    <m/>
    <m/>
    <m/>
  </r>
  <r>
    <m/>
    <m/>
    <m/>
    <x v="10"/>
    <x v="2"/>
    <s v="reference"/>
    <s v="RFC9844"/>
    <m/>
    <x v="2"/>
    <s v="reference"/>
    <s v="RFC4007"/>
    <m/>
    <m/>
    <m/>
    <m/>
    <m/>
    <m/>
    <m/>
  </r>
  <r>
    <m/>
    <m/>
    <m/>
    <x v="10"/>
    <x v="2"/>
    <s v="reference"/>
    <s v="RFC9844"/>
    <m/>
    <x v="2"/>
    <s v="reference"/>
    <s v="RFC7622"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4"/>
    <x v="1"/>
    <m/>
    <m/>
    <m/>
    <x v="1"/>
    <m/>
    <m/>
    <m/>
    <m/>
    <m/>
    <m/>
    <m/>
    <m/>
    <m/>
  </r>
  <r>
    <m/>
    <m/>
    <m/>
    <x v="5"/>
    <x v="1"/>
    <m/>
    <m/>
    <s v="IETF"/>
    <x v="1"/>
    <m/>
    <m/>
    <s v="BCP212"/>
    <m/>
    <m/>
    <m/>
    <m/>
    <m/>
    <m/>
  </r>
  <r>
    <m/>
    <m/>
    <m/>
    <x v="15"/>
    <x v="1"/>
    <m/>
    <m/>
    <s v="BCP212"/>
    <x v="1"/>
    <m/>
    <m/>
    <s v="RFC8252"/>
    <m/>
    <m/>
    <m/>
    <m/>
    <m/>
    <m/>
  </r>
  <r>
    <m/>
    <m/>
    <m/>
    <x v="5"/>
    <x v="1"/>
    <m/>
    <m/>
    <s v="IETF"/>
    <x v="1"/>
    <m/>
    <m/>
    <s v="BCP240"/>
    <m/>
    <m/>
    <m/>
    <m/>
    <m/>
    <m/>
  </r>
  <r>
    <m/>
    <m/>
    <m/>
    <x v="15"/>
    <x v="1"/>
    <m/>
    <m/>
    <s v="BCP240"/>
    <x v="1"/>
    <m/>
    <m/>
    <s v="RFC9700"/>
    <m/>
    <m/>
    <m/>
    <m/>
    <m/>
    <m/>
  </r>
  <r>
    <m/>
    <m/>
    <m/>
    <x v="5"/>
    <x v="1"/>
    <m/>
    <m/>
    <s v="IETF"/>
    <x v="1"/>
    <m/>
    <m/>
    <s v="FYI36"/>
    <m/>
    <m/>
    <m/>
    <m/>
    <m/>
    <m/>
  </r>
  <r>
    <m/>
    <m/>
    <m/>
    <x v="15"/>
    <x v="1"/>
    <m/>
    <m/>
    <s v="FYI36"/>
    <x v="1"/>
    <m/>
    <m/>
    <s v="RFC4949"/>
    <m/>
    <m/>
    <m/>
    <m/>
    <m/>
    <m/>
  </r>
  <r>
    <m/>
    <m/>
    <m/>
    <x v="5"/>
    <x v="1"/>
    <m/>
    <m/>
    <s v="IETF"/>
    <x v="1"/>
    <m/>
    <m/>
    <s v="STD63"/>
    <m/>
    <m/>
    <m/>
    <m/>
    <m/>
    <m/>
  </r>
  <r>
    <m/>
    <m/>
    <m/>
    <x v="15"/>
    <x v="1"/>
    <m/>
    <m/>
    <s v="STD63"/>
    <x v="1"/>
    <m/>
    <m/>
    <s v="RFC3629"/>
    <m/>
    <m/>
    <m/>
    <m/>
    <m/>
    <m/>
  </r>
  <r>
    <m/>
    <m/>
    <m/>
    <x v="5"/>
    <x v="1"/>
    <m/>
    <m/>
    <s v="IETF"/>
    <x v="1"/>
    <m/>
    <m/>
    <s v="STD66"/>
    <m/>
    <m/>
    <m/>
    <m/>
    <m/>
    <m/>
  </r>
  <r>
    <m/>
    <m/>
    <m/>
    <x v="15"/>
    <x v="1"/>
    <m/>
    <m/>
    <s v="STD66"/>
    <x v="1"/>
    <m/>
    <m/>
    <s v="RFC3986"/>
    <m/>
    <m/>
    <m/>
    <m/>
    <m/>
    <m/>
  </r>
  <r>
    <m/>
    <m/>
    <m/>
    <x v="5"/>
    <x v="1"/>
    <m/>
    <m/>
    <s v="IETF"/>
    <x v="1"/>
    <m/>
    <m/>
    <s v="STD68"/>
    <m/>
    <m/>
    <m/>
    <m/>
    <m/>
    <m/>
  </r>
  <r>
    <m/>
    <m/>
    <m/>
    <x v="15"/>
    <x v="1"/>
    <m/>
    <m/>
    <s v="STD68"/>
    <x v="1"/>
    <m/>
    <m/>
    <s v="RFC5234"/>
    <m/>
    <m/>
    <m/>
    <m/>
    <m/>
    <m/>
  </r>
  <r>
    <m/>
    <m/>
    <m/>
    <x v="16"/>
    <x v="1"/>
    <m/>
    <m/>
    <s v="OAuth 2.0"/>
    <x v="1"/>
    <m/>
    <m/>
    <s v="OAuth"/>
    <m/>
    <m/>
    <m/>
    <m/>
    <m/>
    <m/>
  </r>
  <r>
    <m/>
    <m/>
    <m/>
    <x v="5"/>
    <x v="1"/>
    <m/>
    <m/>
    <s v="oauth WG"/>
    <x v="1"/>
    <m/>
    <m/>
    <s v="draft-ietf-oauth-v2"/>
    <m/>
    <m/>
    <m/>
    <m/>
    <m/>
    <m/>
  </r>
  <r>
    <m/>
    <m/>
    <m/>
    <x v="17"/>
    <x v="1"/>
    <m/>
    <m/>
    <s v="draft-ietf-oauth-v2"/>
    <x v="1"/>
    <m/>
    <m/>
    <s v="draft-ietf-oauth-v2-31"/>
    <m/>
    <m/>
    <m/>
    <m/>
    <m/>
    <m/>
  </r>
  <r>
    <m/>
    <m/>
    <m/>
    <x v="5"/>
    <x v="1"/>
    <m/>
    <m/>
    <s v="oauth WG"/>
    <x v="1"/>
    <m/>
    <m/>
    <s v="RFC6749"/>
    <m/>
    <m/>
    <m/>
    <m/>
    <m/>
    <m/>
  </r>
  <r>
    <m/>
    <m/>
    <m/>
    <x v="9"/>
    <x v="1"/>
    <m/>
    <m/>
    <s v="RFC6749"/>
    <x v="1"/>
    <m/>
    <m/>
    <s v="OAuth 2.0"/>
    <m/>
    <m/>
    <m/>
    <m/>
    <m/>
    <m/>
  </r>
  <r>
    <m/>
    <m/>
    <m/>
    <x v="18"/>
    <x v="1"/>
    <m/>
    <m/>
    <s v="RFC6749"/>
    <x v="1"/>
    <m/>
    <m/>
    <s v="draft-ietf-oauth-v2"/>
    <m/>
    <m/>
    <m/>
    <m/>
    <m/>
    <m/>
  </r>
  <r>
    <m/>
    <m/>
    <m/>
    <x v="9"/>
    <x v="1"/>
    <m/>
    <m/>
    <s v="RFC6749"/>
    <x v="1"/>
    <m/>
    <m/>
    <s v="Resource Owner"/>
    <m/>
    <m/>
    <n v="1.1000000000000001"/>
    <m/>
    <m/>
    <m/>
  </r>
  <r>
    <m/>
    <m/>
    <m/>
    <x v="9"/>
    <x v="1"/>
    <m/>
    <m/>
    <s v="RFC6749"/>
    <x v="1"/>
    <m/>
    <m/>
    <s v="Resource Server"/>
    <m/>
    <m/>
    <s v="1.1"/>
    <m/>
    <m/>
    <m/>
  </r>
  <r>
    <m/>
    <m/>
    <m/>
    <x v="9"/>
    <x v="1"/>
    <m/>
    <m/>
    <s v="RFC6749"/>
    <x v="1"/>
    <m/>
    <m/>
    <s v="Client"/>
    <m/>
    <m/>
    <s v="1.1"/>
    <m/>
    <m/>
    <m/>
  </r>
  <r>
    <m/>
    <m/>
    <m/>
    <x v="9"/>
    <x v="1"/>
    <m/>
    <m/>
    <s v="RFC6749"/>
    <x v="1"/>
    <m/>
    <m/>
    <s v="Authorization Server"/>
    <m/>
    <m/>
    <s v="1.1"/>
    <m/>
    <m/>
    <m/>
  </r>
  <r>
    <m/>
    <m/>
    <m/>
    <x v="9"/>
    <x v="1"/>
    <m/>
    <m/>
    <s v="RFC6749"/>
    <x v="1"/>
    <m/>
    <m/>
    <s v="Authorization Code"/>
    <m/>
    <m/>
    <s v="1.3.1; 4.1"/>
    <m/>
    <m/>
    <m/>
  </r>
  <r>
    <m/>
    <m/>
    <m/>
    <x v="9"/>
    <x v="1"/>
    <m/>
    <m/>
    <s v="RFC6749"/>
    <x v="1"/>
    <m/>
    <m/>
    <s v="Implicit"/>
    <m/>
    <m/>
    <s v="1.3.2; 4.2"/>
    <m/>
    <m/>
    <m/>
  </r>
  <r>
    <m/>
    <m/>
    <m/>
    <x v="9"/>
    <x v="1"/>
    <m/>
    <m/>
    <s v="RFC6749"/>
    <x v="1"/>
    <m/>
    <m/>
    <s v="Resource Owner Password Credentials"/>
    <m/>
    <m/>
    <s v="1.3.3; 4.3"/>
    <m/>
    <m/>
    <m/>
  </r>
  <r>
    <m/>
    <m/>
    <m/>
    <x v="9"/>
    <x v="1"/>
    <m/>
    <m/>
    <s v="RFC6749"/>
    <x v="1"/>
    <m/>
    <m/>
    <s v="Client Credentials"/>
    <m/>
    <m/>
    <s v="1.3.4; 4.4"/>
    <m/>
    <m/>
    <m/>
  </r>
  <r>
    <m/>
    <m/>
    <m/>
    <x v="9"/>
    <x v="1"/>
    <m/>
    <m/>
    <s v="RFC6749"/>
    <x v="1"/>
    <m/>
    <m/>
    <s v="Extension Grants"/>
    <m/>
    <m/>
    <s v="4.5; 8.3"/>
    <m/>
    <m/>
    <m/>
  </r>
  <r>
    <m/>
    <m/>
    <m/>
    <x v="9"/>
    <x v="1"/>
    <m/>
    <m/>
    <s v="RFC6749"/>
    <x v="1"/>
    <m/>
    <m/>
    <s v="Access Token"/>
    <m/>
    <m/>
    <s v="1.4; 5; 8.1"/>
    <m/>
    <m/>
    <m/>
  </r>
  <r>
    <m/>
    <m/>
    <m/>
    <x v="9"/>
    <x v="1"/>
    <m/>
    <m/>
    <s v="RFC6749"/>
    <x v="1"/>
    <m/>
    <m/>
    <s v="Refresh Token"/>
    <m/>
    <m/>
    <s v="1.4; 6"/>
    <m/>
    <m/>
    <m/>
  </r>
  <r>
    <m/>
    <m/>
    <m/>
    <x v="9"/>
    <x v="1"/>
    <m/>
    <m/>
    <s v="RFC6749"/>
    <x v="1"/>
    <m/>
    <m/>
    <s v="Client Registration"/>
    <m/>
    <m/>
    <s v="2"/>
    <m/>
    <m/>
    <m/>
  </r>
  <r>
    <m/>
    <m/>
    <m/>
    <x v="9"/>
    <x v="1"/>
    <m/>
    <m/>
    <s v="RFC6749"/>
    <x v="1"/>
    <m/>
    <m/>
    <s v="Client Authentication"/>
    <m/>
    <m/>
    <s v="2.3"/>
    <m/>
    <m/>
    <m/>
  </r>
  <r>
    <m/>
    <m/>
    <m/>
    <x v="9"/>
    <x v="1"/>
    <m/>
    <m/>
    <s v="RFC6749"/>
    <x v="1"/>
    <m/>
    <m/>
    <s v="Confidential Client"/>
    <m/>
    <m/>
    <s v="2.1"/>
    <m/>
    <m/>
    <m/>
  </r>
  <r>
    <m/>
    <m/>
    <m/>
    <x v="9"/>
    <x v="1"/>
    <m/>
    <m/>
    <s v="RFC6749"/>
    <x v="1"/>
    <m/>
    <m/>
    <s v="Public Client"/>
    <m/>
    <m/>
    <s v="2.1"/>
    <m/>
    <m/>
    <m/>
  </r>
  <r>
    <m/>
    <m/>
    <m/>
    <x v="9"/>
    <x v="1"/>
    <m/>
    <m/>
    <s v="RFC6749"/>
    <x v="1"/>
    <m/>
    <m/>
    <s v="Client Identifier"/>
    <m/>
    <m/>
    <s v="2.2"/>
    <m/>
    <m/>
    <m/>
  </r>
  <r>
    <m/>
    <m/>
    <m/>
    <x v="9"/>
    <x v="1"/>
    <m/>
    <m/>
    <s v="RFC6749"/>
    <x v="1"/>
    <m/>
    <m/>
    <s v="Client Secret"/>
    <m/>
    <m/>
    <s v="2.3.1"/>
    <m/>
    <m/>
    <m/>
  </r>
  <r>
    <m/>
    <m/>
    <m/>
    <x v="9"/>
    <x v="1"/>
    <m/>
    <m/>
    <s v="RFC6749"/>
    <x v="1"/>
    <m/>
    <m/>
    <s v="Scope"/>
    <m/>
    <m/>
    <s v="3.3"/>
    <m/>
    <m/>
    <m/>
  </r>
  <r>
    <m/>
    <m/>
    <m/>
    <x v="9"/>
    <x v="1"/>
    <m/>
    <m/>
    <s v="RFC6749"/>
    <x v="1"/>
    <m/>
    <m/>
    <s v="State"/>
    <m/>
    <m/>
    <s v="4.1; 4.2"/>
    <m/>
    <m/>
    <m/>
  </r>
  <r>
    <m/>
    <m/>
    <m/>
    <x v="9"/>
    <x v="1"/>
    <m/>
    <m/>
    <s v="RFC6749"/>
    <x v="1"/>
    <m/>
    <m/>
    <s v="Authorization Code (data)"/>
    <m/>
    <m/>
    <s v="4.1"/>
    <m/>
    <m/>
    <m/>
  </r>
  <r>
    <m/>
    <m/>
    <m/>
    <x v="9"/>
    <x v="1"/>
    <m/>
    <m/>
    <s v="RFC6749"/>
    <x v="1"/>
    <m/>
    <m/>
    <s v="Authorization Endpoint"/>
    <m/>
    <m/>
    <s v="3.1"/>
    <m/>
    <m/>
    <m/>
  </r>
  <r>
    <m/>
    <m/>
    <m/>
    <x v="9"/>
    <x v="1"/>
    <m/>
    <m/>
    <s v="RFC6749"/>
    <x v="1"/>
    <m/>
    <m/>
    <s v="Token Endpoint"/>
    <m/>
    <m/>
    <s v="3.2"/>
    <m/>
    <m/>
    <m/>
  </r>
  <r>
    <m/>
    <m/>
    <m/>
    <x v="12"/>
    <x v="1"/>
    <m/>
    <m/>
    <s v="RFC6749"/>
    <x v="1"/>
    <m/>
    <m/>
    <s v="RFC2119"/>
    <m/>
    <s v="normative"/>
    <m/>
    <m/>
    <m/>
    <m/>
  </r>
  <r>
    <m/>
    <m/>
    <m/>
    <x v="12"/>
    <x v="1"/>
    <m/>
    <m/>
    <s v="RFC6749"/>
    <x v="1"/>
    <m/>
    <m/>
    <s v="RFC2246"/>
    <m/>
    <s v="normative"/>
    <m/>
    <m/>
    <m/>
    <m/>
  </r>
  <r>
    <m/>
    <m/>
    <m/>
    <x v="12"/>
    <x v="1"/>
    <m/>
    <m/>
    <s v="RFC6749"/>
    <x v="1"/>
    <m/>
    <m/>
    <s v="RFC2616"/>
    <m/>
    <s v="normative"/>
    <m/>
    <m/>
    <m/>
    <m/>
  </r>
  <r>
    <m/>
    <m/>
    <m/>
    <x v="12"/>
    <x v="1"/>
    <m/>
    <m/>
    <s v="RFC6749"/>
    <x v="1"/>
    <m/>
    <m/>
    <s v="RFC2617"/>
    <m/>
    <s v="normative"/>
    <m/>
    <m/>
    <m/>
    <m/>
  </r>
  <r>
    <m/>
    <m/>
    <m/>
    <x v="12"/>
    <x v="1"/>
    <m/>
    <m/>
    <s v="RFC6749"/>
    <x v="1"/>
    <m/>
    <m/>
    <s v="RFC2818"/>
    <m/>
    <s v="normative"/>
    <m/>
    <m/>
    <m/>
    <m/>
  </r>
  <r>
    <m/>
    <m/>
    <m/>
    <x v="12"/>
    <x v="1"/>
    <m/>
    <m/>
    <s v="RFC6749"/>
    <x v="1"/>
    <m/>
    <m/>
    <s v="RFC3629"/>
    <m/>
    <s v="normative"/>
    <m/>
    <m/>
    <m/>
    <m/>
  </r>
  <r>
    <m/>
    <m/>
    <m/>
    <x v="12"/>
    <x v="1"/>
    <m/>
    <m/>
    <s v="RFC6749"/>
    <x v="1"/>
    <m/>
    <m/>
    <s v="RFC4627"/>
    <m/>
    <s v="normative"/>
    <m/>
    <m/>
    <m/>
    <m/>
  </r>
  <r>
    <m/>
    <m/>
    <m/>
    <x v="12"/>
    <x v="1"/>
    <m/>
    <m/>
    <s v="RFC6749"/>
    <x v="1"/>
    <m/>
    <m/>
    <s v="RFC4949"/>
    <m/>
    <s v="normative"/>
    <m/>
    <m/>
    <m/>
    <m/>
  </r>
  <r>
    <m/>
    <m/>
    <m/>
    <x v="12"/>
    <x v="1"/>
    <m/>
    <m/>
    <s v="RFC6749"/>
    <x v="1"/>
    <m/>
    <m/>
    <s v="RFC5234"/>
    <m/>
    <s v="normative"/>
    <m/>
    <m/>
    <m/>
    <m/>
  </r>
  <r>
    <m/>
    <m/>
    <m/>
    <x v="12"/>
    <x v="1"/>
    <m/>
    <m/>
    <s v="RFC6749"/>
    <x v="1"/>
    <m/>
    <m/>
    <s v="RFC5246"/>
    <m/>
    <s v="normative"/>
    <m/>
    <m/>
    <m/>
    <m/>
  </r>
  <r>
    <m/>
    <m/>
    <m/>
    <x v="12"/>
    <x v="1"/>
    <m/>
    <m/>
    <s v="RFC6749"/>
    <x v="1"/>
    <m/>
    <m/>
    <s v="RFC6125"/>
    <m/>
    <s v="normative"/>
    <m/>
    <m/>
    <m/>
    <m/>
  </r>
  <r>
    <m/>
    <m/>
    <m/>
    <x v="12"/>
    <x v="1"/>
    <m/>
    <m/>
    <s v="RFC6749"/>
    <x v="1"/>
    <m/>
    <m/>
    <s v="USASCII"/>
    <m/>
    <s v="normative"/>
    <m/>
    <m/>
    <m/>
    <m/>
  </r>
  <r>
    <m/>
    <m/>
    <m/>
    <x v="12"/>
    <x v="1"/>
    <m/>
    <m/>
    <s v="RFC6749"/>
    <x v="1"/>
    <m/>
    <m/>
    <s v="W3C.REC-html401-19991224"/>
    <m/>
    <s v="normative"/>
    <m/>
    <m/>
    <m/>
    <m/>
  </r>
  <r>
    <m/>
    <m/>
    <m/>
    <x v="12"/>
    <x v="1"/>
    <m/>
    <m/>
    <s v="RFC6749"/>
    <x v="1"/>
    <m/>
    <m/>
    <s v="W3C.REC-xml-20081126"/>
    <m/>
    <s v="normative"/>
    <m/>
    <m/>
    <m/>
    <m/>
  </r>
  <r>
    <m/>
    <m/>
    <m/>
    <x v="12"/>
    <x v="1"/>
    <m/>
    <m/>
    <s v="RFC6749"/>
    <x v="1"/>
    <m/>
    <m/>
    <s v="draft-ietf-oauth-v2-http-mac-01"/>
    <m/>
    <s v="informative"/>
    <m/>
    <m/>
    <m/>
    <m/>
  </r>
  <r>
    <m/>
    <m/>
    <m/>
    <x v="17"/>
    <x v="1"/>
    <m/>
    <m/>
    <s v="draft-ietf-oauth-v2-http-mac"/>
    <x v="1"/>
    <m/>
    <m/>
    <s v="draft-ietf-oauth-v2-http-mac-01"/>
    <m/>
    <m/>
    <m/>
    <m/>
    <m/>
    <m/>
  </r>
  <r>
    <m/>
    <m/>
    <m/>
    <x v="18"/>
    <x v="1"/>
    <m/>
    <m/>
    <s v="RFC7522"/>
    <x v="1"/>
    <m/>
    <m/>
    <s v="draft-ietf-oauth-saml2-bearer"/>
    <m/>
    <m/>
    <m/>
    <m/>
    <m/>
    <m/>
  </r>
  <r>
    <m/>
    <m/>
    <m/>
    <x v="17"/>
    <x v="1"/>
    <m/>
    <m/>
    <s v="draft-ietf-oauth-saml2-bearer"/>
    <x v="1"/>
    <m/>
    <m/>
    <s v="draft-ietf-oauth-saml2-bearer-14"/>
    <m/>
    <m/>
    <m/>
    <m/>
    <m/>
    <m/>
  </r>
  <r>
    <m/>
    <m/>
    <m/>
    <x v="12"/>
    <x v="1"/>
    <m/>
    <m/>
    <s v="RFC6749"/>
    <x v="1"/>
    <m/>
    <m/>
    <s v="draft-ietf-oauth-saml2-bearer-14"/>
    <m/>
    <s v="informative"/>
    <m/>
    <m/>
    <m/>
    <m/>
  </r>
  <r>
    <m/>
    <m/>
    <m/>
    <x v="18"/>
    <x v="1"/>
    <m/>
    <m/>
    <s v="RFC6819"/>
    <x v="1"/>
    <m/>
    <m/>
    <s v="draft-ietf-oauth-v2-threatmodel"/>
    <m/>
    <m/>
    <m/>
    <m/>
    <m/>
    <m/>
  </r>
  <r>
    <m/>
    <m/>
    <m/>
    <x v="17"/>
    <x v="1"/>
    <m/>
    <m/>
    <s v="draft-ietf-oauth-v2-threatmodel"/>
    <x v="1"/>
    <m/>
    <m/>
    <s v="draft-ietf-oauth-v2-threatmodel-08"/>
    <m/>
    <m/>
    <m/>
    <m/>
    <m/>
    <m/>
  </r>
  <r>
    <m/>
    <m/>
    <m/>
    <x v="12"/>
    <x v="1"/>
    <m/>
    <m/>
    <s v="RFC6749"/>
    <x v="1"/>
    <m/>
    <m/>
    <s v="draft-ietf-oauth-v2-threatmodel-08"/>
    <m/>
    <s v="informative"/>
    <m/>
    <m/>
    <m/>
    <m/>
  </r>
  <r>
    <m/>
    <m/>
    <m/>
    <x v="17"/>
    <x v="1"/>
    <m/>
    <m/>
    <s v="draft-hardt-oauth"/>
    <x v="1"/>
    <m/>
    <m/>
    <s v="draft-hardt-oauth-00"/>
    <m/>
    <m/>
    <m/>
    <m/>
    <m/>
    <m/>
  </r>
  <r>
    <m/>
    <m/>
    <m/>
    <x v="12"/>
    <x v="1"/>
    <m/>
    <m/>
    <s v="RFC6749"/>
    <x v="1"/>
    <m/>
    <m/>
    <s v="draft-hardt-oauth-00"/>
    <m/>
    <s v="informative"/>
    <m/>
    <m/>
    <m/>
    <m/>
  </r>
  <r>
    <m/>
    <m/>
    <m/>
    <x v="12"/>
    <x v="1"/>
    <m/>
    <m/>
    <s v="RFC6749"/>
    <x v="1"/>
    <m/>
    <m/>
    <s v="RFC5849"/>
    <m/>
    <s v="informative"/>
    <m/>
    <m/>
    <m/>
    <m/>
  </r>
  <r>
    <m/>
    <m/>
    <m/>
    <x v="12"/>
    <x v="1"/>
    <m/>
    <m/>
    <s v="RFC6749"/>
    <x v="1"/>
    <m/>
    <m/>
    <s v="RFC6750"/>
    <m/>
    <s v="informative"/>
    <m/>
    <m/>
    <m/>
    <m/>
  </r>
  <r>
    <m/>
    <m/>
    <m/>
    <x v="13"/>
    <x v="1"/>
    <m/>
    <m/>
    <s v="RFC6749"/>
    <x v="1"/>
    <m/>
    <m/>
    <s v="RFC5849"/>
    <m/>
    <m/>
    <m/>
    <m/>
    <m/>
    <m/>
  </r>
  <r>
    <m/>
    <m/>
    <m/>
    <x v="15"/>
    <x v="1"/>
    <m/>
    <m/>
    <s v="RFC6749"/>
    <x v="1"/>
    <m/>
    <m/>
    <s v="iana.oauth-param-token-types"/>
    <m/>
    <m/>
    <s v="11.1"/>
    <m/>
    <m/>
    <m/>
  </r>
  <r>
    <m/>
    <m/>
    <m/>
    <x v="15"/>
    <x v="1"/>
    <m/>
    <m/>
    <s v="RFC6749"/>
    <x v="1"/>
    <m/>
    <m/>
    <s v="iana.oauth-param-parameters"/>
    <m/>
    <m/>
    <s v="11.2"/>
    <m/>
    <m/>
    <m/>
  </r>
  <r>
    <m/>
    <m/>
    <m/>
    <x v="10"/>
    <x v="1"/>
    <m/>
    <m/>
    <s v="RFC6749"/>
    <x v="1"/>
    <m/>
    <m/>
    <s v="iana.oauth-param-parameters"/>
    <m/>
    <m/>
    <s v="11.2.2"/>
    <m/>
    <m/>
    <m/>
  </r>
  <r>
    <m/>
    <m/>
    <m/>
    <x v="15"/>
    <x v="1"/>
    <m/>
    <m/>
    <s v="RFC6749"/>
    <x v="1"/>
    <m/>
    <m/>
    <s v="iana.oauth-param-endpoint-response-types"/>
    <m/>
    <m/>
    <s v="11.3"/>
    <m/>
    <m/>
    <m/>
  </r>
  <r>
    <m/>
    <m/>
    <m/>
    <x v="10"/>
    <x v="1"/>
    <m/>
    <m/>
    <s v="RFC6749"/>
    <x v="1"/>
    <m/>
    <m/>
    <s v="iana.oauth-param-endpoint-response-types"/>
    <m/>
    <m/>
    <s v="11.3.2"/>
    <m/>
    <m/>
    <m/>
  </r>
  <r>
    <m/>
    <m/>
    <m/>
    <x v="15"/>
    <x v="1"/>
    <m/>
    <m/>
    <s v="RFC6749"/>
    <x v="1"/>
    <m/>
    <m/>
    <s v="iana.oauth-param-extensions-error"/>
    <m/>
    <m/>
    <s v="11.4"/>
    <m/>
    <m/>
    <m/>
  </r>
  <r>
    <m/>
    <m/>
    <m/>
    <x v="5"/>
    <x v="1"/>
    <m/>
    <m/>
    <s v="oauth WG"/>
    <x v="1"/>
    <m/>
    <m/>
    <s v="RFC6750"/>
    <m/>
    <m/>
    <m/>
    <m/>
    <m/>
    <m/>
  </r>
  <r>
    <m/>
    <m/>
    <m/>
    <x v="9"/>
    <x v="1"/>
    <m/>
    <m/>
    <s v="RFC6750"/>
    <x v="1"/>
    <m/>
    <m/>
    <s v="OAuth 2.0"/>
    <m/>
    <m/>
    <m/>
    <m/>
    <m/>
    <m/>
  </r>
  <r>
    <m/>
    <m/>
    <m/>
    <x v="12"/>
    <x v="1"/>
    <m/>
    <m/>
    <s v="RFC6750"/>
    <x v="1"/>
    <m/>
    <m/>
    <s v="RFC2119"/>
    <m/>
    <s v="normative"/>
    <m/>
    <m/>
    <m/>
    <m/>
  </r>
  <r>
    <m/>
    <m/>
    <m/>
    <x v="12"/>
    <x v="1"/>
    <m/>
    <m/>
    <s v="RFC6750"/>
    <x v="1"/>
    <m/>
    <m/>
    <s v="RFC2246"/>
    <m/>
    <s v="normative"/>
    <m/>
    <m/>
    <m/>
    <m/>
  </r>
  <r>
    <m/>
    <m/>
    <m/>
    <x v="12"/>
    <x v="1"/>
    <m/>
    <m/>
    <s v="RFC6750"/>
    <x v="1"/>
    <m/>
    <m/>
    <s v="RFC2616"/>
    <m/>
    <s v="normative"/>
    <m/>
    <m/>
    <m/>
    <m/>
  </r>
  <r>
    <m/>
    <m/>
    <m/>
    <x v="12"/>
    <x v="1"/>
    <m/>
    <m/>
    <s v="RFC6750"/>
    <x v="1"/>
    <m/>
    <m/>
    <s v="RFC2617"/>
    <m/>
    <s v="normative"/>
    <m/>
    <m/>
    <m/>
    <m/>
  </r>
  <r>
    <m/>
    <m/>
    <m/>
    <x v="12"/>
    <x v="1"/>
    <m/>
    <m/>
    <s v="RFC6750"/>
    <x v="1"/>
    <m/>
    <m/>
    <s v="RFC2818"/>
    <m/>
    <s v="normative"/>
    <m/>
    <m/>
    <m/>
    <m/>
  </r>
  <r>
    <m/>
    <m/>
    <m/>
    <x v="12"/>
    <x v="1"/>
    <m/>
    <m/>
    <s v="RFC6750"/>
    <x v="1"/>
    <m/>
    <m/>
    <s v="RFC3986"/>
    <m/>
    <s v="normative"/>
    <m/>
    <m/>
    <m/>
    <m/>
  </r>
  <r>
    <m/>
    <m/>
    <m/>
    <x v="12"/>
    <x v="1"/>
    <m/>
    <m/>
    <s v="RFC6750"/>
    <x v="1"/>
    <m/>
    <m/>
    <s v="RFC5234"/>
    <m/>
    <s v="normative"/>
    <m/>
    <m/>
    <m/>
    <m/>
  </r>
  <r>
    <m/>
    <m/>
    <m/>
    <x v="12"/>
    <x v="1"/>
    <m/>
    <m/>
    <s v="RFC6750"/>
    <x v="1"/>
    <m/>
    <m/>
    <s v="RFC5246"/>
    <m/>
    <s v="normative"/>
    <m/>
    <m/>
    <m/>
    <m/>
  </r>
  <r>
    <m/>
    <m/>
    <m/>
    <x v="12"/>
    <x v="1"/>
    <m/>
    <m/>
    <s v="RFC6750"/>
    <x v="1"/>
    <m/>
    <m/>
    <s v="RFC5280"/>
    <m/>
    <s v="normative"/>
    <m/>
    <m/>
    <m/>
    <m/>
  </r>
  <r>
    <m/>
    <m/>
    <m/>
    <x v="12"/>
    <x v="1"/>
    <m/>
    <m/>
    <s v="RFC6750"/>
    <x v="1"/>
    <m/>
    <m/>
    <s v="RFC6265"/>
    <m/>
    <s v="normative"/>
    <m/>
    <m/>
    <m/>
    <m/>
  </r>
  <r>
    <m/>
    <m/>
    <m/>
    <x v="12"/>
    <x v="1"/>
    <m/>
    <m/>
    <s v="RFC6750"/>
    <x v="1"/>
    <m/>
    <m/>
    <s v="RFC6749"/>
    <m/>
    <s v="normative"/>
    <m/>
    <m/>
    <m/>
    <m/>
  </r>
  <r>
    <m/>
    <m/>
    <m/>
    <x v="12"/>
    <x v="1"/>
    <m/>
    <m/>
    <s v="RFC6750"/>
    <x v="1"/>
    <m/>
    <m/>
    <s v="USASCII"/>
    <m/>
    <s v="normative"/>
    <m/>
    <m/>
    <m/>
    <m/>
  </r>
  <r>
    <m/>
    <m/>
    <m/>
    <x v="12"/>
    <x v="1"/>
    <m/>
    <m/>
    <s v="RFC6750"/>
    <x v="1"/>
    <m/>
    <m/>
    <s v="W3C.REC-html401-19991224"/>
    <m/>
    <s v="normative"/>
    <m/>
    <m/>
    <m/>
    <m/>
  </r>
  <r>
    <m/>
    <m/>
    <m/>
    <x v="12"/>
    <x v="1"/>
    <m/>
    <m/>
    <s v="RFC6750"/>
    <x v="1"/>
    <m/>
    <m/>
    <s v="W3C.REC-webarch-20041215"/>
    <m/>
    <s v="normative"/>
    <m/>
    <m/>
    <m/>
    <m/>
  </r>
  <r>
    <m/>
    <m/>
    <m/>
    <x v="18"/>
    <x v="1"/>
    <m/>
    <m/>
    <s v="RFC7235"/>
    <x v="1"/>
    <m/>
    <m/>
    <s v="draft-ietf-httpbis-p7-auth"/>
    <m/>
    <m/>
    <m/>
    <m/>
    <m/>
    <m/>
  </r>
  <r>
    <m/>
    <m/>
    <m/>
    <x v="17"/>
    <x v="1"/>
    <m/>
    <m/>
    <s v="draft-ietf-httpbis-p7-auth"/>
    <x v="1"/>
    <m/>
    <m/>
    <s v="draft-ietf-httpbis-p7-auth-21"/>
    <m/>
    <m/>
    <m/>
    <m/>
    <m/>
    <m/>
  </r>
  <r>
    <m/>
    <m/>
    <m/>
    <x v="12"/>
    <x v="1"/>
    <m/>
    <m/>
    <s v="RFC6750"/>
    <x v="1"/>
    <m/>
    <m/>
    <s v="draft-ietf-httpbis-p7-auth-21"/>
    <m/>
    <s v="informative"/>
    <m/>
    <m/>
    <m/>
    <m/>
  </r>
  <r>
    <m/>
    <m/>
    <m/>
    <x v="13"/>
    <x v="1"/>
    <m/>
    <m/>
    <s v="NIST.SP800-63-1"/>
    <x v="1"/>
    <m/>
    <m/>
    <s v="NIST.SP800-63"/>
    <m/>
    <m/>
    <m/>
    <m/>
    <m/>
    <m/>
  </r>
  <r>
    <m/>
    <m/>
    <m/>
    <x v="13"/>
    <x v="1"/>
    <m/>
    <m/>
    <s v="NIST.SP800-63-2"/>
    <x v="1"/>
    <m/>
    <m/>
    <s v="NIST.SP800-63-1"/>
    <m/>
    <m/>
    <m/>
    <m/>
    <m/>
    <m/>
  </r>
  <r>
    <m/>
    <m/>
    <m/>
    <x v="13"/>
    <x v="1"/>
    <m/>
    <m/>
    <s v="NIST.SP800-63-3"/>
    <x v="1"/>
    <m/>
    <m/>
    <s v="NIST.SP800-63-2"/>
    <m/>
    <m/>
    <m/>
    <m/>
    <m/>
    <m/>
  </r>
  <r>
    <m/>
    <m/>
    <m/>
    <x v="13"/>
    <x v="1"/>
    <m/>
    <m/>
    <s v="NIST.SP800-63A"/>
    <x v="1"/>
    <m/>
    <m/>
    <s v="NIST.SP800-63-2"/>
    <m/>
    <m/>
    <m/>
    <m/>
    <m/>
    <m/>
  </r>
  <r>
    <m/>
    <m/>
    <m/>
    <x v="13"/>
    <x v="1"/>
    <m/>
    <m/>
    <s v="NIST.SP800-63B"/>
    <x v="1"/>
    <m/>
    <m/>
    <s v="NIST.SP800-63-2"/>
    <m/>
    <m/>
    <m/>
    <m/>
    <m/>
    <m/>
  </r>
  <r>
    <m/>
    <m/>
    <m/>
    <x v="13"/>
    <x v="1"/>
    <m/>
    <m/>
    <s v="NIST.SP800-63C"/>
    <x v="1"/>
    <m/>
    <m/>
    <s v="NIST.SP800-63-2"/>
    <m/>
    <m/>
    <m/>
    <m/>
    <m/>
    <m/>
  </r>
  <r>
    <m/>
    <m/>
    <m/>
    <x v="10"/>
    <x v="1"/>
    <m/>
    <m/>
    <s v="NIST.SP800-63Bsup1"/>
    <x v="1"/>
    <m/>
    <m/>
    <s v="NIST.SP800-63B"/>
    <m/>
    <m/>
    <m/>
    <m/>
    <m/>
    <m/>
  </r>
  <r>
    <m/>
    <m/>
    <m/>
    <x v="12"/>
    <x v="1"/>
    <m/>
    <m/>
    <s v="RFC6750"/>
    <x v="1"/>
    <m/>
    <m/>
    <s v="NIST.SP800-63-1"/>
    <m/>
    <s v="informative"/>
    <m/>
    <m/>
    <m/>
    <m/>
  </r>
  <r>
    <m/>
    <m/>
    <m/>
    <x v="12"/>
    <x v="1"/>
    <m/>
    <m/>
    <s v="RFC6750"/>
    <x v="1"/>
    <m/>
    <m/>
    <s v="OATC.OMAP"/>
    <m/>
    <s v="informative"/>
    <m/>
    <m/>
    <m/>
    <m/>
  </r>
  <r>
    <m/>
    <m/>
    <m/>
    <x v="12"/>
    <x v="1"/>
    <m/>
    <m/>
    <s v="RFC6750"/>
    <x v="1"/>
    <m/>
    <m/>
    <s v="openid-connect-messages-1_0-12"/>
    <m/>
    <s v="informative"/>
    <m/>
    <m/>
    <m/>
    <m/>
  </r>
  <r>
    <m/>
    <m/>
    <m/>
    <x v="10"/>
    <x v="1"/>
    <m/>
    <m/>
    <s v="RFC8252"/>
    <x v="1"/>
    <m/>
    <m/>
    <s v="RFC6749"/>
    <m/>
    <m/>
    <m/>
    <m/>
    <m/>
    <m/>
  </r>
  <r>
    <m/>
    <m/>
    <m/>
    <x v="10"/>
    <x v="1"/>
    <m/>
    <m/>
    <s v="RFC8996"/>
    <x v="1"/>
    <m/>
    <m/>
    <s v="RFC6749"/>
    <m/>
    <m/>
    <m/>
    <m/>
    <m/>
    <m/>
  </r>
  <r>
    <m/>
    <m/>
    <m/>
    <x v="10"/>
    <x v="1"/>
    <m/>
    <m/>
    <s v="RFC8996"/>
    <x v="1"/>
    <m/>
    <m/>
    <s v="RFC6750"/>
    <m/>
    <m/>
    <m/>
    <m/>
    <m/>
    <m/>
  </r>
  <r>
    <m/>
    <m/>
    <m/>
    <x v="10"/>
    <x v="1"/>
    <m/>
    <m/>
    <s v="RFC9700"/>
    <x v="1"/>
    <m/>
    <m/>
    <s v="RFC6749"/>
    <m/>
    <m/>
    <m/>
    <m/>
    <m/>
    <m/>
  </r>
  <r>
    <m/>
    <m/>
    <m/>
    <x v="10"/>
    <x v="1"/>
    <m/>
    <m/>
    <s v="RFC9700"/>
    <x v="1"/>
    <m/>
    <m/>
    <s v="RFC6750"/>
    <m/>
    <m/>
    <m/>
    <m/>
    <m/>
    <m/>
  </r>
  <r>
    <m/>
    <m/>
    <m/>
    <x v="5"/>
    <x v="1"/>
    <m/>
    <m/>
    <s v="OATC"/>
    <x v="1"/>
    <m/>
    <m/>
    <s v="OATC.OMAP"/>
    <m/>
    <m/>
    <m/>
    <m/>
    <m/>
    <m/>
  </r>
  <r>
    <m/>
    <m/>
    <m/>
    <x v="12"/>
    <x v="1"/>
    <m/>
    <m/>
    <s v="OATC.OMAP"/>
    <x v="1"/>
    <m/>
    <m/>
    <s v="W3C.REC-html401-19991224"/>
    <m/>
    <s v="normative"/>
    <m/>
    <m/>
    <m/>
    <m/>
  </r>
  <r>
    <m/>
    <m/>
    <m/>
    <x v="12"/>
    <x v="1"/>
    <m/>
    <m/>
    <s v="OATC.OMAP"/>
    <x v="1"/>
    <m/>
    <m/>
    <s v="draft-ietf-jose-json-web-algorithms"/>
    <m/>
    <s v="normative"/>
    <m/>
    <m/>
    <m/>
    <m/>
  </r>
  <r>
    <m/>
    <m/>
    <m/>
    <x v="12"/>
    <x v="1"/>
    <m/>
    <m/>
    <s v="OATC.OMAP"/>
    <x v="1"/>
    <m/>
    <m/>
    <s v="draft-ietf-jose-json-web-encryption"/>
    <m/>
    <s v="normative"/>
    <m/>
    <m/>
    <m/>
    <m/>
  </r>
  <r>
    <m/>
    <m/>
    <m/>
    <x v="12"/>
    <x v="1"/>
    <m/>
    <m/>
    <s v="OATC.OMAP"/>
    <x v="1"/>
    <m/>
    <m/>
    <s v="draft-ietf-jose-json-web-signature"/>
    <m/>
    <s v="normative"/>
    <m/>
    <m/>
    <m/>
    <m/>
  </r>
  <r>
    <m/>
    <m/>
    <m/>
    <x v="12"/>
    <x v="1"/>
    <m/>
    <m/>
    <s v="OATC.OMAP"/>
    <x v="1"/>
    <m/>
    <m/>
    <s v="draft-ietf-oauth-json-web-token"/>
    <m/>
    <s v="normative"/>
    <m/>
    <m/>
    <m/>
    <m/>
  </r>
  <r>
    <m/>
    <m/>
    <m/>
    <x v="12"/>
    <x v="1"/>
    <m/>
    <m/>
    <s v="OATC.OMAP"/>
    <x v="1"/>
    <m/>
    <m/>
    <s v="draft-ietf-oauth-v2"/>
    <m/>
    <s v="normative"/>
    <m/>
    <m/>
    <m/>
    <m/>
  </r>
  <r>
    <m/>
    <m/>
    <m/>
    <x v="12"/>
    <x v="1"/>
    <m/>
    <m/>
    <s v="OATC.OMAP"/>
    <x v="1"/>
    <m/>
    <m/>
    <s v="RFC2119"/>
    <m/>
    <s v="normative"/>
    <m/>
    <m/>
    <m/>
    <m/>
  </r>
  <r>
    <m/>
    <m/>
    <m/>
    <x v="12"/>
    <x v="1"/>
    <m/>
    <m/>
    <s v="OATC.OMAP"/>
    <x v="1"/>
    <m/>
    <m/>
    <s v="RFC2141"/>
    <m/>
    <s v="normative"/>
    <m/>
    <m/>
    <m/>
    <m/>
  </r>
  <r>
    <m/>
    <m/>
    <m/>
    <x v="12"/>
    <x v="1"/>
    <m/>
    <m/>
    <s v="OATC.OMAP"/>
    <x v="1"/>
    <m/>
    <m/>
    <s v="draft-ietf-oauth-saml2-bearer"/>
    <m/>
    <s v="informative"/>
    <m/>
    <m/>
    <m/>
    <m/>
  </r>
  <r>
    <m/>
    <m/>
    <m/>
    <x v="12"/>
    <x v="1"/>
    <m/>
    <m/>
    <s v="OATC.OMAP"/>
    <x v="1"/>
    <m/>
    <m/>
    <s v="draft-recordon-oauth-v2-device"/>
    <m/>
    <s v="informative"/>
    <m/>
    <m/>
    <m/>
    <m/>
  </r>
  <r>
    <m/>
    <m/>
    <m/>
    <x v="12"/>
    <x v="1"/>
    <m/>
    <m/>
    <s v="OATC.OMAP"/>
    <x v="1"/>
    <m/>
    <m/>
    <s v="openid-connect-registration-1_0-08"/>
    <m/>
    <s v="informative"/>
    <m/>
    <m/>
    <m/>
    <m/>
  </r>
  <r>
    <m/>
    <m/>
    <m/>
    <x v="12"/>
    <x v="1"/>
    <m/>
    <m/>
    <s v="OATC.OMAP"/>
    <x v="1"/>
    <m/>
    <m/>
    <s v="RFC2616"/>
    <m/>
    <s v="informative"/>
    <m/>
    <m/>
    <m/>
    <m/>
  </r>
  <r>
    <m/>
    <m/>
    <m/>
    <x v="12"/>
    <x v="1"/>
    <m/>
    <m/>
    <s v="OATC.OMAP"/>
    <x v="1"/>
    <m/>
    <m/>
    <s v="RFC2617"/>
    <m/>
    <s v="informative"/>
    <m/>
    <m/>
    <m/>
    <m/>
  </r>
  <r>
    <m/>
    <m/>
    <m/>
    <x v="12"/>
    <x v="1"/>
    <m/>
    <m/>
    <s v="OATC.OMAP"/>
    <x v="1"/>
    <m/>
    <m/>
    <s v="OASIS.SAML-Core-2.0"/>
    <m/>
    <s v="informative"/>
    <m/>
    <m/>
    <m/>
    <m/>
  </r>
  <r>
    <m/>
    <m/>
    <m/>
    <x v="12"/>
    <x v="1"/>
    <m/>
    <m/>
    <s v="OATC.OMAP"/>
    <x v="1"/>
    <m/>
    <m/>
    <s v="OASIS.SAML-Glossary-2.0"/>
    <m/>
    <s v="informative"/>
    <m/>
    <m/>
    <m/>
    <m/>
  </r>
  <r>
    <m/>
    <m/>
    <m/>
    <x v="12"/>
    <x v="1"/>
    <m/>
    <m/>
    <s v="OATC.OMAP"/>
    <x v="1"/>
    <m/>
    <m/>
    <s v="draft-jones-simple-web-discovery-00"/>
    <m/>
    <s v="informative"/>
    <m/>
    <m/>
    <m/>
    <m/>
  </r>
  <r>
    <m/>
    <m/>
    <m/>
    <x v="5"/>
    <x v="1"/>
    <m/>
    <m/>
    <s v="jose WG"/>
    <x v="1"/>
    <m/>
    <m/>
    <s v="draft-ietf-jose-json-web-signature"/>
    <m/>
    <m/>
    <m/>
    <m/>
    <m/>
    <m/>
  </r>
  <r>
    <m/>
    <m/>
    <m/>
    <x v="17"/>
    <x v="1"/>
    <m/>
    <m/>
    <s v="draft-ietf-jose-json-web-signature"/>
    <x v="1"/>
    <m/>
    <m/>
    <s v="draft-ietf-jose-json-web-signature-41"/>
    <m/>
    <m/>
    <m/>
    <m/>
    <m/>
    <m/>
  </r>
  <r>
    <m/>
    <m/>
    <m/>
    <x v="5"/>
    <x v="1"/>
    <m/>
    <m/>
    <s v="jose WG"/>
    <x v="1"/>
    <m/>
    <m/>
    <s v="RFC7515"/>
    <m/>
    <m/>
    <m/>
    <m/>
    <m/>
    <m/>
  </r>
  <r>
    <m/>
    <m/>
    <m/>
    <x v="18"/>
    <x v="1"/>
    <m/>
    <m/>
    <s v="RFC7515"/>
    <x v="1"/>
    <m/>
    <m/>
    <s v="draft-ietf-jose-json-web-signature"/>
    <m/>
    <m/>
    <m/>
    <m/>
    <m/>
    <m/>
  </r>
  <r>
    <m/>
    <m/>
    <m/>
    <x v="5"/>
    <x v="1"/>
    <m/>
    <m/>
    <s v="jose WG"/>
    <x v="1"/>
    <m/>
    <m/>
    <s v="draft-ietf-jose-json-web-encryption"/>
    <m/>
    <m/>
    <m/>
    <m/>
    <m/>
    <m/>
  </r>
  <r>
    <m/>
    <m/>
    <m/>
    <x v="17"/>
    <x v="1"/>
    <m/>
    <m/>
    <s v="draft-ietf-jose-json-web-encryption"/>
    <x v="1"/>
    <m/>
    <m/>
    <s v="draft-ietf-jose-json-web-encryption-40"/>
    <m/>
    <m/>
    <m/>
    <m/>
    <m/>
    <m/>
  </r>
  <r>
    <m/>
    <m/>
    <m/>
    <x v="5"/>
    <x v="1"/>
    <m/>
    <m/>
    <s v="jose WG"/>
    <x v="1"/>
    <m/>
    <m/>
    <s v="RFC7516"/>
    <m/>
    <m/>
    <m/>
    <m/>
    <m/>
    <m/>
  </r>
  <r>
    <m/>
    <m/>
    <m/>
    <x v="18"/>
    <x v="1"/>
    <m/>
    <m/>
    <s v="RFC7516"/>
    <x v="1"/>
    <m/>
    <m/>
    <s v="draft-ietf-jose-json-web-encryption"/>
    <m/>
    <m/>
    <m/>
    <m/>
    <m/>
    <m/>
  </r>
  <r>
    <m/>
    <m/>
    <m/>
    <x v="5"/>
    <x v="1"/>
    <m/>
    <m/>
    <s v="jose WG"/>
    <x v="1"/>
    <m/>
    <m/>
    <s v="draft-ietf-jose-json-web-key"/>
    <m/>
    <m/>
    <m/>
    <m/>
    <m/>
    <m/>
  </r>
  <r>
    <m/>
    <m/>
    <m/>
    <x v="17"/>
    <x v="1"/>
    <m/>
    <m/>
    <s v="draft-ietf-jose-json-web-key"/>
    <x v="1"/>
    <m/>
    <m/>
    <s v="draft-ietf-jose-json-web-key-41"/>
    <m/>
    <m/>
    <m/>
    <m/>
    <m/>
    <m/>
  </r>
  <r>
    <m/>
    <m/>
    <m/>
    <x v="5"/>
    <x v="1"/>
    <m/>
    <m/>
    <s v="jose WG"/>
    <x v="1"/>
    <m/>
    <m/>
    <s v="RFC7517"/>
    <m/>
    <m/>
    <m/>
    <m/>
    <m/>
    <m/>
  </r>
  <r>
    <m/>
    <m/>
    <m/>
    <x v="18"/>
    <x v="1"/>
    <m/>
    <m/>
    <s v="RFC7517"/>
    <x v="1"/>
    <m/>
    <m/>
    <s v="draft-ietf-jose-json-web-key"/>
    <m/>
    <m/>
    <m/>
    <m/>
    <m/>
    <m/>
  </r>
  <r>
    <m/>
    <m/>
    <m/>
    <x v="5"/>
    <x v="1"/>
    <m/>
    <m/>
    <s v="jose WG"/>
    <x v="1"/>
    <m/>
    <m/>
    <s v="draft-ietf-jose-json-web-algorithms"/>
    <m/>
    <m/>
    <m/>
    <m/>
    <m/>
    <m/>
  </r>
  <r>
    <m/>
    <m/>
    <m/>
    <x v="17"/>
    <x v="1"/>
    <m/>
    <m/>
    <s v="draft-ietf-jose-json-web-algorithms"/>
    <x v="1"/>
    <m/>
    <m/>
    <s v="draft-ietf-jose-json-web-algorithms-40"/>
    <m/>
    <m/>
    <m/>
    <m/>
    <m/>
    <m/>
  </r>
  <r>
    <m/>
    <m/>
    <m/>
    <x v="5"/>
    <x v="1"/>
    <m/>
    <m/>
    <s v="jose WG"/>
    <x v="1"/>
    <m/>
    <m/>
    <s v="RFC7518"/>
    <m/>
    <m/>
    <m/>
    <m/>
    <m/>
    <m/>
  </r>
  <r>
    <m/>
    <m/>
    <m/>
    <x v="18"/>
    <x v="1"/>
    <m/>
    <m/>
    <s v="RFC7518"/>
    <x v="1"/>
    <m/>
    <m/>
    <s v="draft-ietf-jose-json-web-algorithms"/>
    <m/>
    <m/>
    <m/>
    <m/>
    <m/>
    <m/>
  </r>
  <r>
    <m/>
    <m/>
    <m/>
    <x v="5"/>
    <x v="1"/>
    <m/>
    <m/>
    <s v="oauth WG"/>
    <x v="1"/>
    <m/>
    <m/>
    <s v="draft-ietf-oauth-json-web-token"/>
    <m/>
    <m/>
    <m/>
    <m/>
    <m/>
    <m/>
  </r>
  <r>
    <m/>
    <m/>
    <m/>
    <x v="17"/>
    <x v="1"/>
    <m/>
    <m/>
    <s v="draft-ietf-oauth-json-web-token"/>
    <x v="1"/>
    <m/>
    <m/>
    <s v="draft-ietf-oauth-json-web-token-32"/>
    <m/>
    <m/>
    <m/>
    <m/>
    <m/>
    <m/>
  </r>
  <r>
    <m/>
    <m/>
    <m/>
    <x v="5"/>
    <x v="1"/>
    <m/>
    <m/>
    <s v="oauth WG"/>
    <x v="1"/>
    <m/>
    <m/>
    <s v="RFC7519"/>
    <m/>
    <m/>
    <m/>
    <m/>
    <m/>
    <m/>
  </r>
  <r>
    <m/>
    <m/>
    <m/>
    <x v="18"/>
    <x v="1"/>
    <m/>
    <m/>
    <s v="RFC7519"/>
    <x v="1"/>
    <m/>
    <m/>
    <s v="draft-ietf-oauth-json-web-token"/>
    <m/>
    <m/>
    <m/>
    <m/>
    <m/>
    <m/>
  </r>
  <r>
    <m/>
    <m/>
    <m/>
    <x v="16"/>
    <x v="1"/>
    <m/>
    <m/>
    <s v="OpenID 2.0"/>
    <x v="1"/>
    <m/>
    <m/>
    <s v="OpenID"/>
    <m/>
    <m/>
    <m/>
    <m/>
    <m/>
    <m/>
  </r>
  <r>
    <m/>
    <m/>
    <m/>
    <x v="13"/>
    <x v="1"/>
    <m/>
    <m/>
    <s v="OpenID 2.0"/>
    <x v="1"/>
    <m/>
    <m/>
    <s v="OpenID 1.1"/>
    <m/>
    <m/>
    <m/>
    <m/>
    <m/>
    <m/>
  </r>
  <r>
    <m/>
    <m/>
    <m/>
    <x v="16"/>
    <x v="1"/>
    <m/>
    <m/>
    <s v="OpenID 1.1"/>
    <x v="1"/>
    <m/>
    <m/>
    <s v="OpenID"/>
    <m/>
    <m/>
    <m/>
    <m/>
    <m/>
    <m/>
  </r>
  <r>
    <m/>
    <m/>
    <m/>
    <x v="13"/>
    <x v="1"/>
    <m/>
    <m/>
    <s v="OpenID 1.1"/>
    <x v="1"/>
    <m/>
    <m/>
    <s v="OpenID 1.0"/>
    <m/>
    <m/>
    <m/>
    <m/>
    <m/>
    <m/>
  </r>
  <r>
    <m/>
    <m/>
    <m/>
    <x v="16"/>
    <x v="1"/>
    <m/>
    <m/>
    <s v="OpenID 1.0"/>
    <x v="1"/>
    <m/>
    <m/>
    <s v="OpenID"/>
    <m/>
    <m/>
    <m/>
    <m/>
    <m/>
    <m/>
  </r>
  <r>
    <m/>
    <m/>
    <m/>
    <x v="5"/>
    <x v="1"/>
    <m/>
    <m/>
    <s v="OIDF"/>
    <x v="1"/>
    <m/>
    <m/>
    <s v="OpenID.AuthN-1.0"/>
    <m/>
    <m/>
    <m/>
    <m/>
    <m/>
    <m/>
  </r>
  <r>
    <m/>
    <m/>
    <m/>
    <x v="9"/>
    <x v="1"/>
    <m/>
    <m/>
    <s v="OpenID.AuthN-1.0"/>
    <x v="1"/>
    <m/>
    <m/>
    <s v="OpenID 1.0"/>
    <m/>
    <m/>
    <m/>
    <m/>
    <m/>
    <m/>
  </r>
  <r>
    <m/>
    <m/>
    <m/>
    <x v="5"/>
    <x v="1"/>
    <m/>
    <m/>
    <s v="OIDF"/>
    <x v="1"/>
    <m/>
    <m/>
    <s v="OpenID.AuthN-1.1"/>
    <m/>
    <m/>
    <m/>
    <m/>
    <m/>
    <m/>
  </r>
  <r>
    <m/>
    <m/>
    <m/>
    <x v="9"/>
    <x v="1"/>
    <m/>
    <m/>
    <s v="OpenID.AuthN-1.1"/>
    <x v="1"/>
    <m/>
    <m/>
    <s v="OpenID 1.1"/>
    <m/>
    <m/>
    <m/>
    <m/>
    <m/>
    <m/>
  </r>
  <r>
    <m/>
    <m/>
    <m/>
    <x v="13"/>
    <x v="1"/>
    <m/>
    <m/>
    <s v="OpenID.AuthN-1.1"/>
    <x v="1"/>
    <m/>
    <m/>
    <s v="OpenID.AuthN-1.0"/>
    <m/>
    <m/>
    <m/>
    <m/>
    <m/>
    <m/>
  </r>
  <r>
    <m/>
    <m/>
    <m/>
    <x v="5"/>
    <x v="1"/>
    <m/>
    <m/>
    <s v="OIDF"/>
    <x v="1"/>
    <m/>
    <m/>
    <s v="OpenID.AuthN-2.0"/>
    <m/>
    <m/>
    <m/>
    <m/>
    <m/>
    <m/>
  </r>
  <r>
    <m/>
    <m/>
    <m/>
    <x v="9"/>
    <x v="1"/>
    <m/>
    <m/>
    <s v="OpenID.AuthN-2.0"/>
    <x v="1"/>
    <m/>
    <m/>
    <s v="OpenID 2.0"/>
    <m/>
    <m/>
    <m/>
    <m/>
    <m/>
    <m/>
  </r>
  <r>
    <m/>
    <m/>
    <m/>
    <x v="13"/>
    <x v="1"/>
    <m/>
    <m/>
    <s v="OpenID.AuthN-2.0"/>
    <x v="1"/>
    <m/>
    <m/>
    <s v="OpenID.AuthN-1.1"/>
    <m/>
    <m/>
    <m/>
    <m/>
    <m/>
    <m/>
  </r>
  <r>
    <m/>
    <m/>
    <m/>
    <x v="18"/>
    <x v="1"/>
    <m/>
    <m/>
    <s v="OpenID.AuthN-2.0"/>
    <x v="1"/>
    <m/>
    <m/>
    <s v="openid-authentication-2_0"/>
    <m/>
    <m/>
    <m/>
    <m/>
    <m/>
    <m/>
  </r>
  <r>
    <m/>
    <m/>
    <m/>
    <x v="12"/>
    <x v="1"/>
    <m/>
    <m/>
    <s v="OpenID.AuthN-2.0"/>
    <x v="1"/>
    <m/>
    <m/>
    <s v="Yadis-1.0"/>
    <m/>
    <s v="normative"/>
    <m/>
    <m/>
    <m/>
    <m/>
  </r>
  <r>
    <m/>
    <m/>
    <m/>
    <x v="5"/>
    <x v="1"/>
    <m/>
    <m/>
    <s v="OIDF"/>
    <x v="1"/>
    <m/>
    <m/>
    <s v="openid-authentication-2_0"/>
    <m/>
    <m/>
    <m/>
    <m/>
    <m/>
    <m/>
  </r>
  <r>
    <m/>
    <m/>
    <m/>
    <x v="17"/>
    <x v="1"/>
    <m/>
    <m/>
    <s v="openid-authentication-2_0"/>
    <x v="1"/>
    <m/>
    <m/>
    <s v="openid-authentication-2_0-12"/>
    <m/>
    <m/>
    <m/>
    <m/>
    <m/>
    <m/>
  </r>
  <r>
    <m/>
    <m/>
    <m/>
    <x v="5"/>
    <x v="1"/>
    <m/>
    <m/>
    <s v="OIDF"/>
    <x v="1"/>
    <m/>
    <m/>
    <s v="OpenID.Attribute-Exchange-1.0"/>
    <m/>
    <m/>
    <m/>
    <m/>
    <m/>
    <m/>
  </r>
  <r>
    <m/>
    <m/>
    <m/>
    <x v="9"/>
    <x v="1"/>
    <m/>
    <m/>
    <s v="OpenID.Attribute-Exchange-1.0"/>
    <x v="1"/>
    <m/>
    <m/>
    <s v="OpenID 2.0"/>
    <m/>
    <m/>
    <m/>
    <m/>
    <m/>
    <m/>
  </r>
  <r>
    <m/>
    <m/>
    <m/>
    <x v="18"/>
    <x v="1"/>
    <m/>
    <m/>
    <s v="OpenID.Attribute-Exchange-1.0"/>
    <x v="1"/>
    <m/>
    <m/>
    <s v="openid-attribute-exchange-1_0"/>
    <m/>
    <m/>
    <m/>
    <m/>
    <m/>
    <m/>
  </r>
  <r>
    <m/>
    <m/>
    <m/>
    <x v="5"/>
    <x v="1"/>
    <m/>
    <m/>
    <s v="OIDF"/>
    <x v="1"/>
    <m/>
    <m/>
    <s v="openid-attribute-exchange-1_0"/>
    <m/>
    <m/>
    <m/>
    <m/>
    <m/>
    <m/>
  </r>
  <r>
    <m/>
    <m/>
    <m/>
    <x v="17"/>
    <x v="1"/>
    <m/>
    <m/>
    <s v="openid-attribute-exchange-1_0"/>
    <x v="1"/>
    <m/>
    <m/>
    <s v="openid-attribute-exchange-1_0-08"/>
    <m/>
    <m/>
    <m/>
    <m/>
    <m/>
    <m/>
  </r>
  <r>
    <m/>
    <m/>
    <m/>
    <x v="5"/>
    <x v="1"/>
    <m/>
    <m/>
    <s v="OIDF"/>
    <x v="1"/>
    <m/>
    <m/>
    <s v="OpenID.AuthnPolicy-Ext-1.0"/>
    <m/>
    <m/>
    <m/>
    <m/>
    <m/>
    <m/>
  </r>
  <r>
    <m/>
    <m/>
    <m/>
    <x v="9"/>
    <x v="1"/>
    <m/>
    <m/>
    <s v="OpenID.AuthnPolicy-Ext-1.0"/>
    <x v="1"/>
    <m/>
    <m/>
    <s v="OpenID 2.0"/>
    <m/>
    <m/>
    <m/>
    <m/>
    <m/>
    <m/>
  </r>
  <r>
    <m/>
    <m/>
    <m/>
    <x v="18"/>
    <x v="1"/>
    <m/>
    <m/>
    <s v="OpenID.AuthnPolicy-Ext-1.0"/>
    <x v="1"/>
    <m/>
    <m/>
    <s v="openid-provider-authentication-policy-extension-1_0"/>
    <m/>
    <m/>
    <m/>
    <m/>
    <m/>
    <m/>
  </r>
  <r>
    <m/>
    <m/>
    <m/>
    <x v="5"/>
    <x v="1"/>
    <m/>
    <m/>
    <s v="OIDF"/>
    <x v="1"/>
    <m/>
    <m/>
    <s v="openid-provider-authentication-policy-extension-1_0"/>
    <m/>
    <m/>
    <m/>
    <m/>
    <m/>
    <m/>
  </r>
  <r>
    <m/>
    <m/>
    <m/>
    <x v="17"/>
    <x v="1"/>
    <m/>
    <m/>
    <s v="openid-provider-authentication-policy-extension-1_0"/>
    <x v="1"/>
    <m/>
    <m/>
    <s v="openid-provider-authentication-policy-extension-1_0-07"/>
    <m/>
    <m/>
    <m/>
    <m/>
    <m/>
    <m/>
  </r>
  <r>
    <m/>
    <m/>
    <m/>
    <x v="5"/>
    <x v="1"/>
    <m/>
    <m/>
    <s v="OIDF"/>
    <x v="1"/>
    <m/>
    <m/>
    <s v="OpenID.SimpleRegistration-1.0"/>
    <m/>
    <m/>
    <m/>
    <m/>
    <m/>
    <m/>
  </r>
  <r>
    <m/>
    <m/>
    <m/>
    <x v="9"/>
    <x v="1"/>
    <m/>
    <m/>
    <s v="OpenID.SimpleRegistration-1.0"/>
    <x v="1"/>
    <m/>
    <m/>
    <s v="OpenID 2.0"/>
    <m/>
    <m/>
    <m/>
    <m/>
    <m/>
    <m/>
  </r>
  <r>
    <m/>
    <m/>
    <m/>
    <x v="16"/>
    <x v="1"/>
    <m/>
    <m/>
    <s v="OpenID Connect 1.0"/>
    <x v="1"/>
    <m/>
    <m/>
    <s v="OpenID Connect"/>
    <m/>
    <m/>
    <m/>
    <m/>
    <m/>
    <m/>
  </r>
  <r>
    <m/>
    <m/>
    <m/>
    <x v="11"/>
    <x v="1"/>
    <m/>
    <m/>
    <s v="OpenID Connect 1.0"/>
    <x v="1"/>
    <m/>
    <m/>
    <s v="OAuth 2.0"/>
    <m/>
    <m/>
    <m/>
    <m/>
    <m/>
    <m/>
  </r>
  <r>
    <m/>
    <m/>
    <m/>
    <x v="13"/>
    <x v="1"/>
    <m/>
    <m/>
    <s v="OpenID Connect 1.0"/>
    <x v="1"/>
    <m/>
    <m/>
    <s v="OpenID 2.0"/>
    <m/>
    <m/>
    <m/>
    <m/>
    <m/>
    <m/>
  </r>
  <r>
    <m/>
    <m/>
    <m/>
    <x v="5"/>
    <x v="1"/>
    <m/>
    <m/>
    <s v="AB/Connect WG"/>
    <x v="1"/>
    <m/>
    <m/>
    <s v="OpenID.Connect-Core-1.0-es2"/>
    <m/>
    <m/>
    <m/>
    <m/>
    <m/>
    <m/>
  </r>
  <r>
    <m/>
    <m/>
    <m/>
    <x v="9"/>
    <x v="1"/>
    <m/>
    <m/>
    <s v="OpenID.Connect-Core-1.0-es2"/>
    <x v="1"/>
    <m/>
    <m/>
    <s v="OpenID Connect 1.0"/>
    <m/>
    <m/>
    <m/>
    <m/>
    <m/>
    <m/>
  </r>
  <r>
    <m/>
    <m/>
    <m/>
    <x v="18"/>
    <x v="1"/>
    <m/>
    <m/>
    <s v="OpenID.Connect-Core-1.0-es2"/>
    <x v="1"/>
    <m/>
    <m/>
    <s v="openid-connect-core-1_0"/>
    <m/>
    <m/>
    <m/>
    <m/>
    <m/>
    <m/>
  </r>
  <r>
    <m/>
    <m/>
    <m/>
    <x v="13"/>
    <x v="1"/>
    <m/>
    <m/>
    <s v="OpenID.Connect-Core-1.0-es2"/>
    <x v="1"/>
    <m/>
    <m/>
    <s v="OpenID.Connect-Core-1.0-es1"/>
    <m/>
    <m/>
    <m/>
    <m/>
    <m/>
    <m/>
  </r>
  <r>
    <m/>
    <m/>
    <m/>
    <x v="19"/>
    <x v="1"/>
    <m/>
    <m/>
    <s v="OpenID.Connect-Core-1.0-es2"/>
    <x v="1"/>
    <m/>
    <m/>
    <s v="JTC1.26131:2024"/>
    <m/>
    <m/>
    <m/>
    <m/>
    <m/>
    <m/>
  </r>
  <r>
    <m/>
    <m/>
    <m/>
    <x v="5"/>
    <x v="1"/>
    <m/>
    <m/>
    <s v="ISO/IEC JTC 1"/>
    <x v="1"/>
    <m/>
    <m/>
    <s v="JTC1.26131:2024"/>
    <m/>
    <m/>
    <m/>
    <m/>
    <m/>
    <m/>
  </r>
  <r>
    <m/>
    <m/>
    <m/>
    <x v="5"/>
    <x v="1"/>
    <m/>
    <m/>
    <s v="AB/Connect WG"/>
    <x v="1"/>
    <m/>
    <m/>
    <s v="OpenID.Connect-Core-1.0-es1"/>
    <m/>
    <m/>
    <m/>
    <m/>
    <m/>
    <m/>
  </r>
  <r>
    <m/>
    <m/>
    <m/>
    <x v="18"/>
    <x v="1"/>
    <m/>
    <m/>
    <s v="OpenID.Connect-Core-1.0-es1"/>
    <x v="1"/>
    <m/>
    <m/>
    <s v="openid-connect-core-1_0"/>
    <m/>
    <m/>
    <m/>
    <m/>
    <m/>
    <m/>
  </r>
  <r>
    <m/>
    <m/>
    <m/>
    <x v="13"/>
    <x v="1"/>
    <m/>
    <m/>
    <s v="OpenID.Connect-Core-1.0-es1"/>
    <x v="1"/>
    <m/>
    <m/>
    <s v="OpenID.Connect-Core-1.0"/>
    <m/>
    <m/>
    <m/>
    <m/>
    <m/>
    <m/>
  </r>
  <r>
    <m/>
    <m/>
    <m/>
    <x v="5"/>
    <x v="1"/>
    <m/>
    <m/>
    <s v="AB/Connect WG"/>
    <x v="1"/>
    <m/>
    <m/>
    <s v="OpenID.Connect-Core-1.0"/>
    <m/>
    <m/>
    <m/>
    <m/>
    <m/>
    <m/>
  </r>
  <r>
    <m/>
    <m/>
    <m/>
    <x v="13"/>
    <x v="1"/>
    <m/>
    <m/>
    <s v="OpenID.Connect-Core-1.0"/>
    <x v="1"/>
    <m/>
    <m/>
    <s v="OpenID.AuthN-2.0"/>
    <m/>
    <m/>
    <m/>
    <m/>
    <m/>
    <m/>
  </r>
  <r>
    <m/>
    <m/>
    <m/>
    <x v="18"/>
    <x v="1"/>
    <m/>
    <m/>
    <s v="OpenID.Connect-Core-1.0"/>
    <x v="1"/>
    <m/>
    <m/>
    <s v="openid-connect-core-1_0"/>
    <m/>
    <m/>
    <m/>
    <m/>
    <m/>
    <m/>
  </r>
  <r>
    <m/>
    <m/>
    <m/>
    <x v="5"/>
    <x v="1"/>
    <m/>
    <m/>
    <s v="AB/Connect WG"/>
    <x v="1"/>
    <m/>
    <m/>
    <s v="openid-connect-core-1_0"/>
    <m/>
    <m/>
    <m/>
    <m/>
    <m/>
    <m/>
  </r>
  <r>
    <m/>
    <m/>
    <m/>
    <x v="17"/>
    <x v="1"/>
    <m/>
    <m/>
    <s v="openid-connect-core-1_0"/>
    <x v="1"/>
    <m/>
    <m/>
    <s v="openid-connect-core-1_0-35"/>
    <m/>
    <m/>
    <m/>
    <m/>
    <m/>
    <m/>
  </r>
  <r>
    <m/>
    <m/>
    <m/>
    <x v="17"/>
    <x v="1"/>
    <m/>
    <m/>
    <s v="openid-connect-core-1_0"/>
    <x v="1"/>
    <m/>
    <m/>
    <s v="openid-connect-core-1_0-22"/>
    <m/>
    <m/>
    <m/>
    <m/>
    <m/>
    <m/>
  </r>
  <r>
    <m/>
    <m/>
    <m/>
    <x v="17"/>
    <x v="1"/>
    <m/>
    <m/>
    <s v="openid-connect-core-1_0"/>
    <x v="1"/>
    <m/>
    <m/>
    <s v="openid-connect-core-1_0-18"/>
    <m/>
    <m/>
    <m/>
    <m/>
    <m/>
    <m/>
  </r>
  <r>
    <m/>
    <m/>
    <m/>
    <x v="17"/>
    <x v="1"/>
    <m/>
    <m/>
    <s v="openid-connect-core-1_0"/>
    <x v="1"/>
    <m/>
    <m/>
    <s v="openid-connect-core-1_0-12"/>
    <m/>
    <m/>
    <m/>
    <m/>
    <m/>
    <m/>
  </r>
  <r>
    <m/>
    <m/>
    <m/>
    <x v="17"/>
    <x v="1"/>
    <m/>
    <m/>
    <s v="openid-connect-standard-1_0"/>
    <x v="1"/>
    <m/>
    <m/>
    <s v="openid-connect-standard-1_0-21"/>
    <m/>
    <m/>
    <m/>
    <m/>
    <m/>
    <m/>
  </r>
  <r>
    <m/>
    <m/>
    <m/>
    <x v="17"/>
    <x v="1"/>
    <m/>
    <m/>
    <s v="openid-connect-messages-1_0"/>
    <x v="1"/>
    <m/>
    <m/>
    <s v="openid-connect-messages-1_0-20"/>
    <m/>
    <m/>
    <m/>
    <m/>
    <m/>
    <m/>
  </r>
  <r>
    <m/>
    <m/>
    <m/>
    <x v="13"/>
    <x v="1"/>
    <m/>
    <m/>
    <s v="openid-connect-core-1_0-12"/>
    <x v="1"/>
    <m/>
    <m/>
    <s v="openid-connect-standard-1_0-21"/>
    <m/>
    <m/>
    <m/>
    <m/>
    <m/>
    <m/>
  </r>
  <r>
    <m/>
    <m/>
    <m/>
    <x v="13"/>
    <x v="1"/>
    <m/>
    <m/>
    <s v="openid-connect-core-1_0-12"/>
    <x v="1"/>
    <m/>
    <m/>
    <s v="openid-connect-messages-1_0-20"/>
    <m/>
    <m/>
    <m/>
    <m/>
    <m/>
    <m/>
  </r>
  <r>
    <m/>
    <m/>
    <m/>
    <x v="17"/>
    <x v="1"/>
    <m/>
    <m/>
    <s v="openid-connect-messages-1_0"/>
    <x v="1"/>
    <m/>
    <m/>
    <s v="openid-connect-messages-1_0-12"/>
    <m/>
    <m/>
    <m/>
    <m/>
    <m/>
    <m/>
  </r>
  <r>
    <m/>
    <m/>
    <m/>
    <x v="5"/>
    <x v="1"/>
    <m/>
    <m/>
    <s v="AB/Connect WG"/>
    <x v="1"/>
    <m/>
    <m/>
    <s v="openid-connect-standard-1_0"/>
    <m/>
    <m/>
    <m/>
    <m/>
    <m/>
    <m/>
  </r>
  <r>
    <m/>
    <m/>
    <m/>
    <x v="5"/>
    <x v="1"/>
    <m/>
    <m/>
    <s v="AB/Connect WG"/>
    <x v="1"/>
    <m/>
    <m/>
    <s v="openid-connect-messages-1_0"/>
    <m/>
    <m/>
    <m/>
    <m/>
    <m/>
    <m/>
  </r>
  <r>
    <m/>
    <m/>
    <m/>
    <x v="5"/>
    <x v="1"/>
    <m/>
    <m/>
    <s v="AB/Connect WG"/>
    <x v="1"/>
    <m/>
    <m/>
    <s v="OpenID.Connect-Discovery-1.0-es2"/>
    <m/>
    <m/>
    <m/>
    <m/>
    <m/>
    <m/>
  </r>
  <r>
    <m/>
    <m/>
    <m/>
    <x v="9"/>
    <x v="1"/>
    <m/>
    <m/>
    <s v="OpenID.Connect-Discovery-1.0-es2"/>
    <x v="1"/>
    <m/>
    <m/>
    <s v="OpenID Connect 1.0"/>
    <m/>
    <m/>
    <m/>
    <m/>
    <m/>
    <m/>
  </r>
  <r>
    <m/>
    <m/>
    <m/>
    <x v="18"/>
    <x v="1"/>
    <m/>
    <m/>
    <s v="OpenID.Connect-Discovery-1.0-es2"/>
    <x v="1"/>
    <m/>
    <m/>
    <s v="openid-connect-discovery-1_0"/>
    <m/>
    <m/>
    <m/>
    <m/>
    <m/>
    <m/>
  </r>
  <r>
    <m/>
    <m/>
    <m/>
    <x v="13"/>
    <x v="1"/>
    <m/>
    <m/>
    <s v="OpenID.Connect-Discovery-1.0-es2"/>
    <x v="1"/>
    <m/>
    <m/>
    <s v="OpenID.Connect-Discovery-1.0-es1"/>
    <m/>
    <m/>
    <m/>
    <m/>
    <m/>
    <m/>
  </r>
  <r>
    <m/>
    <m/>
    <m/>
    <x v="19"/>
    <x v="1"/>
    <m/>
    <m/>
    <s v="OpenID.Connect-Discovery-1.0-es2"/>
    <x v="1"/>
    <m/>
    <m/>
    <s v="JTC1.26132:2024"/>
    <m/>
    <m/>
    <m/>
    <m/>
    <m/>
    <m/>
  </r>
  <r>
    <m/>
    <m/>
    <m/>
    <x v="5"/>
    <x v="1"/>
    <m/>
    <m/>
    <s v="ISO/IEC JTC 1"/>
    <x v="1"/>
    <m/>
    <m/>
    <s v="JTC1.26132:2024"/>
    <m/>
    <m/>
    <m/>
    <m/>
    <m/>
    <m/>
  </r>
  <r>
    <m/>
    <m/>
    <m/>
    <x v="5"/>
    <x v="1"/>
    <m/>
    <m/>
    <s v="AB/Connect WG"/>
    <x v="1"/>
    <m/>
    <m/>
    <s v="OpenID.Connect-Discovery-1.0-es1"/>
    <m/>
    <m/>
    <m/>
    <m/>
    <m/>
    <m/>
  </r>
  <r>
    <m/>
    <m/>
    <m/>
    <x v="18"/>
    <x v="1"/>
    <m/>
    <m/>
    <s v="OpenID.Connect-Discovery-1.0-es1"/>
    <x v="1"/>
    <m/>
    <m/>
    <s v="openid-connect-discovery-1_0"/>
    <m/>
    <m/>
    <m/>
    <m/>
    <m/>
    <m/>
  </r>
  <r>
    <m/>
    <m/>
    <m/>
    <x v="13"/>
    <x v="1"/>
    <m/>
    <m/>
    <s v="OpenID.Connect-Discovery-1.0-es1"/>
    <x v="1"/>
    <m/>
    <m/>
    <s v="OpenID.Connect-Discovery-1.0"/>
    <m/>
    <m/>
    <m/>
    <m/>
    <m/>
    <m/>
  </r>
  <r>
    <m/>
    <m/>
    <m/>
    <x v="5"/>
    <x v="1"/>
    <m/>
    <m/>
    <s v="AB/Connect WG"/>
    <x v="1"/>
    <m/>
    <m/>
    <s v="OpenID.Connect-Discovery-1.0"/>
    <m/>
    <m/>
    <m/>
    <m/>
    <m/>
    <m/>
  </r>
  <r>
    <m/>
    <m/>
    <m/>
    <x v="18"/>
    <x v="1"/>
    <m/>
    <m/>
    <s v="OpenID.Connect-Discovery-1.0"/>
    <x v="1"/>
    <m/>
    <m/>
    <s v="openid-connect-discovery-1_0"/>
    <m/>
    <m/>
    <m/>
    <m/>
    <m/>
    <m/>
  </r>
  <r>
    <m/>
    <m/>
    <m/>
    <x v="5"/>
    <x v="1"/>
    <m/>
    <m/>
    <s v="AB/Connect WG"/>
    <x v="1"/>
    <m/>
    <m/>
    <s v="openid-connect-discovery-1_0"/>
    <m/>
    <m/>
    <m/>
    <m/>
    <m/>
    <m/>
  </r>
  <r>
    <m/>
    <m/>
    <m/>
    <x v="17"/>
    <x v="1"/>
    <m/>
    <m/>
    <s v="openid-connect-discovery-1_0"/>
    <x v="1"/>
    <m/>
    <m/>
    <s v="openid-connect-discovery-1_0-37"/>
    <m/>
    <m/>
    <m/>
    <m/>
    <m/>
    <m/>
  </r>
  <r>
    <m/>
    <m/>
    <m/>
    <x v="17"/>
    <x v="1"/>
    <m/>
    <m/>
    <s v="openid-connect-discovery-1_0"/>
    <x v="1"/>
    <m/>
    <m/>
    <s v="openid-connect-discovery-1_0-25"/>
    <m/>
    <m/>
    <m/>
    <m/>
    <m/>
    <m/>
  </r>
  <r>
    <m/>
    <m/>
    <m/>
    <x v="17"/>
    <x v="1"/>
    <m/>
    <m/>
    <s v="openid-connect-discovery-1_0"/>
    <x v="1"/>
    <m/>
    <m/>
    <s v="openid-connect-discovery-1_0-22"/>
    <m/>
    <m/>
    <m/>
    <m/>
    <m/>
    <m/>
  </r>
  <r>
    <m/>
    <m/>
    <m/>
    <x v="5"/>
    <x v="1"/>
    <m/>
    <m/>
    <s v="AB/Connect WG"/>
    <x v="1"/>
    <m/>
    <m/>
    <s v="OpenID.Connect-Registration-1.0-es2"/>
    <m/>
    <m/>
    <m/>
    <m/>
    <m/>
    <m/>
  </r>
  <r>
    <m/>
    <m/>
    <m/>
    <x v="9"/>
    <x v="1"/>
    <m/>
    <m/>
    <s v="OpenID.Connect-Registration-1.0-es2"/>
    <x v="1"/>
    <m/>
    <m/>
    <s v="OpenID Connect 1.0"/>
    <m/>
    <m/>
    <m/>
    <m/>
    <m/>
    <m/>
  </r>
  <r>
    <m/>
    <m/>
    <m/>
    <x v="18"/>
    <x v="1"/>
    <m/>
    <m/>
    <s v="OpenID.Connect-Registration-1.0-es2"/>
    <x v="1"/>
    <m/>
    <m/>
    <s v="openid-connect-registration-1_0"/>
    <m/>
    <m/>
    <m/>
    <m/>
    <m/>
    <m/>
  </r>
  <r>
    <m/>
    <m/>
    <m/>
    <x v="13"/>
    <x v="1"/>
    <m/>
    <m/>
    <s v="OpenID.Connect-Registration-1.0-es2"/>
    <x v="1"/>
    <m/>
    <m/>
    <s v="OpenID.Connect-Registration-1.0-es1"/>
    <m/>
    <m/>
    <m/>
    <m/>
    <m/>
    <m/>
  </r>
  <r>
    <m/>
    <m/>
    <m/>
    <x v="19"/>
    <x v="1"/>
    <m/>
    <m/>
    <s v="OpenID.Connect-Registration-1.0-es2"/>
    <x v="1"/>
    <m/>
    <m/>
    <s v="JTC1.26133:2024"/>
    <m/>
    <m/>
    <m/>
    <m/>
    <m/>
    <m/>
  </r>
  <r>
    <m/>
    <m/>
    <m/>
    <x v="5"/>
    <x v="1"/>
    <m/>
    <m/>
    <s v="ISO/IEC JTC 1"/>
    <x v="1"/>
    <m/>
    <m/>
    <s v="JTC1.26133:2024"/>
    <m/>
    <m/>
    <m/>
    <m/>
    <m/>
    <m/>
  </r>
  <r>
    <m/>
    <m/>
    <m/>
    <x v="5"/>
    <x v="1"/>
    <m/>
    <m/>
    <s v="AB/Connect WG"/>
    <x v="1"/>
    <m/>
    <m/>
    <s v="OpenID.Connect-Registration-1.0-es1"/>
    <m/>
    <m/>
    <m/>
    <m/>
    <m/>
    <m/>
  </r>
  <r>
    <m/>
    <m/>
    <m/>
    <x v="18"/>
    <x v="1"/>
    <m/>
    <m/>
    <s v="OpenID.Connect-Registration-1.0-es1"/>
    <x v="1"/>
    <m/>
    <m/>
    <s v="openid-connect-registration-1_0"/>
    <m/>
    <m/>
    <m/>
    <m/>
    <m/>
    <m/>
  </r>
  <r>
    <m/>
    <m/>
    <m/>
    <x v="13"/>
    <x v="1"/>
    <m/>
    <m/>
    <s v="OpenID.Connect-Registration-1.0-es1"/>
    <x v="1"/>
    <m/>
    <m/>
    <s v="OpenID.Connect-Registration-1.0"/>
    <m/>
    <m/>
    <m/>
    <m/>
    <m/>
    <m/>
  </r>
  <r>
    <m/>
    <m/>
    <m/>
    <x v="5"/>
    <x v="1"/>
    <m/>
    <m/>
    <s v="AB/Connect WG"/>
    <x v="1"/>
    <m/>
    <m/>
    <s v="OpenID.Connect-Registration-1.0"/>
    <m/>
    <m/>
    <m/>
    <m/>
    <m/>
    <m/>
  </r>
  <r>
    <m/>
    <m/>
    <m/>
    <x v="18"/>
    <x v="1"/>
    <m/>
    <m/>
    <s v="OpenID.Connect-Registration-1.0"/>
    <x v="1"/>
    <m/>
    <m/>
    <s v="openid-connect-registration-1_0"/>
    <m/>
    <m/>
    <m/>
    <m/>
    <m/>
    <m/>
  </r>
  <r>
    <m/>
    <m/>
    <m/>
    <x v="5"/>
    <x v="1"/>
    <m/>
    <m/>
    <s v="AB/Connect WG"/>
    <x v="1"/>
    <m/>
    <m/>
    <s v="openid-connect-registration-1_0"/>
    <m/>
    <m/>
    <m/>
    <m/>
    <m/>
    <m/>
  </r>
  <r>
    <m/>
    <m/>
    <m/>
    <x v="17"/>
    <x v="1"/>
    <m/>
    <m/>
    <s v="openid-connect-registration-1_0"/>
    <x v="1"/>
    <m/>
    <m/>
    <s v="openid-connect-registration-1_0-39"/>
    <m/>
    <m/>
    <m/>
    <m/>
    <m/>
    <m/>
  </r>
  <r>
    <m/>
    <m/>
    <m/>
    <x v="17"/>
    <x v="1"/>
    <m/>
    <m/>
    <s v="openid-connect-registration-1_0"/>
    <x v="1"/>
    <m/>
    <m/>
    <s v="openid-connect-registration-1_0-28"/>
    <m/>
    <m/>
    <m/>
    <m/>
    <m/>
    <m/>
  </r>
  <r>
    <m/>
    <m/>
    <m/>
    <x v="17"/>
    <x v="1"/>
    <m/>
    <m/>
    <s v="openid-connect-registration-1_0"/>
    <x v="1"/>
    <m/>
    <m/>
    <s v="openid-connect-registration-1_0-24"/>
    <m/>
    <m/>
    <m/>
    <m/>
    <m/>
    <m/>
  </r>
  <r>
    <m/>
    <m/>
    <m/>
    <x v="5"/>
    <x v="1"/>
    <m/>
    <m/>
    <s v="AB/Connect WG"/>
    <x v="1"/>
    <m/>
    <m/>
    <s v="OpenID.Connect-RPLogout-1.0"/>
    <m/>
    <m/>
    <m/>
    <m/>
    <m/>
    <m/>
  </r>
  <r>
    <m/>
    <m/>
    <m/>
    <x v="9"/>
    <x v="1"/>
    <m/>
    <m/>
    <s v="OpenID.Connect-RPLogout-1.0"/>
    <x v="1"/>
    <m/>
    <m/>
    <s v="OpenID Connect 1.0"/>
    <m/>
    <m/>
    <m/>
    <m/>
    <m/>
    <m/>
  </r>
  <r>
    <m/>
    <m/>
    <m/>
    <x v="18"/>
    <x v="1"/>
    <m/>
    <m/>
    <s v="OpenID.Connect-RPLogout-1.0"/>
    <x v="1"/>
    <m/>
    <m/>
    <s v="openid-connect-rpinitiated-1_0"/>
    <m/>
    <m/>
    <m/>
    <m/>
    <m/>
    <m/>
  </r>
  <r>
    <m/>
    <m/>
    <m/>
    <x v="19"/>
    <x v="1"/>
    <m/>
    <m/>
    <s v="OpenID.Connect-RPLogout-1.0"/>
    <x v="1"/>
    <m/>
    <m/>
    <s v="JTC1.26134:2024"/>
    <m/>
    <m/>
    <m/>
    <m/>
    <m/>
    <m/>
  </r>
  <r>
    <m/>
    <m/>
    <m/>
    <x v="5"/>
    <x v="1"/>
    <m/>
    <m/>
    <s v="ISO/IEC JTC 1"/>
    <x v="1"/>
    <m/>
    <m/>
    <s v="JTC1.26134:2024"/>
    <m/>
    <m/>
    <m/>
    <m/>
    <m/>
    <m/>
  </r>
  <r>
    <m/>
    <m/>
    <m/>
    <x v="5"/>
    <x v="1"/>
    <m/>
    <m/>
    <s v="AB/Connect WG"/>
    <x v="1"/>
    <m/>
    <m/>
    <s v="openid-connect-rpinitiated-1_0"/>
    <m/>
    <m/>
    <m/>
    <m/>
    <m/>
    <m/>
  </r>
  <r>
    <m/>
    <m/>
    <m/>
    <x v="17"/>
    <x v="1"/>
    <m/>
    <m/>
    <s v="openid-connect-rpinitiated-1_0"/>
    <x v="1"/>
    <m/>
    <m/>
    <s v="openid-connect-rpinitiated-1_0-04"/>
    <m/>
    <m/>
    <m/>
    <m/>
    <m/>
    <m/>
  </r>
  <r>
    <m/>
    <m/>
    <m/>
    <x v="5"/>
    <x v="1"/>
    <m/>
    <m/>
    <s v="AB/Connect WG"/>
    <x v="1"/>
    <m/>
    <m/>
    <s v="OpenID.Connect-Session-1.0"/>
    <m/>
    <m/>
    <m/>
    <m/>
    <m/>
    <m/>
  </r>
  <r>
    <m/>
    <m/>
    <m/>
    <x v="9"/>
    <x v="1"/>
    <m/>
    <m/>
    <s v="OpenID.Connect-Session-1.0"/>
    <x v="1"/>
    <m/>
    <m/>
    <s v="OpenID Connect 1.0"/>
    <m/>
    <m/>
    <m/>
    <m/>
    <m/>
    <m/>
  </r>
  <r>
    <m/>
    <m/>
    <m/>
    <x v="18"/>
    <x v="1"/>
    <m/>
    <m/>
    <s v="OpenID.Connect-Session-1.0"/>
    <x v="1"/>
    <m/>
    <m/>
    <s v="openid-connect-session-1_0"/>
    <m/>
    <m/>
    <m/>
    <m/>
    <m/>
    <m/>
  </r>
  <r>
    <m/>
    <m/>
    <m/>
    <x v="19"/>
    <x v="1"/>
    <m/>
    <m/>
    <s v="OpenID.Connect-Session-1.0"/>
    <x v="1"/>
    <m/>
    <m/>
    <s v="JTC1.26135:2024"/>
    <m/>
    <m/>
    <m/>
    <m/>
    <m/>
    <m/>
  </r>
  <r>
    <m/>
    <m/>
    <m/>
    <x v="5"/>
    <x v="1"/>
    <m/>
    <m/>
    <s v="ISO/IEC JTC 1"/>
    <x v="1"/>
    <m/>
    <m/>
    <s v="JTC1.26135:2024"/>
    <m/>
    <m/>
    <m/>
    <m/>
    <m/>
    <m/>
  </r>
  <r>
    <m/>
    <m/>
    <m/>
    <x v="5"/>
    <x v="1"/>
    <m/>
    <m/>
    <s v="AB/Connect WG"/>
    <x v="1"/>
    <m/>
    <m/>
    <s v="openid-connect-session-1_0"/>
    <m/>
    <m/>
    <m/>
    <m/>
    <m/>
    <m/>
  </r>
  <r>
    <m/>
    <m/>
    <m/>
    <x v="17"/>
    <x v="1"/>
    <m/>
    <m/>
    <s v="openid-connect-session-1_0"/>
    <x v="1"/>
    <m/>
    <m/>
    <s v="openid-connect-session-1_0-32"/>
    <m/>
    <m/>
    <m/>
    <m/>
    <m/>
    <m/>
  </r>
  <r>
    <m/>
    <m/>
    <m/>
    <x v="5"/>
    <x v="1"/>
    <m/>
    <m/>
    <s v="AB/Connect WG"/>
    <x v="1"/>
    <m/>
    <m/>
    <s v="OpenID.Connect-FrontChannel-1.0"/>
    <m/>
    <m/>
    <m/>
    <m/>
    <m/>
    <m/>
  </r>
  <r>
    <m/>
    <m/>
    <m/>
    <x v="9"/>
    <x v="1"/>
    <m/>
    <m/>
    <s v="OpenID.Connect-FrontChannel-1.0"/>
    <x v="1"/>
    <m/>
    <m/>
    <s v="OpenID Connect 1.0"/>
    <m/>
    <m/>
    <m/>
    <m/>
    <m/>
    <m/>
  </r>
  <r>
    <m/>
    <m/>
    <m/>
    <x v="18"/>
    <x v="1"/>
    <m/>
    <m/>
    <s v="OpenID.Connect-FrontChannel-1.0"/>
    <x v="1"/>
    <m/>
    <m/>
    <s v="openid-connect-frontchannel-1_0"/>
    <m/>
    <m/>
    <m/>
    <m/>
    <m/>
    <m/>
  </r>
  <r>
    <m/>
    <m/>
    <m/>
    <x v="19"/>
    <x v="1"/>
    <m/>
    <m/>
    <s v="OpenID.Connect-FrontChannel-1.0"/>
    <x v="1"/>
    <m/>
    <m/>
    <s v="JTC1.26136:2024"/>
    <m/>
    <m/>
    <m/>
    <m/>
    <m/>
    <m/>
  </r>
  <r>
    <m/>
    <m/>
    <m/>
    <x v="5"/>
    <x v="1"/>
    <m/>
    <m/>
    <s v="ISO/IEC JTC 1"/>
    <x v="1"/>
    <m/>
    <m/>
    <s v="JTC1.26136:2024"/>
    <m/>
    <m/>
    <m/>
    <m/>
    <m/>
    <m/>
  </r>
  <r>
    <m/>
    <m/>
    <m/>
    <x v="5"/>
    <x v="1"/>
    <m/>
    <m/>
    <s v="AB/Connect WG"/>
    <x v="1"/>
    <m/>
    <m/>
    <s v="openid-connect-frontchannel-1_0"/>
    <m/>
    <m/>
    <m/>
    <m/>
    <m/>
    <m/>
  </r>
  <r>
    <m/>
    <m/>
    <m/>
    <x v="17"/>
    <x v="1"/>
    <m/>
    <m/>
    <s v="openid-connect-frontchannel-1_0"/>
    <x v="1"/>
    <m/>
    <m/>
    <s v="openid-connect-frontchannel-1_0-07"/>
    <m/>
    <m/>
    <m/>
    <m/>
    <m/>
    <m/>
  </r>
  <r>
    <m/>
    <m/>
    <m/>
    <x v="5"/>
    <x v="1"/>
    <m/>
    <m/>
    <s v="AB/Connect WG"/>
    <x v="1"/>
    <m/>
    <m/>
    <s v="OpenID.Connect-BackChannel-1.0-es1"/>
    <m/>
    <m/>
    <m/>
    <m/>
    <m/>
    <m/>
  </r>
  <r>
    <m/>
    <m/>
    <m/>
    <x v="9"/>
    <x v="1"/>
    <m/>
    <m/>
    <s v="OpenID.Connect-BackChannel-1.0-es1"/>
    <x v="1"/>
    <m/>
    <m/>
    <s v="OpenID Connect 1.0"/>
    <m/>
    <m/>
    <m/>
    <m/>
    <m/>
    <m/>
  </r>
  <r>
    <m/>
    <m/>
    <m/>
    <x v="18"/>
    <x v="1"/>
    <m/>
    <m/>
    <s v="OpenID.Connect-BackChannel-1.0-es1"/>
    <x v="1"/>
    <m/>
    <m/>
    <s v="openid-connect-backchannel-1_0"/>
    <m/>
    <m/>
    <m/>
    <m/>
    <m/>
    <m/>
  </r>
  <r>
    <m/>
    <m/>
    <m/>
    <x v="13"/>
    <x v="1"/>
    <m/>
    <m/>
    <s v="OpenID.Connect-BackChannel-1.0-es1"/>
    <x v="1"/>
    <m/>
    <m/>
    <s v="OpenID.Connect-BackChannel-1.0"/>
    <m/>
    <m/>
    <m/>
    <m/>
    <m/>
    <m/>
  </r>
  <r>
    <m/>
    <m/>
    <m/>
    <x v="19"/>
    <x v="1"/>
    <m/>
    <m/>
    <s v="OpenID.Connect-BackChannel-1.0-es1"/>
    <x v="1"/>
    <m/>
    <m/>
    <s v="JTC1.26137:2024"/>
    <m/>
    <m/>
    <m/>
    <m/>
    <m/>
    <m/>
  </r>
  <r>
    <m/>
    <m/>
    <m/>
    <x v="5"/>
    <x v="1"/>
    <m/>
    <m/>
    <s v="ISO/IEC JTC 1"/>
    <x v="1"/>
    <m/>
    <m/>
    <s v="JTC1.26137:2024"/>
    <m/>
    <m/>
    <m/>
    <m/>
    <m/>
    <m/>
  </r>
  <r>
    <m/>
    <m/>
    <m/>
    <x v="5"/>
    <x v="1"/>
    <m/>
    <m/>
    <s v="AB/Connect WG"/>
    <x v="1"/>
    <m/>
    <m/>
    <s v="OpenID.Connect-BackChannel-1.0"/>
    <m/>
    <m/>
    <m/>
    <m/>
    <m/>
    <m/>
  </r>
  <r>
    <m/>
    <m/>
    <m/>
    <x v="18"/>
    <x v="1"/>
    <m/>
    <m/>
    <s v="OpenID.Connect-BackChannel-1.0"/>
    <x v="1"/>
    <m/>
    <m/>
    <s v="openid-connect-backchannel-1_0"/>
    <m/>
    <m/>
    <m/>
    <m/>
    <m/>
    <m/>
  </r>
  <r>
    <m/>
    <m/>
    <m/>
    <x v="5"/>
    <x v="1"/>
    <m/>
    <m/>
    <s v="AB/Connect WG"/>
    <x v="1"/>
    <m/>
    <m/>
    <s v="openid-connect-backchannel-1_0"/>
    <m/>
    <m/>
    <m/>
    <m/>
    <m/>
    <m/>
  </r>
  <r>
    <m/>
    <m/>
    <m/>
    <x v="17"/>
    <x v="1"/>
    <m/>
    <m/>
    <s v="openid-connect-backchannel-1_0"/>
    <x v="1"/>
    <m/>
    <m/>
    <s v="openid-connect-backchannel-1_0-13"/>
    <m/>
    <m/>
    <m/>
    <m/>
    <m/>
    <m/>
  </r>
  <r>
    <m/>
    <m/>
    <m/>
    <x v="17"/>
    <x v="1"/>
    <m/>
    <m/>
    <s v="openid-connect-backchannel-1_0"/>
    <x v="1"/>
    <m/>
    <m/>
    <s v="openid-connect-backchannel-1_0-10"/>
    <m/>
    <m/>
    <m/>
    <m/>
    <m/>
    <m/>
  </r>
  <r>
    <m/>
    <m/>
    <m/>
    <x v="5"/>
    <x v="1"/>
    <m/>
    <m/>
    <s v="AB/Connect WG"/>
    <x v="1"/>
    <m/>
    <m/>
    <s v="OpenID.OAuth2-Multiple-Response-Types-1.0"/>
    <m/>
    <m/>
    <m/>
    <m/>
    <m/>
    <m/>
  </r>
  <r>
    <m/>
    <m/>
    <m/>
    <x v="9"/>
    <x v="1"/>
    <m/>
    <m/>
    <s v="OpenID.OAuth2-Multiple-Response-Types-1.0"/>
    <x v="1"/>
    <m/>
    <m/>
    <s v="OAuth 2.0"/>
    <m/>
    <m/>
    <m/>
    <m/>
    <m/>
    <m/>
  </r>
  <r>
    <m/>
    <m/>
    <m/>
    <x v="18"/>
    <x v="1"/>
    <m/>
    <m/>
    <s v="OpenID.OAuth2-Multiple-Response-Types-1.0"/>
    <x v="1"/>
    <m/>
    <m/>
    <s v="oauth-v2-multiple-response-types-1_0"/>
    <m/>
    <m/>
    <m/>
    <m/>
    <m/>
    <m/>
  </r>
  <r>
    <m/>
    <m/>
    <m/>
    <x v="19"/>
    <x v="1"/>
    <m/>
    <m/>
    <s v="OpenID.OAuth2-Multiple-Response-Types-1.0"/>
    <x v="1"/>
    <m/>
    <m/>
    <s v="JTC1.26138:2024"/>
    <m/>
    <m/>
    <m/>
    <m/>
    <m/>
    <m/>
  </r>
  <r>
    <m/>
    <m/>
    <m/>
    <x v="5"/>
    <x v="1"/>
    <m/>
    <m/>
    <s v="ISO/IEC JTC 1"/>
    <x v="1"/>
    <m/>
    <m/>
    <s v="JTC1.26138:2024"/>
    <m/>
    <m/>
    <m/>
    <m/>
    <m/>
    <m/>
  </r>
  <r>
    <m/>
    <m/>
    <m/>
    <x v="5"/>
    <x v="1"/>
    <m/>
    <m/>
    <s v="AB/Connect WG"/>
    <x v="1"/>
    <m/>
    <m/>
    <s v="oauth-v2-multiple-response-types-1_0"/>
    <m/>
    <m/>
    <m/>
    <m/>
    <m/>
    <m/>
  </r>
  <r>
    <m/>
    <m/>
    <m/>
    <x v="17"/>
    <x v="1"/>
    <m/>
    <m/>
    <s v="oauth-v2-multiple-response-types-1_0"/>
    <x v="1"/>
    <m/>
    <m/>
    <s v="oauth-v2-multiple-response-types-1_0-12"/>
    <m/>
    <m/>
    <m/>
    <m/>
    <m/>
    <m/>
  </r>
  <r>
    <m/>
    <m/>
    <m/>
    <x v="5"/>
    <x v="1"/>
    <m/>
    <m/>
    <s v="AB/Connect WG"/>
    <x v="1"/>
    <m/>
    <m/>
    <s v="OpenID.OAuth2-Form-Post-Response-1.0"/>
    <m/>
    <m/>
    <m/>
    <m/>
    <m/>
    <m/>
  </r>
  <r>
    <m/>
    <m/>
    <m/>
    <x v="9"/>
    <x v="1"/>
    <m/>
    <m/>
    <s v="OpenID.OAuth2-Form-Post-Response-1.0"/>
    <x v="1"/>
    <m/>
    <m/>
    <s v="OAuth 2.0"/>
    <m/>
    <m/>
    <m/>
    <m/>
    <m/>
    <m/>
  </r>
  <r>
    <m/>
    <m/>
    <m/>
    <x v="18"/>
    <x v="1"/>
    <m/>
    <m/>
    <s v="OpenID.OAuth2-Form-Post-Response-1.0"/>
    <x v="1"/>
    <m/>
    <m/>
    <s v="oauth-v2-form-post-response-mode-1_0"/>
    <m/>
    <m/>
    <m/>
    <m/>
    <m/>
    <m/>
  </r>
  <r>
    <m/>
    <m/>
    <m/>
    <x v="19"/>
    <x v="1"/>
    <m/>
    <m/>
    <s v="OpenID.OAuth2-Form-Post-Response-1.0"/>
    <x v="1"/>
    <m/>
    <m/>
    <s v="JTC1.26139:2024"/>
    <m/>
    <m/>
    <m/>
    <m/>
    <m/>
    <m/>
  </r>
  <r>
    <m/>
    <m/>
    <m/>
    <x v="5"/>
    <x v="1"/>
    <m/>
    <m/>
    <s v="ISO/IEC JTC 1"/>
    <x v="1"/>
    <m/>
    <m/>
    <s v="JTC1.26139:2024"/>
    <m/>
    <m/>
    <m/>
    <m/>
    <m/>
    <m/>
  </r>
  <r>
    <m/>
    <m/>
    <m/>
    <x v="5"/>
    <x v="1"/>
    <m/>
    <m/>
    <s v="AB/Connect WG"/>
    <x v="1"/>
    <m/>
    <m/>
    <s v="oauth-v2-form-post-response-mode-1_0"/>
    <m/>
    <m/>
    <m/>
    <m/>
    <m/>
    <m/>
  </r>
  <r>
    <m/>
    <m/>
    <m/>
    <x v="17"/>
    <x v="1"/>
    <m/>
    <m/>
    <s v="oauth-v2-form-post-response-mode-1_0"/>
    <x v="1"/>
    <m/>
    <m/>
    <s v="oauth-v2-form-post-response-mode-1_0-05"/>
    <m/>
    <m/>
    <m/>
    <m/>
    <m/>
    <m/>
  </r>
  <r>
    <m/>
    <m/>
    <m/>
    <x v="5"/>
    <x v="1"/>
    <m/>
    <m/>
    <s v="AB/Connect WG"/>
    <x v="1"/>
    <m/>
    <m/>
    <s v="OpenID.Connect-Migration-1.0"/>
    <m/>
    <m/>
    <m/>
    <m/>
    <m/>
    <m/>
  </r>
  <r>
    <m/>
    <m/>
    <m/>
    <x v="9"/>
    <x v="1"/>
    <m/>
    <m/>
    <s v="OpenID.Connect-Migration-1.0"/>
    <x v="1"/>
    <m/>
    <m/>
    <s v="OpenID Connect 1.0"/>
    <m/>
    <m/>
    <m/>
    <m/>
    <m/>
    <m/>
  </r>
  <r>
    <m/>
    <m/>
    <m/>
    <x v="9"/>
    <x v="1"/>
    <m/>
    <m/>
    <s v="OpenID.Connect-Migration-1.0"/>
    <x v="1"/>
    <m/>
    <m/>
    <s v="OpenID 2.0"/>
    <m/>
    <m/>
    <m/>
    <m/>
    <m/>
    <m/>
  </r>
  <r>
    <m/>
    <m/>
    <m/>
    <x v="18"/>
    <x v="1"/>
    <m/>
    <m/>
    <s v="OpenID.Connect-Migration-1.0"/>
    <x v="1"/>
    <m/>
    <m/>
    <s v="openid-connect-migration-1_0"/>
    <m/>
    <m/>
    <m/>
    <m/>
    <m/>
    <m/>
  </r>
  <r>
    <m/>
    <m/>
    <m/>
    <x v="5"/>
    <x v="1"/>
    <m/>
    <m/>
    <s v="AB/Connect WG"/>
    <x v="1"/>
    <m/>
    <m/>
    <s v="openid-connect-migration-1_0"/>
    <m/>
    <m/>
    <m/>
    <m/>
    <m/>
    <m/>
  </r>
  <r>
    <m/>
    <m/>
    <m/>
    <x v="17"/>
    <x v="1"/>
    <m/>
    <m/>
    <s v="openid-connect-migration-1_0"/>
    <x v="1"/>
    <m/>
    <m/>
    <s v="openid-connect-migration-1_0-09"/>
    <m/>
    <m/>
    <m/>
    <m/>
    <m/>
    <m/>
  </r>
  <r>
    <m/>
    <m/>
    <m/>
    <x v="5"/>
    <x v="1"/>
    <m/>
    <m/>
    <s v="AB/Connect WG"/>
    <x v="1"/>
    <m/>
    <m/>
    <s v="OpenID.Connect-UnmetAuthn-1.0"/>
    <m/>
    <m/>
    <m/>
    <m/>
    <m/>
    <m/>
  </r>
  <r>
    <m/>
    <m/>
    <m/>
    <x v="9"/>
    <x v="1"/>
    <m/>
    <m/>
    <s v="OpenID.Connect-UnmetAuthn-1.0"/>
    <x v="1"/>
    <m/>
    <m/>
    <s v="OpenID Connect 1.0"/>
    <m/>
    <m/>
    <m/>
    <m/>
    <m/>
    <m/>
  </r>
  <r>
    <m/>
    <m/>
    <m/>
    <x v="18"/>
    <x v="1"/>
    <m/>
    <m/>
    <s v="OpenID.Connect-UnmetAuthn-1.0"/>
    <x v="1"/>
    <m/>
    <m/>
    <s v="openid-connect-unmet-authentication-requirements-1_0"/>
    <m/>
    <m/>
    <m/>
    <m/>
    <m/>
    <m/>
  </r>
  <r>
    <m/>
    <m/>
    <m/>
    <x v="5"/>
    <x v="1"/>
    <m/>
    <m/>
    <s v="AB/Connect WG"/>
    <x v="1"/>
    <m/>
    <m/>
    <s v="openid-connect-unmet-authentication-requirements-1_0"/>
    <m/>
    <m/>
    <m/>
    <m/>
    <m/>
    <m/>
  </r>
  <r>
    <m/>
    <m/>
    <m/>
    <x v="17"/>
    <x v="1"/>
    <m/>
    <m/>
    <s v="openid-connect-unmet-authentication-requirements-1_0"/>
    <x v="1"/>
    <m/>
    <m/>
    <s v="openid-connect-unmet-authentication-requirements-1_0-02"/>
    <m/>
    <m/>
    <m/>
    <m/>
    <m/>
    <m/>
  </r>
  <r>
    <m/>
    <m/>
    <m/>
    <x v="5"/>
    <x v="1"/>
    <m/>
    <m/>
    <s v="AB/Connect WG"/>
    <x v="1"/>
    <m/>
    <m/>
    <s v="OpenID.Connect-UserRegistration-1.0"/>
    <m/>
    <m/>
    <m/>
    <m/>
    <m/>
    <m/>
  </r>
  <r>
    <m/>
    <m/>
    <m/>
    <x v="9"/>
    <x v="1"/>
    <m/>
    <m/>
    <s v="OpenID.Connect-UserRegistration-1.0"/>
    <x v="1"/>
    <m/>
    <m/>
    <s v="OpenID Connect 1.0"/>
    <m/>
    <m/>
    <m/>
    <m/>
    <m/>
    <m/>
  </r>
  <r>
    <m/>
    <m/>
    <m/>
    <x v="18"/>
    <x v="1"/>
    <m/>
    <m/>
    <s v="OpenID.Connect-UserRegistration-1.0"/>
    <x v="1"/>
    <m/>
    <m/>
    <s v="openid-connect-prompt-create-1_0"/>
    <m/>
    <m/>
    <m/>
    <m/>
    <m/>
    <m/>
  </r>
  <r>
    <m/>
    <m/>
    <m/>
    <x v="5"/>
    <x v="1"/>
    <m/>
    <m/>
    <s v="AB/Connect WG"/>
    <x v="1"/>
    <m/>
    <m/>
    <s v="openid-connect-prompt-create-1_0"/>
    <m/>
    <m/>
    <m/>
    <m/>
    <m/>
    <m/>
  </r>
  <r>
    <m/>
    <m/>
    <m/>
    <x v="17"/>
    <x v="1"/>
    <m/>
    <m/>
    <s v="openid-connect-prompt-create-1_0"/>
    <x v="1"/>
    <m/>
    <m/>
    <s v="openid-connect-prompt-create-1_0-07 "/>
    <m/>
    <m/>
    <m/>
    <m/>
    <m/>
    <m/>
  </r>
  <r>
    <m/>
    <m/>
    <m/>
    <x v="5"/>
    <x v="1"/>
    <m/>
    <m/>
    <s v="FAPI WG"/>
    <x v="1"/>
    <m/>
    <m/>
    <s v="OpenID.FAPI-Profile-Baseline-1.0"/>
    <m/>
    <m/>
    <m/>
    <m/>
    <m/>
    <m/>
  </r>
  <r>
    <m/>
    <m/>
    <m/>
    <x v="20"/>
    <x v="1"/>
    <m/>
    <m/>
    <s v="OpenID.FAPI-Profile-Baseline-1.0"/>
    <x v="1"/>
    <m/>
    <m/>
    <s v="OAuth 2.0"/>
    <m/>
    <m/>
    <m/>
    <m/>
    <m/>
    <m/>
  </r>
  <r>
    <m/>
    <m/>
    <m/>
    <x v="20"/>
    <x v="1"/>
    <m/>
    <m/>
    <s v="OpenID.FAPI-Profile-Baseline-1.0"/>
    <x v="1"/>
    <m/>
    <m/>
    <s v="OpenID Connect 1.0"/>
    <m/>
    <m/>
    <m/>
    <m/>
    <m/>
    <m/>
  </r>
  <r>
    <m/>
    <m/>
    <m/>
    <x v="18"/>
    <x v="1"/>
    <m/>
    <m/>
    <s v="OpenID.FAPI-Profile-Baseline-1.0"/>
    <x v="1"/>
    <m/>
    <m/>
    <s v="openid-financial-api-part-1-1_0"/>
    <m/>
    <m/>
    <m/>
    <m/>
    <m/>
    <m/>
  </r>
  <r>
    <m/>
    <m/>
    <m/>
    <x v="5"/>
    <x v="1"/>
    <m/>
    <m/>
    <s v="FAPI WG"/>
    <x v="1"/>
    <m/>
    <m/>
    <s v="openid-financial-api-part-1-1_0"/>
    <m/>
    <m/>
    <m/>
    <m/>
    <m/>
    <m/>
  </r>
  <r>
    <m/>
    <m/>
    <m/>
    <x v="17"/>
    <x v="1"/>
    <m/>
    <m/>
    <s v="openid-financial-api-part-1-1_0"/>
    <x v="1"/>
    <m/>
    <m/>
    <s v="openid-financial-api-part-1-1_0-wd-08"/>
    <m/>
    <m/>
    <m/>
    <m/>
    <m/>
    <m/>
  </r>
  <r>
    <m/>
    <m/>
    <m/>
    <x v="5"/>
    <x v="1"/>
    <m/>
    <m/>
    <s v="FAPI WG"/>
    <x v="1"/>
    <m/>
    <m/>
    <s v="OpenID.FAPI-Profile-Advanced-1.0"/>
    <m/>
    <m/>
    <m/>
    <m/>
    <m/>
    <m/>
  </r>
  <r>
    <m/>
    <m/>
    <m/>
    <x v="20"/>
    <x v="1"/>
    <m/>
    <m/>
    <s v="OpenID.FAPI-Profile-Advanced-1.0"/>
    <x v="1"/>
    <m/>
    <m/>
    <s v="OAuth 2.0"/>
    <m/>
    <m/>
    <m/>
    <m/>
    <m/>
    <m/>
  </r>
  <r>
    <m/>
    <m/>
    <m/>
    <x v="20"/>
    <x v="1"/>
    <m/>
    <m/>
    <s v="OpenID.FAPI-Profile-Advanced-1.0"/>
    <x v="1"/>
    <m/>
    <m/>
    <s v="OpenID Connect 1.0"/>
    <m/>
    <m/>
    <m/>
    <m/>
    <m/>
    <m/>
  </r>
  <r>
    <m/>
    <m/>
    <m/>
    <x v="18"/>
    <x v="1"/>
    <m/>
    <m/>
    <s v="OpenID.FAPI-Profile-Advanced-1.0"/>
    <x v="1"/>
    <m/>
    <m/>
    <s v="openid-financial-api-part-2-1_0"/>
    <m/>
    <m/>
    <m/>
    <m/>
    <m/>
    <m/>
  </r>
  <r>
    <m/>
    <m/>
    <m/>
    <x v="5"/>
    <x v="1"/>
    <m/>
    <m/>
    <s v="FAPI WG"/>
    <x v="1"/>
    <m/>
    <m/>
    <s v="openid-financial-api-part-2-1_0"/>
    <m/>
    <m/>
    <m/>
    <m/>
    <m/>
    <m/>
  </r>
  <r>
    <m/>
    <m/>
    <m/>
    <x v="17"/>
    <x v="1"/>
    <m/>
    <m/>
    <s v="openid-financial-api-part-2-1_0"/>
    <x v="1"/>
    <m/>
    <m/>
    <s v="openid-financial-api-part-2-1_0-wd-08"/>
    <m/>
    <m/>
    <m/>
    <m/>
    <m/>
    <m/>
  </r>
  <r>
    <m/>
    <m/>
    <m/>
    <x v="5"/>
    <x v="1"/>
    <m/>
    <m/>
    <s v="FAPI WG"/>
    <x v="1"/>
    <m/>
    <m/>
    <s v="OpenID.FAPI-Security-Profile-2.0"/>
    <m/>
    <m/>
    <m/>
    <m/>
    <m/>
    <m/>
  </r>
  <r>
    <m/>
    <m/>
    <m/>
    <x v="20"/>
    <x v="1"/>
    <m/>
    <m/>
    <s v="OpenID.FAPI-Security-Profile-2.0"/>
    <x v="1"/>
    <m/>
    <m/>
    <s v="OAuth 2.0"/>
    <m/>
    <m/>
    <m/>
    <m/>
    <m/>
    <m/>
  </r>
  <r>
    <m/>
    <m/>
    <m/>
    <x v="20"/>
    <x v="1"/>
    <m/>
    <m/>
    <s v="OpenID.FAPI-Security-Profile-2.0"/>
    <x v="1"/>
    <m/>
    <m/>
    <s v="OpenID Connect 1.0"/>
    <m/>
    <m/>
    <m/>
    <m/>
    <m/>
    <m/>
  </r>
  <r>
    <m/>
    <m/>
    <m/>
    <x v="18"/>
    <x v="1"/>
    <m/>
    <m/>
    <s v="OpenID.FAPI-Security-Profile-2.0"/>
    <x v="1"/>
    <m/>
    <m/>
    <s v="fapi-security-profile-2_0"/>
    <m/>
    <m/>
    <m/>
    <m/>
    <m/>
    <m/>
  </r>
  <r>
    <m/>
    <m/>
    <m/>
    <x v="5"/>
    <x v="1"/>
    <m/>
    <m/>
    <s v="FAPI WG"/>
    <x v="1"/>
    <m/>
    <m/>
    <s v="fapi-security-profile-2_0"/>
    <m/>
    <m/>
    <m/>
    <m/>
    <m/>
    <m/>
  </r>
  <r>
    <m/>
    <m/>
    <m/>
    <x v="17"/>
    <x v="1"/>
    <m/>
    <m/>
    <s v="fapi-security-profile-2_0"/>
    <x v="1"/>
    <m/>
    <m/>
    <s v="fapi-security-profile-2_0-05"/>
    <m/>
    <m/>
    <m/>
    <m/>
    <m/>
    <m/>
  </r>
  <r>
    <m/>
    <m/>
    <m/>
    <x v="5"/>
    <x v="1"/>
    <m/>
    <m/>
    <s v="FAPI WG"/>
    <x v="1"/>
    <m/>
    <m/>
    <s v="OpenID.FAPI-AttackerModel-2.0"/>
    <m/>
    <m/>
    <m/>
    <m/>
    <m/>
    <m/>
  </r>
  <r>
    <m/>
    <m/>
    <m/>
    <x v="20"/>
    <x v="1"/>
    <m/>
    <m/>
    <s v="OpenID.FAPI-AttackerModel-2.0"/>
    <x v="1"/>
    <m/>
    <m/>
    <s v="OAuth 2.0"/>
    <m/>
    <m/>
    <m/>
    <m/>
    <m/>
    <m/>
  </r>
  <r>
    <m/>
    <m/>
    <m/>
    <x v="20"/>
    <x v="1"/>
    <m/>
    <m/>
    <s v="OpenID.FAPI-AttackerModel-2.0"/>
    <x v="1"/>
    <m/>
    <m/>
    <s v="OpenID Connect 1.0"/>
    <m/>
    <m/>
    <m/>
    <m/>
    <m/>
    <m/>
  </r>
  <r>
    <m/>
    <m/>
    <m/>
    <x v="18"/>
    <x v="1"/>
    <m/>
    <m/>
    <s v="OpenID.FAPI-AttackerModel-2.0"/>
    <x v="1"/>
    <m/>
    <m/>
    <s v="fapi-attacker-model-2_0"/>
    <m/>
    <m/>
    <m/>
    <m/>
    <m/>
    <m/>
  </r>
  <r>
    <m/>
    <m/>
    <m/>
    <x v="5"/>
    <x v="1"/>
    <m/>
    <m/>
    <s v="FAPI WG"/>
    <x v="1"/>
    <m/>
    <m/>
    <s v="fapi-attacker-model-2_0"/>
    <m/>
    <m/>
    <m/>
    <m/>
    <m/>
    <m/>
  </r>
  <r>
    <m/>
    <m/>
    <m/>
    <x v="17"/>
    <x v="1"/>
    <m/>
    <m/>
    <s v="fapi-attacker-model-2_0"/>
    <x v="1"/>
    <m/>
    <m/>
    <s v="fapi-attacker-model-2_0-05"/>
    <m/>
    <m/>
    <m/>
    <m/>
    <m/>
    <m/>
  </r>
  <r>
    <m/>
    <m/>
    <m/>
    <x v="5"/>
    <x v="1"/>
    <m/>
    <m/>
    <s v="FAPI WG"/>
    <x v="1"/>
    <m/>
    <m/>
    <s v="OpenID.JARM"/>
    <m/>
    <m/>
    <m/>
    <m/>
    <m/>
    <m/>
  </r>
  <r>
    <m/>
    <m/>
    <m/>
    <x v="9"/>
    <x v="1"/>
    <m/>
    <m/>
    <s v="OpenID.JARM"/>
    <x v="1"/>
    <m/>
    <m/>
    <s v="OAuth 2.0"/>
    <m/>
    <m/>
    <m/>
    <m/>
    <m/>
    <m/>
  </r>
  <r>
    <m/>
    <m/>
    <m/>
    <x v="18"/>
    <x v="1"/>
    <m/>
    <m/>
    <s v="OpenID.JARM"/>
    <x v="1"/>
    <m/>
    <m/>
    <s v="oauth-v2-jarm"/>
    <m/>
    <m/>
    <m/>
    <m/>
    <m/>
    <m/>
  </r>
  <r>
    <m/>
    <m/>
    <m/>
    <x v="5"/>
    <x v="1"/>
    <m/>
    <m/>
    <s v="FAPI WG"/>
    <x v="1"/>
    <m/>
    <m/>
    <s v="oauth-v2-jarm"/>
    <m/>
    <m/>
    <m/>
    <m/>
    <m/>
    <m/>
  </r>
  <r>
    <m/>
    <m/>
    <m/>
    <x v="17"/>
    <x v="1"/>
    <m/>
    <m/>
    <s v="oauth-v2-jarm"/>
    <x v="1"/>
    <m/>
    <m/>
    <s v="oauth-v2-jarm-04"/>
    <m/>
    <m/>
    <m/>
    <m/>
    <m/>
    <m/>
  </r>
  <r>
    <m/>
    <m/>
    <m/>
    <x v="5"/>
    <x v="1"/>
    <m/>
    <m/>
    <s v="MODRNA WG"/>
    <x v="1"/>
    <m/>
    <m/>
    <s v="OpenID.CIBA-1.0"/>
    <m/>
    <m/>
    <m/>
    <m/>
    <m/>
    <m/>
  </r>
  <r>
    <m/>
    <m/>
    <m/>
    <x v="9"/>
    <x v="1"/>
    <m/>
    <m/>
    <s v="OpenID.CIBA-1.0"/>
    <x v="1"/>
    <m/>
    <m/>
    <s v="OpenID Connect 1.0"/>
    <m/>
    <m/>
    <m/>
    <m/>
    <m/>
    <m/>
  </r>
  <r>
    <m/>
    <m/>
    <m/>
    <x v="18"/>
    <x v="1"/>
    <m/>
    <m/>
    <s v="OpenID.CIBA-1.0"/>
    <x v="1"/>
    <m/>
    <m/>
    <s v="openid-ciba-core-1_0"/>
    <m/>
    <m/>
    <m/>
    <m/>
    <m/>
    <m/>
  </r>
  <r>
    <m/>
    <m/>
    <m/>
    <x v="5"/>
    <x v="1"/>
    <m/>
    <m/>
    <s v="MODRNA WG"/>
    <x v="1"/>
    <m/>
    <m/>
    <s v="openid-ciba-core-1_0"/>
    <m/>
    <m/>
    <m/>
    <m/>
    <m/>
    <m/>
  </r>
  <r>
    <m/>
    <m/>
    <m/>
    <x v="17"/>
    <x v="1"/>
    <m/>
    <m/>
    <s v="openid-ciba-core-1_0"/>
    <x v="1"/>
    <m/>
    <m/>
    <s v="openid-ciba-core-1_0-04"/>
    <m/>
    <m/>
    <m/>
    <m/>
    <m/>
    <m/>
  </r>
  <r>
    <m/>
    <m/>
    <m/>
    <x v="16"/>
    <x v="1"/>
    <m/>
    <m/>
    <s v="SAML 2.0"/>
    <x v="1"/>
    <m/>
    <m/>
    <s v="SAML"/>
    <m/>
    <m/>
    <m/>
    <m/>
    <m/>
    <m/>
  </r>
  <r>
    <m/>
    <m/>
    <m/>
    <x v="13"/>
    <x v="1"/>
    <m/>
    <m/>
    <s v="SAML 2.0"/>
    <x v="1"/>
    <m/>
    <m/>
    <s v="SAML 1.1"/>
    <m/>
    <m/>
    <m/>
    <m/>
    <m/>
    <m/>
  </r>
  <r>
    <m/>
    <m/>
    <m/>
    <x v="16"/>
    <x v="1"/>
    <m/>
    <m/>
    <s v="SAML 1.1"/>
    <x v="1"/>
    <m/>
    <m/>
    <s v="SAML"/>
    <m/>
    <m/>
    <m/>
    <m/>
    <m/>
    <m/>
  </r>
  <r>
    <m/>
    <m/>
    <m/>
    <x v="13"/>
    <x v="1"/>
    <m/>
    <m/>
    <s v="SAML 1.1"/>
    <x v="1"/>
    <m/>
    <m/>
    <s v="SAML 1.0"/>
    <m/>
    <m/>
    <m/>
    <m/>
    <m/>
    <m/>
  </r>
  <r>
    <m/>
    <m/>
    <m/>
    <x v="16"/>
    <x v="1"/>
    <m/>
    <m/>
    <s v="SAML 1.0"/>
    <x v="1"/>
    <m/>
    <m/>
    <s v="SAML"/>
    <m/>
    <m/>
    <m/>
    <m/>
    <m/>
    <m/>
  </r>
  <r>
    <m/>
    <m/>
    <m/>
    <x v="5"/>
    <x v="1"/>
    <m/>
    <m/>
    <s v="SS TC"/>
    <x v="1"/>
    <m/>
    <m/>
    <s v="OASIS.SAML-Core-2.0"/>
    <m/>
    <m/>
    <m/>
    <m/>
    <m/>
    <m/>
  </r>
  <r>
    <m/>
    <m/>
    <m/>
    <x v="9"/>
    <x v="1"/>
    <m/>
    <m/>
    <s v="OASIS.SAML-Core-2.0"/>
    <x v="1"/>
    <m/>
    <m/>
    <s v="SAML 2.0"/>
    <m/>
    <m/>
    <m/>
    <m/>
    <m/>
    <m/>
  </r>
  <r>
    <m/>
    <m/>
    <m/>
    <x v="19"/>
    <x v="1"/>
    <m/>
    <m/>
    <s v="OASIS.SAML-Core-2.0"/>
    <x v="1"/>
    <m/>
    <m/>
    <s v="ITU-T.REC-X.1141"/>
    <m/>
    <m/>
    <m/>
    <m/>
    <m/>
    <m/>
  </r>
  <r>
    <m/>
    <m/>
    <m/>
    <x v="5"/>
    <x v="1"/>
    <m/>
    <m/>
    <s v="SG17"/>
    <x v="1"/>
    <m/>
    <m/>
    <s v="ITU-T.REC-X.1141"/>
    <m/>
    <m/>
    <m/>
    <m/>
    <m/>
    <m/>
  </r>
  <r>
    <m/>
    <m/>
    <m/>
    <x v="5"/>
    <x v="1"/>
    <m/>
    <m/>
    <s v="SS TC"/>
    <x v="1"/>
    <m/>
    <m/>
    <s v="OASIS.SAML-AuthnContext-2.0"/>
    <m/>
    <m/>
    <m/>
    <m/>
    <m/>
    <m/>
  </r>
  <r>
    <m/>
    <m/>
    <m/>
    <x v="9"/>
    <x v="1"/>
    <m/>
    <m/>
    <s v="OASIS.SAML-AuthnContext-2.0"/>
    <x v="1"/>
    <m/>
    <m/>
    <s v="SAML 2.0"/>
    <m/>
    <m/>
    <m/>
    <m/>
    <m/>
    <m/>
  </r>
  <r>
    <m/>
    <m/>
    <m/>
    <x v="19"/>
    <x v="1"/>
    <m/>
    <m/>
    <s v="OASIS.SAML-AuthnContext-2.0"/>
    <x v="1"/>
    <m/>
    <m/>
    <s v="ITU-T.REC-X.1141"/>
    <m/>
    <m/>
    <m/>
    <m/>
    <m/>
    <m/>
  </r>
  <r>
    <m/>
    <m/>
    <m/>
    <x v="5"/>
    <x v="1"/>
    <m/>
    <m/>
    <s v="SS TC"/>
    <x v="1"/>
    <m/>
    <m/>
    <s v="OASIS.SAML-Bindings-2.0"/>
    <m/>
    <m/>
    <m/>
    <m/>
    <m/>
    <m/>
  </r>
  <r>
    <m/>
    <m/>
    <m/>
    <x v="9"/>
    <x v="1"/>
    <m/>
    <m/>
    <s v="OASIS.SAML-Bindings-2.0"/>
    <x v="1"/>
    <m/>
    <m/>
    <s v="SAML 2.0"/>
    <m/>
    <m/>
    <m/>
    <m/>
    <m/>
    <m/>
  </r>
  <r>
    <m/>
    <m/>
    <m/>
    <x v="19"/>
    <x v="1"/>
    <m/>
    <m/>
    <s v="OASIS.SAML-Bindings-2.0"/>
    <x v="1"/>
    <m/>
    <m/>
    <s v="ITU-T.REC-X.1141"/>
    <m/>
    <m/>
    <m/>
    <m/>
    <m/>
    <m/>
  </r>
  <r>
    <m/>
    <m/>
    <m/>
    <x v="5"/>
    <x v="1"/>
    <m/>
    <m/>
    <s v="SS TC"/>
    <x v="1"/>
    <m/>
    <m/>
    <s v="OASIS.SAML-Profiles-2.0"/>
    <m/>
    <m/>
    <m/>
    <m/>
    <m/>
    <m/>
  </r>
  <r>
    <m/>
    <m/>
    <m/>
    <x v="9"/>
    <x v="1"/>
    <m/>
    <m/>
    <s v="OASIS.SAML-Profiles-2.0"/>
    <x v="1"/>
    <m/>
    <m/>
    <s v="SAML 2.0"/>
    <m/>
    <m/>
    <m/>
    <m/>
    <m/>
    <m/>
  </r>
  <r>
    <m/>
    <m/>
    <m/>
    <x v="19"/>
    <x v="1"/>
    <m/>
    <m/>
    <s v="OASIS.SAML-Profiles-2.0"/>
    <x v="1"/>
    <m/>
    <m/>
    <s v="ITU-T.REC-X.1141"/>
    <m/>
    <m/>
    <m/>
    <m/>
    <m/>
    <m/>
  </r>
  <r>
    <m/>
    <m/>
    <m/>
    <x v="5"/>
    <x v="1"/>
    <m/>
    <m/>
    <s v="SS TC"/>
    <x v="1"/>
    <m/>
    <m/>
    <s v="OASIS.SAML-Metadata-2.0"/>
    <m/>
    <m/>
    <m/>
    <m/>
    <m/>
    <m/>
  </r>
  <r>
    <m/>
    <m/>
    <m/>
    <x v="9"/>
    <x v="1"/>
    <m/>
    <m/>
    <s v="OASIS.SAML-Metadata-2.0"/>
    <x v="1"/>
    <m/>
    <m/>
    <s v="SAML 2.0"/>
    <m/>
    <m/>
    <m/>
    <m/>
    <m/>
    <m/>
  </r>
  <r>
    <m/>
    <m/>
    <m/>
    <x v="19"/>
    <x v="1"/>
    <m/>
    <m/>
    <s v="OASIS.SAML-Metadata-2.0"/>
    <x v="1"/>
    <m/>
    <m/>
    <s v="ITU-T.REC-X.1141"/>
    <m/>
    <m/>
    <m/>
    <m/>
    <m/>
    <m/>
  </r>
  <r>
    <m/>
    <m/>
    <m/>
    <x v="5"/>
    <x v="1"/>
    <m/>
    <m/>
    <s v="SS TC"/>
    <x v="1"/>
    <m/>
    <m/>
    <s v="OASIS.SAML-Conformance-2.0"/>
    <m/>
    <m/>
    <m/>
    <m/>
    <m/>
    <m/>
  </r>
  <r>
    <m/>
    <m/>
    <m/>
    <x v="9"/>
    <x v="1"/>
    <m/>
    <m/>
    <s v="OASIS.SAML-Conformance-2.0"/>
    <x v="1"/>
    <m/>
    <m/>
    <s v="SAML 2.0"/>
    <m/>
    <m/>
    <m/>
    <m/>
    <m/>
    <m/>
  </r>
  <r>
    <m/>
    <m/>
    <m/>
    <x v="19"/>
    <x v="1"/>
    <m/>
    <m/>
    <s v="OASIS.SAML-Conformance-2.0"/>
    <x v="1"/>
    <m/>
    <m/>
    <s v="ITU-T.REC-X.1141"/>
    <m/>
    <m/>
    <m/>
    <m/>
    <m/>
    <m/>
  </r>
  <r>
    <m/>
    <m/>
    <m/>
    <x v="5"/>
    <x v="1"/>
    <m/>
    <m/>
    <s v="SS TC"/>
    <x v="1"/>
    <m/>
    <m/>
    <s v="OASIS.SAML-SecConsider-2.0"/>
    <m/>
    <m/>
    <m/>
    <m/>
    <m/>
    <m/>
  </r>
  <r>
    <m/>
    <m/>
    <m/>
    <x v="9"/>
    <x v="1"/>
    <m/>
    <m/>
    <s v="OASIS.SAML-SecConsider-2.0"/>
    <x v="1"/>
    <m/>
    <m/>
    <s v="SAML 2.0"/>
    <m/>
    <m/>
    <m/>
    <m/>
    <m/>
    <m/>
  </r>
  <r>
    <m/>
    <m/>
    <m/>
    <x v="19"/>
    <x v="1"/>
    <m/>
    <m/>
    <s v="OASIS.SAML-SecConsider-2.0"/>
    <x v="1"/>
    <m/>
    <m/>
    <s v="ITU-T.REC-X.1141"/>
    <m/>
    <m/>
    <m/>
    <m/>
    <m/>
    <m/>
  </r>
  <r>
    <m/>
    <m/>
    <m/>
    <x v="5"/>
    <x v="1"/>
    <m/>
    <m/>
    <s v="SS TC"/>
    <x v="1"/>
    <m/>
    <m/>
    <s v="OASIS.SAML-Glossary-2.0"/>
    <m/>
    <m/>
    <m/>
    <m/>
    <m/>
    <m/>
  </r>
  <r>
    <m/>
    <m/>
    <m/>
    <x v="9"/>
    <x v="1"/>
    <m/>
    <m/>
    <s v="OASIS.SAML-Glossary-2.0"/>
    <x v="1"/>
    <m/>
    <m/>
    <s v="SAML 2.0"/>
    <m/>
    <m/>
    <m/>
    <m/>
    <m/>
    <m/>
  </r>
  <r>
    <m/>
    <m/>
    <m/>
    <x v="19"/>
    <x v="1"/>
    <m/>
    <m/>
    <s v="OASIS.SAML-Glossary-2.0"/>
    <x v="1"/>
    <m/>
    <m/>
    <s v="ITU-T.REC-X.1141"/>
    <m/>
    <m/>
    <m/>
    <m/>
    <m/>
    <m/>
  </r>
  <r>
    <m/>
    <m/>
    <m/>
    <x v="5"/>
    <x v="1"/>
    <m/>
    <m/>
    <s v="SS TC"/>
    <x v="1"/>
    <m/>
    <m/>
    <s v="OASIS.SAML-Schema-Assertion-2.0"/>
    <m/>
    <m/>
    <m/>
    <m/>
    <m/>
    <m/>
  </r>
  <r>
    <m/>
    <m/>
    <m/>
    <x v="5"/>
    <x v="1"/>
    <m/>
    <m/>
    <s v="SS TC"/>
    <x v="1"/>
    <m/>
    <m/>
    <s v="OASIS.SAML-Schema-AuthnContext-2.0"/>
    <m/>
    <m/>
    <m/>
    <m/>
    <m/>
    <m/>
  </r>
  <r>
    <m/>
    <m/>
    <m/>
    <x v="5"/>
    <x v="1"/>
    <m/>
    <m/>
    <s v="SS TC"/>
    <x v="1"/>
    <m/>
    <m/>
    <s v="OASIS.SAML-Schema-AuthnContext-AuthTelephony-2.0"/>
    <m/>
    <m/>
    <m/>
    <m/>
    <m/>
    <m/>
  </r>
  <r>
    <m/>
    <m/>
    <m/>
    <x v="5"/>
    <x v="1"/>
    <m/>
    <m/>
    <s v="SS TC"/>
    <x v="1"/>
    <m/>
    <m/>
    <s v="OASIS.SAML-Schema-AuthnContext-IP-2.0"/>
    <m/>
    <m/>
    <m/>
    <m/>
    <m/>
    <m/>
  </r>
  <r>
    <m/>
    <m/>
    <m/>
    <x v="5"/>
    <x v="1"/>
    <m/>
    <m/>
    <s v="SS TC"/>
    <x v="1"/>
    <m/>
    <m/>
    <s v="OASIS.SAML-Schema-AuthnContext-IP-Pwd-2.0"/>
    <m/>
    <m/>
    <m/>
    <m/>
    <m/>
    <m/>
  </r>
  <r>
    <m/>
    <m/>
    <m/>
    <x v="5"/>
    <x v="1"/>
    <m/>
    <m/>
    <s v="SS TC"/>
    <x v="1"/>
    <m/>
    <m/>
    <s v="OASIS.SAML-Schema-AuthnContext-Kerberos-2.0"/>
    <m/>
    <m/>
    <m/>
    <m/>
    <m/>
    <m/>
  </r>
  <r>
    <m/>
    <m/>
    <m/>
    <x v="5"/>
    <x v="1"/>
    <m/>
    <m/>
    <s v="SS TC"/>
    <x v="1"/>
    <m/>
    <m/>
    <s v="OASIS.SAML-Schema-AuthnContext-Mobile1Factor-Reg-2.0"/>
    <m/>
    <m/>
    <m/>
    <m/>
    <m/>
    <m/>
  </r>
  <r>
    <m/>
    <m/>
    <m/>
    <x v="5"/>
    <x v="1"/>
    <m/>
    <m/>
    <s v="SS TC"/>
    <x v="1"/>
    <m/>
    <m/>
    <s v="OASIS.SAML-Schema-AuthnContext-Mobile1Factor-UnReg-2.0"/>
    <m/>
    <m/>
    <m/>
    <m/>
    <m/>
    <m/>
  </r>
  <r>
    <m/>
    <m/>
    <m/>
    <x v="5"/>
    <x v="1"/>
    <m/>
    <m/>
    <s v="SS TC"/>
    <x v="1"/>
    <m/>
    <m/>
    <s v="OASIS.SAML-Schema-AuthnContext-Mobile2Factor-Reg-2.0"/>
    <m/>
    <m/>
    <m/>
    <m/>
    <m/>
    <m/>
  </r>
  <r>
    <m/>
    <m/>
    <m/>
    <x v="5"/>
    <x v="1"/>
    <m/>
    <m/>
    <s v="SS TC"/>
    <x v="1"/>
    <m/>
    <m/>
    <s v="OASIS.SAML-Schema-AuthnContext-Mobile2Factor-UnReg-2.0"/>
    <m/>
    <m/>
    <m/>
    <m/>
    <m/>
    <m/>
  </r>
  <r>
    <m/>
    <m/>
    <m/>
    <x v="5"/>
    <x v="1"/>
    <m/>
    <m/>
    <s v="SS TC"/>
    <x v="1"/>
    <m/>
    <m/>
    <s v="OASIS.SAML-Schema-AuthnContext-NomadTelephony-2.0"/>
    <m/>
    <m/>
    <m/>
    <m/>
    <m/>
    <m/>
  </r>
  <r>
    <m/>
    <m/>
    <m/>
    <x v="5"/>
    <x v="1"/>
    <m/>
    <m/>
    <s v="SS TC"/>
    <x v="1"/>
    <m/>
    <m/>
    <s v="OASIS.SAML-Schema-AuthnContext-PersonalTelephony-2.0"/>
    <m/>
    <m/>
    <m/>
    <m/>
    <m/>
    <m/>
  </r>
  <r>
    <m/>
    <m/>
    <m/>
    <x v="5"/>
    <x v="1"/>
    <m/>
    <m/>
    <s v="SS TC"/>
    <x v="1"/>
    <m/>
    <m/>
    <s v="OASIS.SAML-Schema-AuthnContext-PGP-2.0"/>
    <m/>
    <m/>
    <m/>
    <m/>
    <m/>
    <m/>
  </r>
  <r>
    <m/>
    <m/>
    <m/>
    <x v="5"/>
    <x v="1"/>
    <m/>
    <m/>
    <s v="SS TC"/>
    <x v="1"/>
    <m/>
    <m/>
    <s v="OASIS.SAML-Schema-AuthnContext-PPT-2.0"/>
    <m/>
    <m/>
    <m/>
    <m/>
    <m/>
    <m/>
  </r>
  <r>
    <m/>
    <m/>
    <m/>
    <x v="5"/>
    <x v="1"/>
    <m/>
    <m/>
    <s v="SS TC"/>
    <x v="1"/>
    <m/>
    <m/>
    <s v="OASIS.SAML-Schema-AuthnContext-Password-2.0"/>
    <m/>
    <m/>
    <m/>
    <m/>
    <m/>
    <m/>
  </r>
  <r>
    <m/>
    <m/>
    <m/>
    <x v="5"/>
    <x v="1"/>
    <m/>
    <m/>
    <s v="SS TC"/>
    <x v="1"/>
    <m/>
    <m/>
    <s v="OASIS.SAML-Schema-AuthnContext-PrevSession-2.0"/>
    <m/>
    <m/>
    <m/>
    <m/>
    <m/>
    <m/>
  </r>
  <r>
    <m/>
    <m/>
    <m/>
    <x v="5"/>
    <x v="1"/>
    <m/>
    <m/>
    <s v="SS TC"/>
    <x v="1"/>
    <m/>
    <m/>
    <s v="OASIS.SAML-Schema-AuthnContext-Smartcard-2.0"/>
    <m/>
    <m/>
    <m/>
    <m/>
    <m/>
    <m/>
  </r>
  <r>
    <m/>
    <m/>
    <m/>
    <x v="5"/>
    <x v="1"/>
    <m/>
    <m/>
    <s v="SS TC"/>
    <x v="1"/>
    <m/>
    <m/>
    <s v="OASIS.SAML-Schema-AuthnContext-SmartcardPKI-2.0"/>
    <m/>
    <m/>
    <m/>
    <m/>
    <m/>
    <m/>
  </r>
  <r>
    <m/>
    <m/>
    <m/>
    <x v="5"/>
    <x v="1"/>
    <m/>
    <m/>
    <s v="SS TC"/>
    <x v="1"/>
    <m/>
    <m/>
    <s v="OASIS.SAML-Schema-AuthnContext-SoftwarePKI-2.0"/>
    <m/>
    <m/>
    <m/>
    <m/>
    <m/>
    <m/>
  </r>
  <r>
    <m/>
    <m/>
    <m/>
    <x v="5"/>
    <x v="1"/>
    <m/>
    <m/>
    <s v="SS TC"/>
    <x v="1"/>
    <m/>
    <m/>
    <s v="OASIS.SAML-Schema-AuthnContext-SPKI-2.0"/>
    <m/>
    <m/>
    <m/>
    <m/>
    <m/>
    <m/>
  </r>
  <r>
    <m/>
    <m/>
    <m/>
    <x v="5"/>
    <x v="1"/>
    <m/>
    <m/>
    <s v="SS TC"/>
    <x v="1"/>
    <m/>
    <m/>
    <s v="OASIS.SAML-Schema-AuthnContext-SRP-2.0"/>
    <m/>
    <m/>
    <m/>
    <m/>
    <m/>
    <m/>
  </r>
  <r>
    <m/>
    <m/>
    <m/>
    <x v="5"/>
    <x v="1"/>
    <m/>
    <m/>
    <s v="SS TC"/>
    <x v="1"/>
    <m/>
    <m/>
    <s v="OASIS.SAML-Schema-AuthnContext-TLSClient-2.0"/>
    <m/>
    <m/>
    <m/>
    <m/>
    <m/>
    <m/>
  </r>
  <r>
    <m/>
    <m/>
    <m/>
    <x v="5"/>
    <x v="1"/>
    <m/>
    <m/>
    <s v="SS TC"/>
    <x v="1"/>
    <m/>
    <m/>
    <s v="OASIS.SAML-Schema-AuthnContext-Telephony-2.0"/>
    <m/>
    <m/>
    <m/>
    <m/>
    <m/>
    <m/>
  </r>
  <r>
    <m/>
    <m/>
    <m/>
    <x v="5"/>
    <x v="1"/>
    <m/>
    <m/>
    <s v="SS TC"/>
    <x v="1"/>
    <m/>
    <m/>
    <s v="OASIS.SAML-Schema-AuthnContext-TimeSyncToken-2.0"/>
    <m/>
    <m/>
    <m/>
    <m/>
    <m/>
    <m/>
  </r>
  <r>
    <m/>
    <m/>
    <m/>
    <x v="5"/>
    <x v="1"/>
    <m/>
    <m/>
    <s v="SS TC"/>
    <x v="1"/>
    <m/>
    <m/>
    <s v="OASIS.SAML-Schema-AuthnContext-Types-2.0"/>
    <m/>
    <m/>
    <m/>
    <m/>
    <m/>
    <m/>
  </r>
  <r>
    <m/>
    <m/>
    <m/>
    <x v="5"/>
    <x v="1"/>
    <m/>
    <m/>
    <s v="SS TC"/>
    <x v="1"/>
    <m/>
    <m/>
    <s v="OASIS.SAML-Schema-AuthnContext-X509-2.0"/>
    <m/>
    <m/>
    <m/>
    <m/>
    <m/>
    <m/>
  </r>
  <r>
    <m/>
    <m/>
    <m/>
    <x v="5"/>
    <x v="1"/>
    <m/>
    <m/>
    <s v="SS TC"/>
    <x v="1"/>
    <m/>
    <m/>
    <s v="OASIS.SAML-Schema-AuthnContext-XMLDSig-2.0"/>
    <m/>
    <m/>
    <m/>
    <m/>
    <m/>
    <m/>
  </r>
  <r>
    <m/>
    <m/>
    <m/>
    <x v="5"/>
    <x v="1"/>
    <m/>
    <m/>
    <s v="SS TC"/>
    <x v="1"/>
    <m/>
    <m/>
    <s v="OASIS.SAML-Schema-DCE-2.0"/>
    <m/>
    <m/>
    <m/>
    <m/>
    <m/>
    <m/>
  </r>
  <r>
    <m/>
    <m/>
    <m/>
    <x v="5"/>
    <x v="1"/>
    <m/>
    <m/>
    <s v="SS TC"/>
    <x v="1"/>
    <m/>
    <m/>
    <s v="OASIS.SAML-Schema-ECP-2.0"/>
    <m/>
    <m/>
    <m/>
    <m/>
    <m/>
    <m/>
  </r>
  <r>
    <m/>
    <m/>
    <m/>
    <x v="5"/>
    <x v="1"/>
    <m/>
    <m/>
    <s v="SS TC"/>
    <x v="1"/>
    <m/>
    <m/>
    <s v="OASIS.SAML-Schema-Metadata-2.0"/>
    <m/>
    <m/>
    <m/>
    <m/>
    <m/>
    <m/>
  </r>
  <r>
    <m/>
    <m/>
    <m/>
    <x v="5"/>
    <x v="1"/>
    <m/>
    <m/>
    <s v="SS TC"/>
    <x v="1"/>
    <m/>
    <m/>
    <s v="OASIS.SAML-Schema-Protocol-2.0"/>
    <m/>
    <m/>
    <m/>
    <m/>
    <m/>
    <m/>
  </r>
  <r>
    <m/>
    <m/>
    <m/>
    <x v="5"/>
    <x v="1"/>
    <m/>
    <m/>
    <s v="SS TC"/>
    <x v="1"/>
    <m/>
    <m/>
    <s v="OASIS.SAML-Schema-X500-2.0"/>
    <m/>
    <m/>
    <m/>
    <m/>
    <m/>
    <m/>
  </r>
  <r>
    <m/>
    <m/>
    <m/>
    <x v="5"/>
    <x v="1"/>
    <m/>
    <m/>
    <s v="SS TC"/>
    <x v="1"/>
    <m/>
    <m/>
    <s v="OASIS.SAML-Schema-XACLML-2.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33317-5AED-4CF4-BA83-83BB6E587B3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9" firstHeaderRow="1" firstDataRow="2" firstDataCol="1"/>
  <pivotFields count="18">
    <pivotField showAll="0"/>
    <pivotField showAll="0"/>
    <pivotField showAll="0"/>
    <pivotField axis="axisRow" showAll="0">
      <items count="22">
        <item x="19"/>
        <item x="15"/>
        <item x="5"/>
        <item x="9"/>
        <item x="14"/>
        <item x="18"/>
        <item x="11"/>
        <item x="3"/>
        <item x="0"/>
        <item x="8"/>
        <item x="17"/>
        <item x="16"/>
        <item x="6"/>
        <item x="13"/>
        <item x="2"/>
        <item x="20"/>
        <item x="12"/>
        <item x="1"/>
        <item x="7"/>
        <item x="10"/>
        <item x="4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3"/>
  </rowFields>
  <rowItems count="35">
    <i>
      <x/>
    </i>
    <i r="1">
      <x v="3"/>
    </i>
    <i r="1">
      <x v="4"/>
    </i>
    <i r="1">
      <x v="6"/>
    </i>
    <i r="1">
      <x v="9"/>
    </i>
    <i r="1">
      <x v="12"/>
    </i>
    <i r="1">
      <x v="13"/>
    </i>
    <i r="1">
      <x v="16"/>
    </i>
    <i r="1">
      <x v="18"/>
    </i>
    <i r="1">
      <x v="19"/>
    </i>
    <i>
      <x v="1"/>
    </i>
    <i r="1">
      <x v="3"/>
    </i>
    <i r="1">
      <x v="9"/>
    </i>
    <i r="1">
      <x v="12"/>
    </i>
    <i>
      <x v="2"/>
    </i>
    <i r="1">
      <x v="2"/>
    </i>
    <i r="1">
      <x v="7"/>
    </i>
    <i r="1">
      <x v="8"/>
    </i>
    <i r="1">
      <x v="14"/>
    </i>
    <i r="1">
      <x v="17"/>
    </i>
    <i>
      <x v="3"/>
    </i>
    <i r="1">
      <x/>
    </i>
    <i r="1">
      <x v="1"/>
    </i>
    <i r="1">
      <x v="2"/>
    </i>
    <i r="1">
      <x v="3"/>
    </i>
    <i r="1">
      <x v="5"/>
    </i>
    <i r="1">
      <x v="6"/>
    </i>
    <i r="1">
      <x v="10"/>
    </i>
    <i r="1">
      <x v="11"/>
    </i>
    <i r="1">
      <x v="13"/>
    </i>
    <i r="1">
      <x v="15"/>
    </i>
    <i r="1">
      <x v="16"/>
    </i>
    <i r="1">
      <x v="19"/>
    </i>
    <i r="1">
      <x v="20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ourceNodeValu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AA34CF-7216-4183-ABB3-503FDFA2FCC6}" name="Relationships" displayName="Relationships" ref="A1:R1998" totalsRowShown="0">
  <autoFilter ref="A1:R1998" xr:uid="{DAAA34CF-7216-4183-ABB3-503FDFA2FCC6}"/>
  <tableColumns count="18">
    <tableColumn id="7" xr3:uid="{3605EE8F-2813-470E-A0E0-2AB3EB0CD1E3}" name="relationshipId"/>
    <tableColumn id="9" xr3:uid="{4A07ED1D-4C02-4387-B2E5-325AFD1425A6}" name="createdTimestamp"/>
    <tableColumn id="8" xr3:uid="{802AE0B0-52B1-475B-927F-2FA8E0874925}" name="updatedTimestamp"/>
    <tableColumn id="3" xr3:uid="{5F3D639E-F888-4F54-B04D-56469B03D45B}" name="relationshipType"/>
    <tableColumn id="10" xr3:uid="{79CE55CC-984B-4BFA-8C92-F26C34D4EC2F}" name="sourceNodeType"/>
    <tableColumn id="11" xr3:uid="{2303AB81-39A1-48F8-ABCE-50610582408D}" name="sourceNodeAttr"/>
    <tableColumn id="12" xr3:uid="{C3F14775-6A19-4AFE-9B3B-144A9CC56B74}" name="sourceNodeValue"/>
    <tableColumn id="1" xr3:uid="{BB791871-92A3-4A98-B3CD-EA245D7EC537}" name="sourceNodeValue_old"/>
    <tableColumn id="14" xr3:uid="{B05B2A2D-56F2-4F17-B6A2-DC7D1F9A631A}" name="targetNodeType"/>
    <tableColumn id="15" xr3:uid="{A209E730-520F-4151-A499-33AF51446C91}" name="targetNodeAttr"/>
    <tableColumn id="16" xr3:uid="{20BFF79E-3FA0-4D4C-945A-68F285D786C7}" name="targetNodeValue"/>
    <tableColumn id="2" xr3:uid="{45E84308-4C95-4476-AE4C-96E926656353}" name="target:END_ID"/>
    <tableColumn id="6" xr3:uid="{0F66AAFB-BDA5-4616-A977-26885B30EFB0}" name="affiliation"/>
    <tableColumn id="4" xr3:uid="{B1681921-BEFA-417D-B101-0B4A2B09C9A8}" name="referenceType"/>
    <tableColumn id="5" xr3:uid="{7D445479-23AA-4035-BEA5-9BCE670CB3A8}" name="authoritySection" dataDxfId="26"/>
    <tableColumn id="13" xr3:uid="{D033D718-C8CF-4BC1-A751-CD6E750DE942}" name="relationship" dataDxfId="25"/>
    <tableColumn id="18" xr3:uid="{3684C4C1-A05E-4CA9-B823-9A167765243F}" name="notes" dataDxfId="24"/>
    <tableColumn id="17" xr3:uid="{E1FA0A64-628F-42E9-A679-15D88E02D5CF}" name="DNI_notes" dataDxfId="2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6A1E14-B255-4D39-9497-3E833D4374BC}" name="ControllingOrg" displayName="ControllingOrg" ref="A1:L204" totalsRowShown="0">
  <autoFilter ref="A1:L204" xr:uid="{9B6A1E14-B255-4D39-9497-3E833D4374BC}"/>
  <tableColumns count="12">
    <tableColumn id="5" xr3:uid="{073467DD-6958-4027-9688-BB0077E6B389}" name="controllingOrgId"/>
    <tableColumn id="6" xr3:uid="{B738E949-C888-42AD-9343-99DA271834FD}" name="createdTimestamp"/>
    <tableColumn id="7" xr3:uid="{020F7F4E-C2A9-4158-8D50-07DD86B04FD6}" name="updatedTimestamp"/>
    <tableColumn id="1" xr3:uid="{770C8561-C1F0-42A2-9F99-F8AD5186F86E}" name="shortName" dataDxfId="22"/>
    <tableColumn id="2" xr3:uid="{42432935-C6A4-48AA-80A0-C673C87BF4B6}" name="fullName" dataDxfId="21"/>
    <tableColumn id="3" xr3:uid="{FC717D67-5BDA-4457-B1DC-B3D11C8BC2DF}" name="url" dataDxfId="20"/>
    <tableColumn id="9" xr3:uid="{00C8704F-E641-4433-A1D4-779CFFC775BA}" name="organizationType" dataDxfId="19"/>
    <tableColumn id="4" xr3:uid="{A67EB2AC-5C6B-4EA9-8704-756D447E8A83}" name="status" dataDxfId="18"/>
    <tableColumn id="10" xr3:uid="{A1191DA8-6553-4758-80D7-31757A96CC4B}" name="startDate" dataDxfId="17"/>
    <tableColumn id="12" xr3:uid="{21C17B39-AF82-4F98-B18E-3E83036A6D17}" name="endDate" dataDxfId="16"/>
    <tableColumn id="8" xr3:uid="{4857F4E0-04B5-4AC9-8FB0-14C08481B2DC}" name="notes" dataDxfId="15"/>
    <tableColumn id="11" xr3:uid="{AE00B4A0-A4A1-409B-85BB-A77820C9C198}" name="DNI_notes" dataDxfId="1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B6EAD6-9623-489F-BD37-5794A34E8060}" name="AuthorityGroup" displayName="AuthorityGroup" ref="A1:J73" totalsRowShown="0">
  <autoFilter ref="A1:J73" xr:uid="{06D1F114-9FA2-45CD-8991-084870F301E0}"/>
  <tableColumns count="10">
    <tableColumn id="13" xr3:uid="{7301D2E7-8872-4408-B54A-1016D87E13CF}" name="authorityGroupId"/>
    <tableColumn id="14" xr3:uid="{B481FCC3-AF86-41CD-B346-94895C613D4E}" name="createdTimestamp"/>
    <tableColumn id="15" xr3:uid="{BED06B67-5D1F-43F6-BEC9-C67E74BEC54B}" name="updatedTimestamp"/>
    <tableColumn id="16" xr3:uid="{E27654F5-51BA-4BB6-B830-9E1B2B463217}" name="atlasStatus" dataDxfId="13"/>
    <tableColumn id="3" xr3:uid="{145DB2DF-2440-4B88-9F10-822A1AB34728}" name="groupType" dataDxfId="12"/>
    <tableColumn id="1" xr3:uid="{3D3D2F60-0AE4-4D57-A39D-FFA820540DE7}" name="reference" dataDxfId="11"/>
    <tableColumn id="2" xr3:uid="{D3D98C74-A570-456A-95C0-44CAB5205CA3}" name="title" dataDxfId="10"/>
    <tableColumn id="11" xr3:uid="{B98FC3DF-C4BB-4A51-B12A-D0E299414372}" name="url" dataDxfId="9"/>
    <tableColumn id="4" xr3:uid="{2485C242-F0FF-4633-A6D0-53BBBF9A2EA7}" name="notes" dataDxfId="8"/>
    <tableColumn id="17" xr3:uid="{D448D892-7498-4322-8A53-45227E2F0209}" name="DNI_notes" dataDxfId="7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1F114-9FA2-45CD-8991-084870F301E0}" name="Authority" displayName="Authority" ref="A1:T594" totalsRowShown="0">
  <autoFilter ref="A1:T594" xr:uid="{06D1F114-9FA2-45CD-8991-084870F301E0}"/>
  <tableColumns count="20">
    <tableColumn id="13" xr3:uid="{6D40C137-E7B3-4760-914B-DA986CFA6E30}" name="authorityId"/>
    <tableColumn id="14" xr3:uid="{6763C5A7-9A6A-45BB-B8FA-850423509DD8}" name="createdTimestamp"/>
    <tableColumn id="15" xr3:uid="{5580DCAD-CC6B-4A7A-AF79-AA7B3CE3E38F}" name="updatedTimestamp"/>
    <tableColumn id="20" xr3:uid="{71C2EAFF-1861-4991-8E1A-BFB0381786B8}" name="atlasCategory"/>
    <tableColumn id="16" xr3:uid="{77EA85C5-66BE-4AEA-9591-882F9D475B8B}" name="atlasStatus" dataDxfId="42"/>
    <tableColumn id="1" xr3:uid="{FFDA5D70-C220-478A-ABBA-19644B8BADCC}" name="reference" dataDxfId="41"/>
    <tableColumn id="19" xr3:uid="{990B10D9-11EB-4578-AD5C-1F4F5F404895}" name="versionTag" dataDxfId="40" dataCellStyle="Explanatory Text"/>
    <tableColumn id="2" xr3:uid="{F59ED1EB-3675-4006-BBFB-108FA858D9D0}" name="title" dataDxfId="39"/>
    <tableColumn id="3" xr3:uid="{F0C85833-7126-4AD9-AEE3-B718E3639BC1}" name="status" dataDxfId="38"/>
    <tableColumn id="4" xr3:uid="{562DF4CC-C13D-4F7C-8C22-C988CA3BF33B}" name="type" dataDxfId="37"/>
    <tableColumn id="5" xr3:uid="{1764CE30-0EDA-4083-BC00-A1F4F17C0A4A}" name="stream" dataDxfId="36"/>
    <tableColumn id="6" xr3:uid="{FF2A73CC-9469-4C60-852E-F42C55DAE7CF}" name="publishedDate" dataDxfId="35"/>
    <tableColumn id="7" xr3:uid="{A2747668-EF6A-42B1-9344-E34C785619D4}" name="canonicalUrl" dataDxfId="34"/>
    <tableColumn id="8" xr3:uid="{B316E789-631A-408A-815D-BB301A86AF8D}" name="canonicalFormat" dataDxfId="33"/>
    <tableColumn id="9" xr3:uid="{C466AD88-EE0E-4D34-A7C1-2588E68C308D}" name="plainTextUrl" dataDxfId="32"/>
    <tableColumn id="10" xr3:uid="{8CBF7F12-2A05-44BB-83AD-C3761C5E221F}" name="htmlUrl" dataDxfId="31"/>
    <tableColumn id="11" xr3:uid="{C32CA86E-C218-47AA-8529-D26C14597CDB}" name="otherUrl" dataDxfId="30"/>
    <tableColumn id="12" xr3:uid="{82DF42FD-B496-4B33-893D-B3EAFAC1F256}" name="otherFormat" dataDxfId="29"/>
    <tableColumn id="18" xr3:uid="{73BA2E82-F357-44BE-BD36-66FA1354A7AF}" name="notes" dataDxfId="28"/>
    <tableColumn id="17" xr3:uid="{4B0728D0-F272-4C4E-9812-79947BD01594}" name="DNI_notes" dataDxfId="27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167F82-56ED-4306-A7B7-17F4CE84C0ED}" name="Format" displayName="Format" ref="A1:I26" totalsRowShown="0">
  <autoFilter ref="A1:I26" xr:uid="{06D1F114-9FA2-45CD-8991-084870F301E0}"/>
  <tableColumns count="9">
    <tableColumn id="13" xr3:uid="{3E9CA12C-CFBF-4FE7-A3CB-DD833DFDF41F}" name="formatId"/>
    <tableColumn id="14" xr3:uid="{FE0A8804-D7E8-40CF-AE25-CA2755A1EBB0}" name="createdTimestamp"/>
    <tableColumn id="15" xr3:uid="{5F73E62D-C159-4359-99BA-4A062BBD705E}" name="updatedTimestamp"/>
    <tableColumn id="4" xr3:uid="{C91D96DF-B5F7-434D-AA57-D2617FF4756C}" name="formatType" dataDxfId="6"/>
    <tableColumn id="1" xr3:uid="{2CD6E7CF-914E-4EA6-B3A3-97F09FBB6EDF}" name="shortName" dataDxfId="5"/>
    <tableColumn id="2" xr3:uid="{85256B49-5E07-46AF-A0D1-30589896FD0C}" name="fullName" dataDxfId="4"/>
    <tableColumn id="3" xr3:uid="{0616F266-E2D5-47FC-B9DB-FDB53345585D}" name="status" dataDxfId="3"/>
    <tableColumn id="18" xr3:uid="{4E9428C0-4030-48ED-A421-AE1B77EEF0C6}" name="notes" dataDxfId="2"/>
    <tableColumn id="17" xr3:uid="{6042B3F3-B673-4E1D-81A8-4435EA51B24C}" name="DNI_notes" dataDxfId="1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A75FF-0011-4591-92C7-B086378084F7}" name="AuthorityDraft" displayName="AuthorityDraft" ref="A1:E38" totalsRowShown="0">
  <autoFilter ref="A1:E38" xr:uid="{943A75FF-0011-4591-92C7-B086378084F7}"/>
  <tableColumns count="5">
    <tableColumn id="1" xr3:uid="{9551111C-3C8E-484F-BB28-A2E892F5B9F7}" name="reference:ID:string"/>
    <tableColumn id="2" xr3:uid="{D1935A90-6A43-4AF8-819E-33303F54539A}" name="title:string"/>
    <tableColumn id="3" xr3:uid="{0DAECFD0-C0F4-4855-9743-3077FA89B41A}" name="status:string[]"/>
    <tableColumn id="4" xr3:uid="{D9B45482-EDB3-444F-A632-3E99F3D36231}" name="type:string"/>
    <tableColumn id="5" xr3:uid="{DBE72CEE-297B-4AF1-A6DD-9158B3B7A354}" name="stream:string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148543-19E2-41C6-B80F-443ADF88E049}" name="Revision" displayName="Revision" ref="A1:L49" totalsRowShown="0">
  <autoFilter ref="A1:L49" xr:uid="{F7148543-19E2-41C6-B80F-443ADF88E049}"/>
  <tableColumns count="12">
    <tableColumn id="1" xr3:uid="{21C8EEE4-8FBF-4AB4-AE34-D437297EDFDA}" name="reference:ID:string"/>
    <tableColumn id="2" xr3:uid="{072D70C6-769F-4711-99D1-9127D40FB694}" name="revisionId:string" dataDxfId="0"/>
    <tableColumn id="3" xr3:uid="{76AD41A2-9D89-4C89-A422-523504F2FC6C}" name="title:string"/>
    <tableColumn id="4" xr3:uid="{A3872276-C7FA-48FD-B4BE-44E811B7D987}" name="status:string[]"/>
    <tableColumn id="5" xr3:uid="{0151A34C-1B54-4DE8-9E7B-49F619BFBA03}" name="type:string"/>
    <tableColumn id="6" xr3:uid="{AFE8AB9F-33F1-4E55-94D6-0C505E75BEA9}" name="stream:string"/>
    <tableColumn id="7" xr3:uid="{5A990597-E7F0-45C5-ADD2-79657FCDC69C}" name="canonicalUrl:string"/>
    <tableColumn id="8" xr3:uid="{6A03D276-1743-4ED0-805F-151B5F452443}" name="canonicalFormat:string"/>
    <tableColumn id="9" xr3:uid="{2ADB0333-C1B3-4CC1-B18C-9A0DFE6B58B6}" name="plainTextUrl:string"/>
    <tableColumn id="10" xr3:uid="{0C7FF890-FBAB-4EEF-A543-7FA03454153D}" name="htmlUrl:string"/>
    <tableColumn id="11" xr3:uid="{6BE1B419-11BB-46D9-A8E4-23CE222CF7B2}" name="otherUrl:string"/>
    <tableColumn id="12" xr3:uid="{FCF93976-F95C-406C-933D-32727CDA1451}" name="otherFormat:string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D8DD76-7037-424C-A714-D77D7CBA78A8}" name="Protocol" displayName="Protocol" ref="A1:A5" totalsRowShown="0">
  <autoFilter ref="A1:A5" xr:uid="{E2D8DD76-7037-424C-A714-D77D7CBA78A8}"/>
  <tableColumns count="1">
    <tableColumn id="1" xr3:uid="{F3D8780E-FA0A-42D0-9B4D-16687A6BE384}" name="name:ID:string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70F0FC-67A5-416C-8FE6-4B02B058C3C3}" name="ProtocolVersion" displayName="ProtocolVersion" ref="A1:A9" totalsRowShown="0">
  <autoFilter ref="A1:A9" xr:uid="{AC70F0FC-67A5-416C-8FE6-4B02B058C3C3}"/>
  <tableColumns count="1">
    <tableColumn id="1" xr3:uid="{4B0DD1EE-37B9-42D5-959F-221385A88667}" name="versionedName:ID:string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27AB9D-CAEE-4484-AE23-B398767721CC}" name="ProtocolFeature" displayName="ProtocolFeature" ref="A1:B23" totalsRowShown="0">
  <autoFilter ref="A1:B23" xr:uid="{C127AB9D-CAEE-4484-AE23-B398767721CC}"/>
  <tableColumns count="2">
    <tableColumn id="1" xr3:uid="{9BEAFC98-3596-4F0C-A585-D0F9A983DA3B}" name="name:ID:string"/>
    <tableColumn id="2" xr3:uid="{A2B56536-7182-46BB-8270-75061FEDED7C}" name="type:string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6AF676C-1D2B-4424-9478-37537534117D}" name="Table13" displayName="Table13" ref="E4:F8" totalsRowShown="0">
  <autoFilter ref="E4:F8" xr:uid="{A6AF676C-1D2B-4424-9478-37537534117D}"/>
  <tableColumns count="2">
    <tableColumn id="1" xr3:uid="{EC9BB4D7-B372-4BBF-A622-8292FD95526F}" name="Value"/>
    <tableColumn id="2" xr3:uid="{D2834945-DBF8-4A2B-9A37-AEBBFD4CCB0F}" name="Definition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2E61A5C-1FD2-4AA6-8244-C2B233DFB4CF}" name="Table14" displayName="Table14" ref="H4:I7" totalsRowShown="0">
  <autoFilter ref="H4:I7" xr:uid="{62E61A5C-1FD2-4AA6-8244-C2B233DFB4CF}"/>
  <tableColumns count="2">
    <tableColumn id="1" xr3:uid="{B84FB195-9FDC-4E54-A7AB-92E94519C588}" name="Value"/>
    <tableColumn id="2" xr3:uid="{217E88B7-AE74-4D65-9CE2-1E95BEF94AAC}" name="Definition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8EAA9FB-D622-441E-8BDF-6BBFBA3C7D30}" name="Table15" displayName="Table15" ref="K4:L9" totalsRowShown="0">
  <autoFilter ref="K4:L9" xr:uid="{08EAA9FB-D622-441E-8BDF-6BBFBA3C7D30}"/>
  <tableColumns count="2">
    <tableColumn id="1" xr3:uid="{0726E678-0858-400A-AF5F-EE411A393FDB}" name="Value"/>
    <tableColumn id="2" xr3:uid="{736EA0DB-5440-4CB7-B1CC-E3C47B6D07DA}" name="Definition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A0AAC1C-AF1C-4F88-ACC3-EECEFD275960}" name="Table1317" displayName="Table1317" ref="A4:C14" totalsRowShown="0">
  <autoFilter ref="A4:C14" xr:uid="{6A0AAC1C-AF1C-4F88-ACC3-EECEFD275960}"/>
  <tableColumns count="3">
    <tableColumn id="1" xr3:uid="{196C61DE-DFC1-4506-9F8E-A884FA6EB478}" name="Status"/>
    <tableColumn id="3" xr3:uid="{AD6861AE-4B6C-4D19-8141-531E2C336B54}" name="Relationship"/>
    <tableColumn id="2" xr3:uid="{376B3CFD-4876-468B-9BB4-E87AF7A952A8}" name="Definition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2E3C88-E86B-478B-92F1-EA8B08DFDB57}" name="__val_NodeTypes" displayName="__val_NodeTypes" ref="A1:A10" totalsRowShown="0">
  <autoFilter ref="A1:A10" xr:uid="{0F2E3C88-E86B-478B-92F1-EA8B08DFDB57}"/>
  <tableColumns count="1">
    <tableColumn id="1" xr3:uid="{3A0D508D-E177-4F70-B3A6-C98A7EBA2B8F}" name="NodeTypes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DDCC4A-2F5E-4A27-9ACC-9BE98DDD7C33}" name="__val_NodeTypeAttrs" displayName="__val_NodeTypeAttrs" ref="C1:D13" totalsRowShown="0">
  <autoFilter ref="C1:D13" xr:uid="{A9DDCC4A-2F5E-4A27-9ACC-9BE98DDD7C33}"/>
  <tableColumns count="2">
    <tableColumn id="1" xr3:uid="{5F1D6A5D-9199-4F79-872C-82CC87D0AF96}" name="NodeType"/>
    <tableColumn id="2" xr3:uid="{35CF3F50-2F15-47FF-8191-33E6E17B30DF}" name="NodeTypeAttr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B64927-484E-4177-B1DA-5FDA8972BE2A}" name="__val_RelationshipTypes" displayName="__val_RelationshipTypes" ref="AA1:AA16" totalsRowShown="0">
  <autoFilter ref="AA1:AA16" xr:uid="{52B64927-484E-4177-B1DA-5FDA8972BE2A}"/>
  <tableColumns count="1">
    <tableColumn id="1" xr3:uid="{B6461708-EE65-466B-A5DE-8B4B1716A72D}" name="RelationshipTyp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" row="4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7AEDDBD-662F-4141-A4A7-FA1967FE9790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27603135-6C08-410A-A33D-BAB111245E19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C39B060-099E-4ECC-A602-92A2287A3FF1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o.org/standard/76835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CE1C-7E74-4329-B371-E8344EBDF598}">
  <dimension ref="A3:G39"/>
  <sheetViews>
    <sheetView workbookViewId="0">
      <selection activeCell="E5" sqref="E5:E41"/>
    </sheetView>
    <sheetView workbookViewId="1"/>
  </sheetViews>
  <sheetFormatPr defaultRowHeight="14.5" x14ac:dyDescent="0.35"/>
  <cols>
    <col min="1" max="1" width="26.08984375" bestFit="1" customWidth="1"/>
    <col min="2" max="2" width="15.6328125" bestFit="1" customWidth="1"/>
    <col min="3" max="3" width="13.6328125" bestFit="1" customWidth="1"/>
    <col min="4" max="4" width="13" bestFit="1" customWidth="1"/>
    <col min="5" max="5" width="6.81640625" bestFit="1" customWidth="1"/>
    <col min="6" max="6" width="6.7265625" bestFit="1" customWidth="1"/>
    <col min="7" max="7" width="10.36328125" bestFit="1" customWidth="1"/>
  </cols>
  <sheetData>
    <row r="3" spans="1:7" x14ac:dyDescent="0.35">
      <c r="A3" s="17" t="s">
        <v>2716</v>
      </c>
      <c r="B3" s="17" t="s">
        <v>2712</v>
      </c>
    </row>
    <row r="4" spans="1:7" x14ac:dyDescent="0.35">
      <c r="A4" s="17" t="s">
        <v>2715</v>
      </c>
      <c r="B4" t="s">
        <v>1082</v>
      </c>
      <c r="C4" t="s">
        <v>1308</v>
      </c>
      <c r="D4" t="s">
        <v>1081</v>
      </c>
      <c r="E4" t="s">
        <v>2713</v>
      </c>
      <c r="F4" t="s">
        <v>2776</v>
      </c>
      <c r="G4" t="s">
        <v>2714</v>
      </c>
    </row>
    <row r="5" spans="1:7" x14ac:dyDescent="0.35">
      <c r="A5" s="18" t="s">
        <v>1082</v>
      </c>
      <c r="B5" s="32">
        <v>523</v>
      </c>
      <c r="C5" s="32">
        <v>279</v>
      </c>
      <c r="D5" s="32"/>
      <c r="E5" s="32"/>
      <c r="F5" s="32">
        <v>1</v>
      </c>
      <c r="G5" s="32">
        <v>803</v>
      </c>
    </row>
    <row r="6" spans="1:7" x14ac:dyDescent="0.35">
      <c r="A6" s="19" t="s">
        <v>181</v>
      </c>
      <c r="B6" s="32"/>
      <c r="C6" s="32"/>
      <c r="D6" s="32"/>
      <c r="E6" s="32"/>
      <c r="F6" s="32">
        <v>1</v>
      </c>
      <c r="G6" s="32">
        <v>1</v>
      </c>
    </row>
    <row r="7" spans="1:7" x14ac:dyDescent="0.35">
      <c r="A7" s="19" t="s">
        <v>2197</v>
      </c>
      <c r="B7" s="32">
        <v>7</v>
      </c>
      <c r="C7" s="32"/>
      <c r="D7" s="32"/>
      <c r="E7" s="32"/>
      <c r="F7" s="32"/>
      <c r="G7" s="32">
        <v>7</v>
      </c>
    </row>
    <row r="8" spans="1:7" x14ac:dyDescent="0.35">
      <c r="A8" s="19" t="s">
        <v>569</v>
      </c>
      <c r="B8" s="32"/>
      <c r="C8" s="32">
        <v>1</v>
      </c>
      <c r="D8" s="32"/>
      <c r="E8" s="32"/>
      <c r="F8" s="32"/>
      <c r="G8" s="32">
        <v>1</v>
      </c>
    </row>
    <row r="9" spans="1:7" x14ac:dyDescent="0.35">
      <c r="A9" s="19" t="s">
        <v>1314</v>
      </c>
      <c r="B9" s="32">
        <v>138</v>
      </c>
      <c r="C9" s="32">
        <v>13</v>
      </c>
      <c r="D9" s="32"/>
      <c r="E9" s="32"/>
      <c r="F9" s="32"/>
      <c r="G9" s="32">
        <v>151</v>
      </c>
    </row>
    <row r="10" spans="1:7" x14ac:dyDescent="0.35">
      <c r="A10" s="19" t="s">
        <v>1315</v>
      </c>
      <c r="B10" s="32"/>
      <c r="C10" s="32">
        <v>254</v>
      </c>
      <c r="D10" s="32"/>
      <c r="E10" s="32"/>
      <c r="F10" s="32"/>
      <c r="G10" s="32">
        <v>254</v>
      </c>
    </row>
    <row r="11" spans="1:7" x14ac:dyDescent="0.35">
      <c r="A11" s="19" t="s">
        <v>146</v>
      </c>
      <c r="B11" s="32">
        <v>58</v>
      </c>
      <c r="C11" s="32"/>
      <c r="D11" s="32"/>
      <c r="E11" s="32"/>
      <c r="F11" s="32"/>
      <c r="G11" s="32">
        <v>58</v>
      </c>
    </row>
    <row r="12" spans="1:7" x14ac:dyDescent="0.35">
      <c r="A12" s="19" t="s">
        <v>27</v>
      </c>
      <c r="B12" s="32">
        <v>16</v>
      </c>
      <c r="C12" s="32">
        <v>4</v>
      </c>
      <c r="D12" s="32"/>
      <c r="E12" s="32"/>
      <c r="F12" s="32"/>
      <c r="G12" s="32">
        <v>20</v>
      </c>
    </row>
    <row r="13" spans="1:7" x14ac:dyDescent="0.35">
      <c r="A13" s="19" t="s">
        <v>2215</v>
      </c>
      <c r="B13" s="32">
        <v>98</v>
      </c>
      <c r="C13" s="32">
        <v>7</v>
      </c>
      <c r="D13" s="32"/>
      <c r="E13" s="32"/>
      <c r="F13" s="32"/>
      <c r="G13" s="32">
        <v>105</v>
      </c>
    </row>
    <row r="14" spans="1:7" x14ac:dyDescent="0.35">
      <c r="A14" s="19" t="s">
        <v>149</v>
      </c>
      <c r="B14" s="32">
        <v>206</v>
      </c>
      <c r="C14" s="32"/>
      <c r="D14" s="32"/>
      <c r="E14" s="32"/>
      <c r="F14" s="32"/>
      <c r="G14" s="32">
        <v>206</v>
      </c>
    </row>
    <row r="15" spans="1:7" x14ac:dyDescent="0.35">
      <c r="A15" s="18" t="s">
        <v>1308</v>
      </c>
      <c r="B15" s="32">
        <v>13</v>
      </c>
      <c r="C15" s="32">
        <v>13</v>
      </c>
      <c r="D15" s="32"/>
      <c r="E15" s="32"/>
      <c r="F15" s="32">
        <v>18</v>
      </c>
      <c r="G15" s="32">
        <v>44</v>
      </c>
    </row>
    <row r="16" spans="1:7" x14ac:dyDescent="0.35">
      <c r="A16" s="19" t="s">
        <v>181</v>
      </c>
      <c r="B16" s="32"/>
      <c r="C16" s="32"/>
      <c r="D16" s="32"/>
      <c r="E16" s="32"/>
      <c r="F16" s="32">
        <v>18</v>
      </c>
      <c r="G16" s="32">
        <v>18</v>
      </c>
    </row>
    <row r="17" spans="1:7" x14ac:dyDescent="0.35">
      <c r="A17" s="19" t="s">
        <v>1314</v>
      </c>
      <c r="B17" s="32">
        <v>13</v>
      </c>
      <c r="C17" s="32">
        <v>2</v>
      </c>
      <c r="D17" s="32"/>
      <c r="E17" s="32"/>
      <c r="F17" s="32"/>
      <c r="G17" s="32">
        <v>15</v>
      </c>
    </row>
    <row r="18" spans="1:7" x14ac:dyDescent="0.35">
      <c r="A18" s="19" t="s">
        <v>1315</v>
      </c>
      <c r="B18" s="32"/>
      <c r="C18" s="32">
        <v>11</v>
      </c>
      <c r="D18" s="32"/>
      <c r="E18" s="32"/>
      <c r="F18" s="32"/>
      <c r="G18" s="32">
        <v>11</v>
      </c>
    </row>
    <row r="19" spans="1:7" x14ac:dyDescent="0.35">
      <c r="A19" s="18" t="s">
        <v>1081</v>
      </c>
      <c r="B19" s="32">
        <v>291</v>
      </c>
      <c r="C19" s="32"/>
      <c r="D19" s="32">
        <v>128</v>
      </c>
      <c r="E19" s="32"/>
      <c r="F19" s="32"/>
      <c r="G19" s="32">
        <v>419</v>
      </c>
    </row>
    <row r="20" spans="1:7" x14ac:dyDescent="0.35">
      <c r="A20" s="19" t="s">
        <v>177</v>
      </c>
      <c r="B20" s="32">
        <v>291</v>
      </c>
      <c r="C20" s="32"/>
      <c r="D20" s="32"/>
      <c r="E20" s="32"/>
      <c r="F20" s="32"/>
      <c r="G20" s="32">
        <v>291</v>
      </c>
    </row>
    <row r="21" spans="1:7" x14ac:dyDescent="0.35">
      <c r="A21" s="19" t="s">
        <v>1188</v>
      </c>
      <c r="B21" s="32"/>
      <c r="C21" s="32"/>
      <c r="D21" s="32">
        <v>13</v>
      </c>
      <c r="E21" s="32"/>
      <c r="F21" s="32"/>
      <c r="G21" s="32">
        <v>13</v>
      </c>
    </row>
    <row r="22" spans="1:7" x14ac:dyDescent="0.35">
      <c r="A22" s="19" t="s">
        <v>176</v>
      </c>
      <c r="B22" s="32"/>
      <c r="C22" s="32"/>
      <c r="D22" s="32">
        <v>90</v>
      </c>
      <c r="E22" s="32"/>
      <c r="F22" s="32"/>
      <c r="G22" s="32">
        <v>90</v>
      </c>
    </row>
    <row r="23" spans="1:7" x14ac:dyDescent="0.35">
      <c r="A23" s="19" t="s">
        <v>1181</v>
      </c>
      <c r="B23" s="32"/>
      <c r="C23" s="32"/>
      <c r="D23" s="32">
        <v>22</v>
      </c>
      <c r="E23" s="32"/>
      <c r="F23" s="32"/>
      <c r="G23" s="32">
        <v>22</v>
      </c>
    </row>
    <row r="24" spans="1:7" x14ac:dyDescent="0.35">
      <c r="A24" s="19" t="s">
        <v>1182</v>
      </c>
      <c r="B24" s="32"/>
      <c r="C24" s="32"/>
      <c r="D24" s="32">
        <v>3</v>
      </c>
      <c r="E24" s="32"/>
      <c r="F24" s="32"/>
      <c r="G24" s="32">
        <v>3</v>
      </c>
    </row>
    <row r="25" spans="1:7" x14ac:dyDescent="0.35">
      <c r="A25" s="18" t="s">
        <v>2713</v>
      </c>
      <c r="B25" s="32"/>
      <c r="C25" s="32"/>
      <c r="D25" s="32"/>
      <c r="E25" s="32"/>
      <c r="F25" s="32"/>
      <c r="G25" s="32"/>
    </row>
    <row r="26" spans="1:7" x14ac:dyDescent="0.35">
      <c r="A26" s="19" t="s">
        <v>428</v>
      </c>
      <c r="B26" s="32"/>
      <c r="C26" s="32"/>
      <c r="D26" s="32"/>
      <c r="E26" s="32"/>
      <c r="F26" s="32"/>
      <c r="G26" s="32"/>
    </row>
    <row r="27" spans="1:7" x14ac:dyDescent="0.35">
      <c r="A27" s="19" t="s">
        <v>26</v>
      </c>
      <c r="B27" s="32"/>
      <c r="C27" s="32"/>
      <c r="D27" s="32"/>
      <c r="E27" s="32"/>
      <c r="F27" s="32"/>
      <c r="G27" s="32"/>
    </row>
    <row r="28" spans="1:7" x14ac:dyDescent="0.35">
      <c r="A28" s="19" t="s">
        <v>177</v>
      </c>
      <c r="B28" s="32"/>
      <c r="C28" s="32"/>
      <c r="D28" s="32"/>
      <c r="E28" s="32"/>
      <c r="F28" s="32"/>
      <c r="G28" s="32"/>
    </row>
    <row r="29" spans="1:7" x14ac:dyDescent="0.35">
      <c r="A29" s="19" t="s">
        <v>181</v>
      </c>
      <c r="B29" s="32"/>
      <c r="C29" s="32"/>
      <c r="D29" s="32"/>
      <c r="E29" s="32"/>
      <c r="F29" s="32"/>
      <c r="G29" s="32"/>
    </row>
    <row r="30" spans="1:7" x14ac:dyDescent="0.35">
      <c r="A30" s="19" t="s">
        <v>118</v>
      </c>
      <c r="B30" s="32"/>
      <c r="C30" s="32"/>
      <c r="D30" s="32"/>
      <c r="E30" s="32"/>
      <c r="F30" s="32"/>
      <c r="G30" s="32"/>
    </row>
    <row r="31" spans="1:7" x14ac:dyDescent="0.35">
      <c r="A31" s="19" t="s">
        <v>569</v>
      </c>
      <c r="B31" s="32"/>
      <c r="C31" s="32"/>
      <c r="D31" s="32"/>
      <c r="E31" s="32"/>
      <c r="F31" s="32"/>
      <c r="G31" s="32"/>
    </row>
    <row r="32" spans="1:7" x14ac:dyDescent="0.35">
      <c r="A32" s="19" t="s">
        <v>110</v>
      </c>
      <c r="B32" s="32"/>
      <c r="C32" s="32"/>
      <c r="D32" s="32"/>
      <c r="E32" s="32"/>
      <c r="F32" s="32"/>
      <c r="G32" s="32"/>
    </row>
    <row r="33" spans="1:7" x14ac:dyDescent="0.35">
      <c r="A33" s="19" t="s">
        <v>180</v>
      </c>
      <c r="B33" s="32"/>
      <c r="C33" s="32"/>
      <c r="D33" s="32"/>
      <c r="E33" s="32"/>
      <c r="F33" s="32"/>
      <c r="G33" s="32"/>
    </row>
    <row r="34" spans="1:7" x14ac:dyDescent="0.35">
      <c r="A34" s="19" t="s">
        <v>146</v>
      </c>
      <c r="B34" s="32"/>
      <c r="C34" s="32"/>
      <c r="D34" s="32"/>
      <c r="E34" s="32"/>
      <c r="F34" s="32"/>
      <c r="G34" s="32"/>
    </row>
    <row r="35" spans="1:7" x14ac:dyDescent="0.35">
      <c r="A35" s="19" t="s">
        <v>703</v>
      </c>
      <c r="B35" s="32"/>
      <c r="C35" s="32"/>
      <c r="D35" s="32"/>
      <c r="E35" s="32"/>
      <c r="F35" s="32"/>
      <c r="G35" s="32"/>
    </row>
    <row r="36" spans="1:7" x14ac:dyDescent="0.35">
      <c r="A36" s="19" t="s">
        <v>27</v>
      </c>
      <c r="B36" s="32"/>
      <c r="C36" s="32"/>
      <c r="D36" s="32"/>
      <c r="E36" s="32"/>
      <c r="F36" s="32"/>
      <c r="G36" s="32"/>
    </row>
    <row r="37" spans="1:7" x14ac:dyDescent="0.35">
      <c r="A37" s="19" t="s">
        <v>149</v>
      </c>
      <c r="B37" s="32"/>
      <c r="C37" s="32"/>
      <c r="D37" s="32"/>
      <c r="E37" s="32"/>
      <c r="F37" s="32"/>
      <c r="G37" s="32"/>
    </row>
    <row r="38" spans="1:7" x14ac:dyDescent="0.35">
      <c r="A38" s="19" t="s">
        <v>2713</v>
      </c>
      <c r="B38" s="32"/>
      <c r="C38" s="32"/>
      <c r="D38" s="32"/>
      <c r="E38" s="32"/>
      <c r="F38" s="32"/>
      <c r="G38" s="32"/>
    </row>
    <row r="39" spans="1:7" x14ac:dyDescent="0.35">
      <c r="A39" s="18" t="s">
        <v>2714</v>
      </c>
      <c r="B39" s="32">
        <v>827</v>
      </c>
      <c r="C39" s="32">
        <v>292</v>
      </c>
      <c r="D39" s="32">
        <v>128</v>
      </c>
      <c r="E39" s="32"/>
      <c r="F39" s="32">
        <v>19</v>
      </c>
      <c r="G39" s="32">
        <v>1266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C4D-325D-4E0F-A2BC-C2DFF8A38A87}">
  <dimension ref="A1:R1998"/>
  <sheetViews>
    <sheetView topLeftCell="A56" zoomScale="85" zoomScaleNormal="85" workbookViewId="0">
      <selection activeCell="K132" sqref="K132"/>
    </sheetView>
    <sheetView tabSelected="1" workbookViewId="1">
      <selection activeCell="C184" sqref="C184"/>
    </sheetView>
  </sheetViews>
  <sheetFormatPr defaultRowHeight="14.5" x14ac:dyDescent="0.35"/>
  <cols>
    <col min="1" max="1" width="14.81640625" bestFit="1" customWidth="1"/>
    <col min="2" max="2" width="18.90625" bestFit="1" customWidth="1"/>
    <col min="3" max="3" width="19.6328125" bestFit="1" customWidth="1"/>
    <col min="4" max="4" width="28.7265625" customWidth="1"/>
    <col min="5" max="5" width="20.453125" bestFit="1" customWidth="1"/>
    <col min="6" max="6" width="22.90625" style="1" customWidth="1"/>
    <col min="7" max="7" width="35.81640625" customWidth="1"/>
    <col min="8" max="8" width="47.54296875" bestFit="1" customWidth="1"/>
    <col min="9" max="9" width="16.26953125" bestFit="1" customWidth="1"/>
    <col min="10" max="10" width="15.36328125" bestFit="1" customWidth="1"/>
    <col min="11" max="11" width="37.54296875" bestFit="1" customWidth="1"/>
    <col min="12" max="12" width="51.90625" bestFit="1" customWidth="1"/>
    <col min="13" max="14" width="20.453125" bestFit="1" customWidth="1"/>
    <col min="15" max="15" width="23.81640625" bestFit="1" customWidth="1"/>
    <col min="16" max="16" width="23.81640625" customWidth="1"/>
    <col min="17" max="17" width="48.7265625" bestFit="1" customWidth="1"/>
    <col min="18" max="18" width="40.6328125" customWidth="1"/>
  </cols>
  <sheetData>
    <row r="1" spans="1:18" x14ac:dyDescent="0.35">
      <c r="A1" t="s">
        <v>1078</v>
      </c>
      <c r="B1" t="s">
        <v>935</v>
      </c>
      <c r="C1" t="s">
        <v>936</v>
      </c>
      <c r="D1" t="s">
        <v>1091</v>
      </c>
      <c r="E1" s="6" t="s">
        <v>1079</v>
      </c>
      <c r="F1" s="6" t="s">
        <v>1088</v>
      </c>
      <c r="G1" s="6" t="s">
        <v>1092</v>
      </c>
      <c r="H1" s="8" t="s">
        <v>1093</v>
      </c>
      <c r="I1" s="7" t="s">
        <v>1094</v>
      </c>
      <c r="J1" s="7" t="s">
        <v>1095</v>
      </c>
      <c r="K1" s="7" t="s">
        <v>1096</v>
      </c>
      <c r="L1" s="8" t="s">
        <v>925</v>
      </c>
      <c r="M1" t="s">
        <v>1211</v>
      </c>
      <c r="N1" t="s">
        <v>1116</v>
      </c>
      <c r="O1" s="1" t="s">
        <v>1117</v>
      </c>
      <c r="P1" s="1" t="s">
        <v>1312</v>
      </c>
      <c r="Q1" s="1" t="s">
        <v>1313</v>
      </c>
      <c r="R1" s="1" t="s">
        <v>1115</v>
      </c>
    </row>
    <row r="2" spans="1:18" x14ac:dyDescent="0.35">
      <c r="D2" t="s">
        <v>176</v>
      </c>
      <c r="E2" t="s">
        <v>1081</v>
      </c>
      <c r="F2" t="s">
        <v>956</v>
      </c>
      <c r="G2" t="s">
        <v>400</v>
      </c>
      <c r="H2" t="s">
        <v>400</v>
      </c>
      <c r="I2" t="s">
        <v>1081</v>
      </c>
      <c r="J2" t="s">
        <v>956</v>
      </c>
      <c r="K2" t="s">
        <v>409</v>
      </c>
      <c r="L2" t="s">
        <v>409</v>
      </c>
      <c r="O2" s="1"/>
      <c r="P2" s="1"/>
      <c r="Q2" s="1"/>
      <c r="R2" s="1"/>
    </row>
    <row r="3" spans="1:18" x14ac:dyDescent="0.35">
      <c r="D3" t="s">
        <v>176</v>
      </c>
      <c r="E3" t="s">
        <v>1081</v>
      </c>
      <c r="F3" t="s">
        <v>956</v>
      </c>
      <c r="G3" t="s">
        <v>403</v>
      </c>
      <c r="H3" t="s">
        <v>403</v>
      </c>
      <c r="I3" t="s">
        <v>1081</v>
      </c>
      <c r="J3" t="s">
        <v>956</v>
      </c>
      <c r="K3" t="s">
        <v>409</v>
      </c>
      <c r="L3" t="s">
        <v>409</v>
      </c>
      <c r="O3" s="1"/>
      <c r="P3" s="1"/>
      <c r="Q3" s="1"/>
      <c r="R3" s="1"/>
    </row>
    <row r="4" spans="1:18" x14ac:dyDescent="0.35">
      <c r="D4" t="s">
        <v>1182</v>
      </c>
      <c r="E4" t="s">
        <v>1081</v>
      </c>
      <c r="F4" t="s">
        <v>956</v>
      </c>
      <c r="G4" t="s">
        <v>409</v>
      </c>
      <c r="I4" t="s">
        <v>1081</v>
      </c>
      <c r="J4" t="s">
        <v>956</v>
      </c>
      <c r="K4" t="s">
        <v>1316</v>
      </c>
      <c r="O4" s="1"/>
      <c r="P4" s="1"/>
      <c r="Q4" s="1"/>
      <c r="R4" s="1"/>
    </row>
    <row r="5" spans="1:18" x14ac:dyDescent="0.35">
      <c r="D5" t="s">
        <v>1182</v>
      </c>
      <c r="E5" t="s">
        <v>1081</v>
      </c>
      <c r="F5" t="s">
        <v>956</v>
      </c>
      <c r="G5" t="s">
        <v>409</v>
      </c>
      <c r="I5" t="s">
        <v>1081</v>
      </c>
      <c r="J5" t="s">
        <v>956</v>
      </c>
      <c r="K5" t="s">
        <v>1324</v>
      </c>
      <c r="O5" s="1"/>
      <c r="P5" s="1"/>
      <c r="Q5" s="1"/>
      <c r="R5" s="1"/>
    </row>
    <row r="6" spans="1:18" x14ac:dyDescent="0.35">
      <c r="D6" t="s">
        <v>176</v>
      </c>
      <c r="E6" t="s">
        <v>1081</v>
      </c>
      <c r="F6" t="s">
        <v>956</v>
      </c>
      <c r="G6" t="s">
        <v>409</v>
      </c>
      <c r="I6" t="s">
        <v>1081</v>
      </c>
      <c r="J6" t="s">
        <v>956</v>
      </c>
      <c r="K6" t="s">
        <v>1217</v>
      </c>
      <c r="O6" s="1"/>
      <c r="P6" s="1"/>
      <c r="Q6" s="1"/>
      <c r="R6" s="1"/>
    </row>
    <row r="7" spans="1:18" x14ac:dyDescent="0.35">
      <c r="D7" t="s">
        <v>1181</v>
      </c>
      <c r="E7" t="s">
        <v>1081</v>
      </c>
      <c r="F7" t="s">
        <v>956</v>
      </c>
      <c r="G7" t="s">
        <v>1217</v>
      </c>
      <c r="I7" t="s">
        <v>1081</v>
      </c>
      <c r="J7" t="s">
        <v>956</v>
      </c>
      <c r="K7" t="s">
        <v>1318</v>
      </c>
      <c r="O7" s="1"/>
      <c r="P7" s="1"/>
      <c r="Q7" s="1"/>
      <c r="R7" s="1"/>
    </row>
    <row r="8" spans="1:18" x14ac:dyDescent="0.35">
      <c r="D8" t="s">
        <v>176</v>
      </c>
      <c r="E8" t="s">
        <v>1081</v>
      </c>
      <c r="F8" t="s">
        <v>956</v>
      </c>
      <c r="G8" t="s">
        <v>409</v>
      </c>
      <c r="I8" t="s">
        <v>1081</v>
      </c>
      <c r="J8" t="s">
        <v>956</v>
      </c>
      <c r="K8" t="s">
        <v>1049</v>
      </c>
      <c r="O8" s="1"/>
      <c r="P8" s="1"/>
      <c r="Q8" s="1"/>
      <c r="R8" s="1"/>
    </row>
    <row r="9" spans="1:18" x14ac:dyDescent="0.35">
      <c r="D9" t="s">
        <v>176</v>
      </c>
      <c r="E9" t="s">
        <v>1081</v>
      </c>
      <c r="F9" t="s">
        <v>956</v>
      </c>
      <c r="G9" t="s">
        <v>409</v>
      </c>
      <c r="I9" t="s">
        <v>1081</v>
      </c>
      <c r="J9" t="s">
        <v>956</v>
      </c>
      <c r="K9" t="s">
        <v>1050</v>
      </c>
      <c r="O9" s="1"/>
      <c r="P9" s="1"/>
      <c r="Q9" s="1"/>
      <c r="R9" s="1"/>
    </row>
    <row r="10" spans="1:18" x14ac:dyDescent="0.35">
      <c r="D10" t="s">
        <v>176</v>
      </c>
      <c r="E10" t="s">
        <v>1081</v>
      </c>
      <c r="F10" t="s">
        <v>956</v>
      </c>
      <c r="G10" t="s">
        <v>409</v>
      </c>
      <c r="I10" t="s">
        <v>1081</v>
      </c>
      <c r="J10" t="s">
        <v>956</v>
      </c>
      <c r="K10" t="s">
        <v>1097</v>
      </c>
      <c r="O10" s="1"/>
      <c r="P10" s="1"/>
      <c r="Q10" s="1"/>
      <c r="R10" s="1"/>
    </row>
    <row r="11" spans="1:18" x14ac:dyDescent="0.35">
      <c r="D11" t="s">
        <v>176</v>
      </c>
      <c r="E11" t="s">
        <v>1081</v>
      </c>
      <c r="F11" t="s">
        <v>956</v>
      </c>
      <c r="G11" t="s">
        <v>400</v>
      </c>
      <c r="I11" t="s">
        <v>1081</v>
      </c>
      <c r="J11" t="s">
        <v>956</v>
      </c>
      <c r="K11" t="s">
        <v>3360</v>
      </c>
      <c r="O11" s="1"/>
      <c r="P11" s="1"/>
      <c r="Q11" s="1"/>
      <c r="R11" s="1"/>
    </row>
    <row r="12" spans="1:18" x14ac:dyDescent="0.35">
      <c r="D12" t="s">
        <v>176</v>
      </c>
      <c r="E12" t="s">
        <v>1081</v>
      </c>
      <c r="F12" t="s">
        <v>956</v>
      </c>
      <c r="G12" t="s">
        <v>400</v>
      </c>
      <c r="I12" t="s">
        <v>1081</v>
      </c>
      <c r="J12" t="s">
        <v>956</v>
      </c>
      <c r="K12" t="s">
        <v>1316</v>
      </c>
      <c r="O12" s="1"/>
      <c r="P12" s="1"/>
      <c r="Q12" s="1"/>
      <c r="R12" s="1"/>
    </row>
    <row r="13" spans="1:18" x14ac:dyDescent="0.35">
      <c r="D13" t="s">
        <v>176</v>
      </c>
      <c r="E13" t="s">
        <v>1081</v>
      </c>
      <c r="F13" t="s">
        <v>956</v>
      </c>
      <c r="G13" t="s">
        <v>400</v>
      </c>
      <c r="I13" t="s">
        <v>1081</v>
      </c>
      <c r="J13" t="s">
        <v>956</v>
      </c>
      <c r="K13" t="s">
        <v>3204</v>
      </c>
      <c r="O13" s="1"/>
      <c r="P13" s="1"/>
      <c r="Q13" s="1"/>
      <c r="R13" s="1"/>
    </row>
    <row r="14" spans="1:18" x14ac:dyDescent="0.35">
      <c r="D14" t="s">
        <v>176</v>
      </c>
      <c r="E14" t="s">
        <v>1081</v>
      </c>
      <c r="F14" t="s">
        <v>956</v>
      </c>
      <c r="G14" t="s">
        <v>1316</v>
      </c>
      <c r="I14" t="s">
        <v>1081</v>
      </c>
      <c r="J14" t="s">
        <v>956</v>
      </c>
      <c r="K14" t="s">
        <v>1318</v>
      </c>
      <c r="O14" s="1"/>
      <c r="P14" s="1"/>
      <c r="Q14" s="1"/>
      <c r="R14" s="1"/>
    </row>
    <row r="15" spans="1:18" x14ac:dyDescent="0.35">
      <c r="F15"/>
      <c r="O15" s="1"/>
      <c r="P15" s="1"/>
      <c r="Q15" s="1"/>
      <c r="R15" s="1"/>
    </row>
    <row r="16" spans="1:18" x14ac:dyDescent="0.35">
      <c r="D16" t="s">
        <v>176</v>
      </c>
      <c r="E16" t="s">
        <v>1081</v>
      </c>
      <c r="F16" t="s">
        <v>956</v>
      </c>
      <c r="G16" t="s">
        <v>406</v>
      </c>
      <c r="I16" t="s">
        <v>1081</v>
      </c>
      <c r="J16" t="s">
        <v>956</v>
      </c>
      <c r="K16" t="s">
        <v>1226</v>
      </c>
      <c r="O16" s="1"/>
      <c r="P16" s="1"/>
      <c r="Q16" s="1"/>
      <c r="R16" s="1"/>
    </row>
    <row r="17" spans="4:18" x14ac:dyDescent="0.35">
      <c r="D17" t="s">
        <v>176</v>
      </c>
      <c r="E17" t="s">
        <v>1081</v>
      </c>
      <c r="F17" t="s">
        <v>956</v>
      </c>
      <c r="G17" t="s">
        <v>1226</v>
      </c>
      <c r="I17" t="s">
        <v>1081</v>
      </c>
      <c r="J17" t="s">
        <v>956</v>
      </c>
      <c r="K17" t="s">
        <v>3491</v>
      </c>
      <c r="O17" s="1"/>
      <c r="P17" s="1"/>
      <c r="Q17" s="1"/>
      <c r="R17" s="1"/>
    </row>
    <row r="18" spans="4:18" x14ac:dyDescent="0.35">
      <c r="D18" t="s">
        <v>176</v>
      </c>
      <c r="E18" t="s">
        <v>1081</v>
      </c>
      <c r="F18" t="s">
        <v>956</v>
      </c>
      <c r="G18" t="s">
        <v>1226</v>
      </c>
      <c r="I18" t="s">
        <v>1081</v>
      </c>
      <c r="J18" t="s">
        <v>956</v>
      </c>
      <c r="K18" t="s">
        <v>3487</v>
      </c>
      <c r="O18" s="1"/>
      <c r="P18" s="1"/>
      <c r="Q18" s="1"/>
      <c r="R18" s="1"/>
    </row>
    <row r="19" spans="4:18" x14ac:dyDescent="0.35">
      <c r="D19" t="s">
        <v>1182</v>
      </c>
      <c r="E19" t="s">
        <v>1081</v>
      </c>
      <c r="F19" t="s">
        <v>956</v>
      </c>
      <c r="G19" t="s">
        <v>3487</v>
      </c>
      <c r="I19" t="s">
        <v>1081</v>
      </c>
      <c r="J19" t="s">
        <v>956</v>
      </c>
      <c r="K19" t="s">
        <v>3491</v>
      </c>
      <c r="O19" s="1"/>
      <c r="P19" s="1"/>
      <c r="Q19" s="1"/>
      <c r="R19" s="1"/>
    </row>
    <row r="20" spans="4:18" x14ac:dyDescent="0.35">
      <c r="D20" t="s">
        <v>176</v>
      </c>
      <c r="E20" t="s">
        <v>1081</v>
      </c>
      <c r="F20" t="s">
        <v>956</v>
      </c>
      <c r="G20" t="s">
        <v>1226</v>
      </c>
      <c r="I20" t="s">
        <v>1081</v>
      </c>
      <c r="J20" t="s">
        <v>956</v>
      </c>
      <c r="K20" t="s">
        <v>3477</v>
      </c>
      <c r="O20" s="1"/>
      <c r="P20" s="1"/>
      <c r="Q20" s="1"/>
      <c r="R20" s="1"/>
    </row>
    <row r="21" spans="4:18" x14ac:dyDescent="0.35">
      <c r="D21" t="s">
        <v>1181</v>
      </c>
      <c r="E21" t="s">
        <v>1081</v>
      </c>
      <c r="F21" t="s">
        <v>956</v>
      </c>
      <c r="G21" t="s">
        <v>3477</v>
      </c>
      <c r="I21" t="s">
        <v>1081</v>
      </c>
      <c r="J21" t="s">
        <v>956</v>
      </c>
      <c r="K21" t="s">
        <v>3487</v>
      </c>
      <c r="O21" s="1"/>
      <c r="P21" s="1"/>
      <c r="Q21" s="1"/>
      <c r="R21" s="1"/>
    </row>
    <row r="22" spans="4:18" x14ac:dyDescent="0.35">
      <c r="D22" t="s">
        <v>176</v>
      </c>
      <c r="E22" t="s">
        <v>1081</v>
      </c>
      <c r="F22" t="s">
        <v>956</v>
      </c>
      <c r="G22" t="s">
        <v>1226</v>
      </c>
      <c r="I22" t="s">
        <v>1081</v>
      </c>
      <c r="J22" t="s">
        <v>956</v>
      </c>
      <c r="K22" t="s">
        <v>3176</v>
      </c>
      <c r="O22" s="1"/>
      <c r="P22" s="1"/>
      <c r="Q22" s="1"/>
      <c r="R22" s="1"/>
    </row>
    <row r="23" spans="4:18" x14ac:dyDescent="0.35">
      <c r="D23" t="s">
        <v>1181</v>
      </c>
      <c r="E23" t="s">
        <v>1081</v>
      </c>
      <c r="F23" t="s">
        <v>956</v>
      </c>
      <c r="G23" t="s">
        <v>3176</v>
      </c>
      <c r="I23" t="s">
        <v>1081</v>
      </c>
      <c r="J23" t="s">
        <v>956</v>
      </c>
      <c r="K23" t="s">
        <v>3477</v>
      </c>
      <c r="O23" s="1"/>
      <c r="P23" s="1"/>
      <c r="Q23" s="1"/>
      <c r="R23" s="1"/>
    </row>
    <row r="24" spans="4:18" x14ac:dyDescent="0.35">
      <c r="D24" t="s">
        <v>176</v>
      </c>
      <c r="E24" t="s">
        <v>1081</v>
      </c>
      <c r="F24" t="s">
        <v>956</v>
      </c>
      <c r="G24" t="s">
        <v>1226</v>
      </c>
      <c r="I24" t="s">
        <v>1081</v>
      </c>
      <c r="J24" t="s">
        <v>956</v>
      </c>
      <c r="K24" t="s">
        <v>3185</v>
      </c>
      <c r="O24" s="1"/>
      <c r="P24" s="1"/>
      <c r="Q24" s="1"/>
      <c r="R24" s="1"/>
    </row>
    <row r="25" spans="4:18" x14ac:dyDescent="0.35">
      <c r="D25" t="s">
        <v>1181</v>
      </c>
      <c r="E25" t="s">
        <v>1081</v>
      </c>
      <c r="F25" t="s">
        <v>956</v>
      </c>
      <c r="G25" t="s">
        <v>3185</v>
      </c>
      <c r="I25" t="s">
        <v>1081</v>
      </c>
      <c r="J25" t="s">
        <v>956</v>
      </c>
      <c r="K25" t="s">
        <v>3176</v>
      </c>
      <c r="O25" s="1"/>
      <c r="P25" s="1"/>
      <c r="Q25" s="1"/>
      <c r="R25" s="1"/>
    </row>
    <row r="26" spans="4:18" x14ac:dyDescent="0.35">
      <c r="D26" t="s">
        <v>176</v>
      </c>
      <c r="E26" t="s">
        <v>1081</v>
      </c>
      <c r="F26" t="s">
        <v>956</v>
      </c>
      <c r="G26" t="s">
        <v>1226</v>
      </c>
      <c r="I26" t="s">
        <v>1081</v>
      </c>
      <c r="J26" t="s">
        <v>956</v>
      </c>
      <c r="K26" t="s">
        <v>3478</v>
      </c>
      <c r="O26" s="1"/>
      <c r="P26" s="1"/>
      <c r="Q26" s="1"/>
      <c r="R26" s="1"/>
    </row>
    <row r="27" spans="4:18" x14ac:dyDescent="0.35">
      <c r="D27" t="s">
        <v>1181</v>
      </c>
      <c r="E27" t="s">
        <v>1081</v>
      </c>
      <c r="F27" t="s">
        <v>956</v>
      </c>
      <c r="G27" t="s">
        <v>3478</v>
      </c>
      <c r="I27" t="s">
        <v>1081</v>
      </c>
      <c r="J27" t="s">
        <v>956</v>
      </c>
      <c r="K27" t="s">
        <v>3185</v>
      </c>
      <c r="O27" s="1"/>
      <c r="P27" s="1"/>
      <c r="Q27" s="1"/>
      <c r="R27" s="1"/>
    </row>
    <row r="28" spans="4:18" x14ac:dyDescent="0.35">
      <c r="D28" t="s">
        <v>176</v>
      </c>
      <c r="E28" t="s">
        <v>1081</v>
      </c>
      <c r="F28" t="s">
        <v>956</v>
      </c>
      <c r="G28" t="s">
        <v>1226</v>
      </c>
      <c r="I28" t="s">
        <v>1081</v>
      </c>
      <c r="J28" t="s">
        <v>956</v>
      </c>
      <c r="K28" t="s">
        <v>3537</v>
      </c>
      <c r="O28" s="1"/>
      <c r="P28" s="1"/>
      <c r="Q28" s="1"/>
      <c r="R28" s="1"/>
    </row>
    <row r="29" spans="4:18" x14ac:dyDescent="0.35">
      <c r="D29" t="s">
        <v>176</v>
      </c>
      <c r="E29" t="s">
        <v>1081</v>
      </c>
      <c r="F29" t="s">
        <v>956</v>
      </c>
      <c r="G29" t="s">
        <v>1226</v>
      </c>
      <c r="I29" t="s">
        <v>1081</v>
      </c>
      <c r="J29" t="s">
        <v>956</v>
      </c>
      <c r="K29" t="s">
        <v>3538</v>
      </c>
      <c r="O29" s="1"/>
      <c r="P29" s="1"/>
      <c r="Q29" s="1"/>
      <c r="R29" s="1"/>
    </row>
    <row r="30" spans="4:18" x14ac:dyDescent="0.35">
      <c r="D30" t="s">
        <v>1182</v>
      </c>
      <c r="E30" t="s">
        <v>1081</v>
      </c>
      <c r="F30" t="s">
        <v>956</v>
      </c>
      <c r="G30" t="s">
        <v>3538</v>
      </c>
      <c r="I30" t="s">
        <v>1081</v>
      </c>
      <c r="J30" t="s">
        <v>956</v>
      </c>
      <c r="K30" t="s">
        <v>3537</v>
      </c>
      <c r="O30" s="1"/>
      <c r="P30" s="1"/>
      <c r="Q30" s="1"/>
      <c r="R30" s="1"/>
    </row>
    <row r="31" spans="4:18" x14ac:dyDescent="0.35">
      <c r="D31" t="s">
        <v>176</v>
      </c>
      <c r="E31" t="s">
        <v>1081</v>
      </c>
      <c r="F31" t="s">
        <v>956</v>
      </c>
      <c r="G31" t="s">
        <v>1226</v>
      </c>
      <c r="I31" t="s">
        <v>1081</v>
      </c>
      <c r="J31" t="s">
        <v>956</v>
      </c>
      <c r="K31" t="s">
        <v>3539</v>
      </c>
      <c r="O31" s="1"/>
      <c r="P31" s="1"/>
      <c r="Q31" s="1"/>
      <c r="R31" s="1"/>
    </row>
    <row r="32" spans="4:18" x14ac:dyDescent="0.35">
      <c r="D32" t="s">
        <v>1181</v>
      </c>
      <c r="E32" t="s">
        <v>1081</v>
      </c>
      <c r="F32" t="s">
        <v>956</v>
      </c>
      <c r="G32" t="s">
        <v>3539</v>
      </c>
      <c r="I32" t="s">
        <v>1081</v>
      </c>
      <c r="J32" t="s">
        <v>956</v>
      </c>
      <c r="K32" t="s">
        <v>3538</v>
      </c>
      <c r="O32" s="1"/>
      <c r="P32" s="1"/>
      <c r="Q32" s="1"/>
      <c r="R32" s="1"/>
    </row>
    <row r="33" spans="4:18" x14ac:dyDescent="0.35">
      <c r="D33" t="s">
        <v>176</v>
      </c>
      <c r="E33" t="s">
        <v>1081</v>
      </c>
      <c r="F33" t="s">
        <v>956</v>
      </c>
      <c r="G33" t="s">
        <v>1226</v>
      </c>
      <c r="I33" t="s">
        <v>1081</v>
      </c>
      <c r="J33" t="s">
        <v>956</v>
      </c>
      <c r="K33" t="s">
        <v>3540</v>
      </c>
      <c r="O33" s="1"/>
      <c r="P33" s="1"/>
      <c r="Q33" s="1"/>
      <c r="R33" s="1"/>
    </row>
    <row r="34" spans="4:18" x14ac:dyDescent="0.35">
      <c r="D34" t="s">
        <v>1181</v>
      </c>
      <c r="E34" t="s">
        <v>1081</v>
      </c>
      <c r="F34" t="s">
        <v>956</v>
      </c>
      <c r="G34" t="s">
        <v>3540</v>
      </c>
      <c r="I34" t="s">
        <v>1081</v>
      </c>
      <c r="J34" t="s">
        <v>956</v>
      </c>
      <c r="K34" t="s">
        <v>3539</v>
      </c>
      <c r="O34" s="1"/>
      <c r="P34" s="1"/>
      <c r="Q34" s="1"/>
      <c r="R34" s="1"/>
    </row>
    <row r="35" spans="4:18" x14ac:dyDescent="0.35">
      <c r="D35" t="s">
        <v>176</v>
      </c>
      <c r="E35" t="s">
        <v>1081</v>
      </c>
      <c r="F35" t="s">
        <v>956</v>
      </c>
      <c r="G35" t="s">
        <v>1226</v>
      </c>
      <c r="I35" t="s">
        <v>1081</v>
      </c>
      <c r="J35" t="s">
        <v>956</v>
      </c>
      <c r="K35" t="s">
        <v>3541</v>
      </c>
      <c r="O35" s="1"/>
      <c r="P35" s="1"/>
      <c r="Q35" s="1"/>
      <c r="R35" s="1"/>
    </row>
    <row r="36" spans="4:18" x14ac:dyDescent="0.35">
      <c r="D36" t="s">
        <v>1181</v>
      </c>
      <c r="E36" t="s">
        <v>1081</v>
      </c>
      <c r="F36" t="s">
        <v>956</v>
      </c>
      <c r="G36" t="s">
        <v>3541</v>
      </c>
      <c r="I36" t="s">
        <v>1081</v>
      </c>
      <c r="J36" t="s">
        <v>956</v>
      </c>
      <c r="K36" t="s">
        <v>3540</v>
      </c>
      <c r="O36" s="1"/>
      <c r="P36" s="1"/>
      <c r="Q36" s="1"/>
      <c r="R36" s="1"/>
    </row>
    <row r="37" spans="4:18" x14ac:dyDescent="0.35">
      <c r="D37" t="s">
        <v>176</v>
      </c>
      <c r="E37" t="s">
        <v>1081</v>
      </c>
      <c r="F37" t="s">
        <v>956</v>
      </c>
      <c r="G37" t="s">
        <v>1226</v>
      </c>
      <c r="I37" t="s">
        <v>1081</v>
      </c>
      <c r="J37" t="s">
        <v>956</v>
      </c>
      <c r="K37" t="s">
        <v>3118</v>
      </c>
      <c r="O37" s="1"/>
      <c r="P37" s="1"/>
      <c r="Q37" s="1"/>
      <c r="R37" s="1"/>
    </row>
    <row r="38" spans="4:18" x14ac:dyDescent="0.35">
      <c r="D38" t="s">
        <v>1181</v>
      </c>
      <c r="E38" t="s">
        <v>1081</v>
      </c>
      <c r="F38" t="s">
        <v>956</v>
      </c>
      <c r="G38" t="s">
        <v>3118</v>
      </c>
      <c r="I38" t="s">
        <v>1081</v>
      </c>
      <c r="J38" t="s">
        <v>956</v>
      </c>
      <c r="K38" t="s">
        <v>3541</v>
      </c>
      <c r="O38" s="1"/>
      <c r="P38" s="1"/>
      <c r="Q38" s="1"/>
      <c r="R38" s="1"/>
    </row>
    <row r="39" spans="4:18" x14ac:dyDescent="0.35">
      <c r="D39" t="s">
        <v>176</v>
      </c>
      <c r="E39" t="s">
        <v>1081</v>
      </c>
      <c r="F39" t="s">
        <v>956</v>
      </c>
      <c r="G39" t="s">
        <v>1226</v>
      </c>
      <c r="I39" t="s">
        <v>1081</v>
      </c>
      <c r="J39" t="s">
        <v>956</v>
      </c>
      <c r="K39" t="s">
        <v>1346</v>
      </c>
      <c r="O39" s="1"/>
      <c r="P39" s="1"/>
      <c r="Q39" s="1"/>
      <c r="R39" s="1"/>
    </row>
    <row r="40" spans="4:18" x14ac:dyDescent="0.35">
      <c r="D40" t="s">
        <v>1182</v>
      </c>
      <c r="E40" t="s">
        <v>1081</v>
      </c>
      <c r="F40" t="s">
        <v>956</v>
      </c>
      <c r="G40" t="s">
        <v>1346</v>
      </c>
      <c r="I40" t="s">
        <v>1081</v>
      </c>
      <c r="J40" t="s">
        <v>956</v>
      </c>
      <c r="K40" t="s">
        <v>3118</v>
      </c>
      <c r="O40" s="1"/>
      <c r="P40" s="1"/>
      <c r="Q40" s="1"/>
      <c r="R40" s="1"/>
    </row>
    <row r="41" spans="4:18" x14ac:dyDescent="0.35">
      <c r="D41" t="s">
        <v>1182</v>
      </c>
      <c r="E41" t="s">
        <v>1081</v>
      </c>
      <c r="F41" t="s">
        <v>956</v>
      </c>
      <c r="G41" t="s">
        <v>1346</v>
      </c>
      <c r="I41" t="s">
        <v>1081</v>
      </c>
      <c r="J41" t="s">
        <v>956</v>
      </c>
      <c r="K41" t="s">
        <v>3526</v>
      </c>
      <c r="O41" s="1"/>
      <c r="P41" s="1"/>
      <c r="Q41" s="1"/>
      <c r="R41" s="1"/>
    </row>
    <row r="42" spans="4:18" x14ac:dyDescent="0.35">
      <c r="D42" t="s">
        <v>176</v>
      </c>
      <c r="E42" t="s">
        <v>1081</v>
      </c>
      <c r="F42" t="s">
        <v>956</v>
      </c>
      <c r="G42" t="s">
        <v>1226</v>
      </c>
      <c r="I42" t="s">
        <v>1081</v>
      </c>
      <c r="J42" t="s">
        <v>956</v>
      </c>
      <c r="K42" t="s">
        <v>1348</v>
      </c>
      <c r="O42" s="1"/>
      <c r="P42" s="1"/>
      <c r="Q42" s="1"/>
      <c r="R42" s="1"/>
    </row>
    <row r="43" spans="4:18" x14ac:dyDescent="0.35">
      <c r="D43" t="s">
        <v>1181</v>
      </c>
      <c r="E43" t="s">
        <v>1081</v>
      </c>
      <c r="F43" t="s">
        <v>956</v>
      </c>
      <c r="G43" t="s">
        <v>1348</v>
      </c>
      <c r="I43" t="s">
        <v>1081</v>
      </c>
      <c r="J43" t="s">
        <v>956</v>
      </c>
      <c r="K43" t="s">
        <v>1346</v>
      </c>
      <c r="O43" s="1"/>
      <c r="P43" s="1"/>
      <c r="Q43" s="1"/>
      <c r="R43" s="1"/>
    </row>
    <row r="44" spans="4:18" x14ac:dyDescent="0.35">
      <c r="D44" t="s">
        <v>176</v>
      </c>
      <c r="E44" t="s">
        <v>1081</v>
      </c>
      <c r="F44" t="s">
        <v>956</v>
      </c>
      <c r="G44" t="s">
        <v>1226</v>
      </c>
      <c r="I44" t="s">
        <v>1081</v>
      </c>
      <c r="J44" t="s">
        <v>956</v>
      </c>
      <c r="K44" t="s">
        <v>1350</v>
      </c>
      <c r="O44" s="1"/>
      <c r="P44" s="1"/>
      <c r="Q44" s="1"/>
      <c r="R44" s="1"/>
    </row>
    <row r="45" spans="4:18" x14ac:dyDescent="0.35">
      <c r="D45" t="s">
        <v>1181</v>
      </c>
      <c r="E45" t="s">
        <v>1081</v>
      </c>
      <c r="F45" t="s">
        <v>956</v>
      </c>
      <c r="G45" t="s">
        <v>1350</v>
      </c>
      <c r="I45" t="s">
        <v>1081</v>
      </c>
      <c r="J45" t="s">
        <v>956</v>
      </c>
      <c r="K45" t="s">
        <v>1348</v>
      </c>
      <c r="O45" s="1"/>
      <c r="P45" s="1"/>
      <c r="Q45" s="1"/>
      <c r="R45" s="1"/>
    </row>
    <row r="46" spans="4:18" x14ac:dyDescent="0.35">
      <c r="D46" t="s">
        <v>176</v>
      </c>
      <c r="E46" t="s">
        <v>1081</v>
      </c>
      <c r="F46" t="s">
        <v>956</v>
      </c>
      <c r="G46" t="s">
        <v>1226</v>
      </c>
      <c r="I46" t="s">
        <v>1081</v>
      </c>
      <c r="J46" t="s">
        <v>956</v>
      </c>
      <c r="K46" t="s">
        <v>3549</v>
      </c>
      <c r="O46" s="1"/>
      <c r="P46" s="1"/>
      <c r="Q46" s="1"/>
      <c r="R46" s="1"/>
    </row>
    <row r="47" spans="4:18" x14ac:dyDescent="0.35">
      <c r="D47" t="s">
        <v>176</v>
      </c>
      <c r="E47" t="s">
        <v>1081</v>
      </c>
      <c r="F47" t="s">
        <v>956</v>
      </c>
      <c r="G47" t="s">
        <v>1226</v>
      </c>
      <c r="I47" t="s">
        <v>1081</v>
      </c>
      <c r="J47" t="s">
        <v>956</v>
      </c>
      <c r="K47" t="s">
        <v>3550</v>
      </c>
      <c r="O47" s="1"/>
      <c r="P47" s="1"/>
      <c r="Q47" s="1"/>
      <c r="R47" s="1"/>
    </row>
    <row r="48" spans="4:18" x14ac:dyDescent="0.35">
      <c r="D48" t="s">
        <v>1181</v>
      </c>
      <c r="E48" t="s">
        <v>1081</v>
      </c>
      <c r="F48" t="s">
        <v>956</v>
      </c>
      <c r="G48" t="s">
        <v>3550</v>
      </c>
      <c r="I48" t="s">
        <v>1081</v>
      </c>
      <c r="J48" t="s">
        <v>956</v>
      </c>
      <c r="K48" t="s">
        <v>3549</v>
      </c>
      <c r="O48" s="1"/>
      <c r="P48" s="1"/>
      <c r="Q48" s="1"/>
      <c r="R48" s="1"/>
    </row>
    <row r="49" spans="4:18" x14ac:dyDescent="0.35">
      <c r="D49" t="s">
        <v>176</v>
      </c>
      <c r="E49" t="s">
        <v>1081</v>
      </c>
      <c r="F49" t="s">
        <v>956</v>
      </c>
      <c r="G49" t="s">
        <v>1226</v>
      </c>
      <c r="I49" t="s">
        <v>1081</v>
      </c>
      <c r="J49" t="s">
        <v>956</v>
      </c>
      <c r="K49" t="s">
        <v>3551</v>
      </c>
      <c r="O49" s="1"/>
      <c r="P49" s="1"/>
      <c r="Q49" s="1"/>
      <c r="R49" s="1"/>
    </row>
    <row r="50" spans="4:18" x14ac:dyDescent="0.35">
      <c r="D50" t="s">
        <v>1181</v>
      </c>
      <c r="E50" t="s">
        <v>1081</v>
      </c>
      <c r="F50" t="s">
        <v>956</v>
      </c>
      <c r="G50" t="s">
        <v>3551</v>
      </c>
      <c r="I50" t="s">
        <v>1081</v>
      </c>
      <c r="J50" t="s">
        <v>956</v>
      </c>
      <c r="K50" t="s">
        <v>3550</v>
      </c>
      <c r="O50" s="1"/>
      <c r="P50" s="1"/>
      <c r="Q50" s="1"/>
      <c r="R50" s="1"/>
    </row>
    <row r="51" spans="4:18" x14ac:dyDescent="0.35">
      <c r="D51" t="s">
        <v>176</v>
      </c>
      <c r="E51" t="s">
        <v>1081</v>
      </c>
      <c r="F51" t="s">
        <v>956</v>
      </c>
      <c r="G51" t="s">
        <v>1226</v>
      </c>
      <c r="I51" t="s">
        <v>1081</v>
      </c>
      <c r="J51" t="s">
        <v>956</v>
      </c>
      <c r="K51" t="s">
        <v>3552</v>
      </c>
      <c r="O51" s="1"/>
      <c r="P51" s="1"/>
      <c r="Q51" s="1"/>
      <c r="R51" s="1"/>
    </row>
    <row r="52" spans="4:18" x14ac:dyDescent="0.35">
      <c r="D52" t="s">
        <v>1181</v>
      </c>
      <c r="E52" t="s">
        <v>1081</v>
      </c>
      <c r="F52" t="s">
        <v>956</v>
      </c>
      <c r="G52" t="s">
        <v>3552</v>
      </c>
      <c r="I52" t="s">
        <v>1081</v>
      </c>
      <c r="J52" t="s">
        <v>956</v>
      </c>
      <c r="K52" t="s">
        <v>3551</v>
      </c>
      <c r="O52" s="1"/>
      <c r="P52" s="1"/>
      <c r="Q52" s="1"/>
      <c r="R52" s="1"/>
    </row>
    <row r="53" spans="4:18" x14ac:dyDescent="0.35">
      <c r="D53" t="s">
        <v>176</v>
      </c>
      <c r="E53" t="s">
        <v>1081</v>
      </c>
      <c r="F53" t="s">
        <v>956</v>
      </c>
      <c r="G53" t="s">
        <v>1226</v>
      </c>
      <c r="I53" t="s">
        <v>1081</v>
      </c>
      <c r="J53" t="s">
        <v>956</v>
      </c>
      <c r="K53" t="s">
        <v>3553</v>
      </c>
      <c r="O53" s="1"/>
      <c r="P53" s="1"/>
      <c r="Q53" s="1"/>
      <c r="R53" s="1"/>
    </row>
    <row r="54" spans="4:18" x14ac:dyDescent="0.35">
      <c r="D54" t="s">
        <v>1181</v>
      </c>
      <c r="E54" t="s">
        <v>1081</v>
      </c>
      <c r="F54" t="s">
        <v>956</v>
      </c>
      <c r="G54" t="s">
        <v>3553</v>
      </c>
      <c r="I54" t="s">
        <v>1081</v>
      </c>
      <c r="J54" t="s">
        <v>956</v>
      </c>
      <c r="K54" t="s">
        <v>3552</v>
      </c>
      <c r="O54" s="1"/>
      <c r="P54" s="1"/>
      <c r="Q54" s="1"/>
      <c r="R54" s="1"/>
    </row>
    <row r="55" spans="4:18" x14ac:dyDescent="0.35">
      <c r="D55" t="s">
        <v>176</v>
      </c>
      <c r="E55" t="s">
        <v>1081</v>
      </c>
      <c r="F55" t="s">
        <v>956</v>
      </c>
      <c r="G55" t="s">
        <v>1226</v>
      </c>
      <c r="I55" t="s">
        <v>1081</v>
      </c>
      <c r="J55" t="s">
        <v>956</v>
      </c>
      <c r="K55" t="s">
        <v>3554</v>
      </c>
      <c r="O55" s="1"/>
      <c r="P55" s="1"/>
      <c r="Q55" s="1"/>
      <c r="R55" s="1"/>
    </row>
    <row r="56" spans="4:18" x14ac:dyDescent="0.35">
      <c r="D56" t="s">
        <v>1181</v>
      </c>
      <c r="E56" t="s">
        <v>1081</v>
      </c>
      <c r="F56" t="s">
        <v>956</v>
      </c>
      <c r="G56" t="s">
        <v>3554</v>
      </c>
      <c r="I56" t="s">
        <v>1081</v>
      </c>
      <c r="J56" t="s">
        <v>956</v>
      </c>
      <c r="K56" t="s">
        <v>3553</v>
      </c>
      <c r="O56" s="1"/>
      <c r="P56" s="1"/>
      <c r="Q56" s="1"/>
      <c r="R56" s="1"/>
    </row>
    <row r="57" spans="4:18" x14ac:dyDescent="0.35">
      <c r="D57" t="s">
        <v>176</v>
      </c>
      <c r="E57" t="s">
        <v>1081</v>
      </c>
      <c r="F57" t="s">
        <v>956</v>
      </c>
      <c r="G57" t="s">
        <v>1226</v>
      </c>
      <c r="I57" t="s">
        <v>1081</v>
      </c>
      <c r="J57" t="s">
        <v>956</v>
      </c>
      <c r="K57" t="s">
        <v>3555</v>
      </c>
      <c r="O57" s="1"/>
      <c r="P57" s="1"/>
      <c r="Q57" s="1"/>
      <c r="R57" s="1"/>
    </row>
    <row r="58" spans="4:18" x14ac:dyDescent="0.35">
      <c r="D58" t="s">
        <v>1182</v>
      </c>
      <c r="E58" t="s">
        <v>1081</v>
      </c>
      <c r="F58" t="s">
        <v>956</v>
      </c>
      <c r="G58" t="s">
        <v>3555</v>
      </c>
      <c r="I58" t="s">
        <v>1081</v>
      </c>
      <c r="J58" t="s">
        <v>956</v>
      </c>
      <c r="K58" t="s">
        <v>3118</v>
      </c>
      <c r="O58" s="1"/>
      <c r="P58" s="1"/>
      <c r="Q58" s="1"/>
      <c r="R58" s="1"/>
    </row>
    <row r="59" spans="4:18" x14ac:dyDescent="0.35">
      <c r="D59" t="s">
        <v>1182</v>
      </c>
      <c r="E59" t="s">
        <v>1081</v>
      </c>
      <c r="F59" t="s">
        <v>956</v>
      </c>
      <c r="G59" t="s">
        <v>3555</v>
      </c>
      <c r="I59" t="s">
        <v>1081</v>
      </c>
      <c r="J59" t="s">
        <v>956</v>
      </c>
      <c r="K59" t="s">
        <v>3554</v>
      </c>
      <c r="O59" s="1"/>
      <c r="P59" s="1"/>
      <c r="Q59" s="1"/>
      <c r="R59" s="1"/>
    </row>
    <row r="60" spans="4:18" x14ac:dyDescent="0.35">
      <c r="D60" t="s">
        <v>1182</v>
      </c>
      <c r="E60" t="s">
        <v>1081</v>
      </c>
      <c r="F60" t="s">
        <v>956</v>
      </c>
      <c r="G60" t="s">
        <v>3555</v>
      </c>
      <c r="I60" t="s">
        <v>1081</v>
      </c>
      <c r="J60" t="s">
        <v>956</v>
      </c>
      <c r="K60" t="s">
        <v>3568</v>
      </c>
      <c r="O60" s="1"/>
      <c r="P60" s="1"/>
      <c r="Q60" s="1"/>
      <c r="R60" s="1"/>
    </row>
    <row r="61" spans="4:18" x14ac:dyDescent="0.35">
      <c r="D61" t="s">
        <v>176</v>
      </c>
      <c r="E61" t="s">
        <v>1081</v>
      </c>
      <c r="F61" t="s">
        <v>956</v>
      </c>
      <c r="G61" t="s">
        <v>1226</v>
      </c>
      <c r="I61" t="s">
        <v>1081</v>
      </c>
      <c r="J61" t="s">
        <v>956</v>
      </c>
      <c r="K61" t="s">
        <v>3514</v>
      </c>
      <c r="O61" s="1"/>
      <c r="P61" s="1"/>
      <c r="Q61" s="1"/>
      <c r="R61" s="1"/>
    </row>
    <row r="62" spans="4:18" x14ac:dyDescent="0.35">
      <c r="D62" t="s">
        <v>1181</v>
      </c>
      <c r="E62" t="s">
        <v>1081</v>
      </c>
      <c r="F62" t="s">
        <v>956</v>
      </c>
      <c r="G62" t="s">
        <v>3514</v>
      </c>
      <c r="I62" t="s">
        <v>1081</v>
      </c>
      <c r="J62" t="s">
        <v>956</v>
      </c>
      <c r="K62" t="s">
        <v>3555</v>
      </c>
      <c r="O62" s="1"/>
      <c r="P62" s="1"/>
      <c r="Q62" s="1"/>
      <c r="R62" s="1"/>
    </row>
    <row r="63" spans="4:18" x14ac:dyDescent="0.35">
      <c r="D63" t="s">
        <v>176</v>
      </c>
      <c r="E63" t="s">
        <v>1081</v>
      </c>
      <c r="F63" t="s">
        <v>956</v>
      </c>
      <c r="G63" t="s">
        <v>1226</v>
      </c>
      <c r="I63" t="s">
        <v>1081</v>
      </c>
      <c r="J63" t="s">
        <v>956</v>
      </c>
      <c r="K63" t="s">
        <v>3510</v>
      </c>
      <c r="O63" s="1"/>
      <c r="P63" s="1"/>
      <c r="Q63" s="1"/>
      <c r="R63" s="1"/>
    </row>
    <row r="64" spans="4:18" x14ac:dyDescent="0.35">
      <c r="D64" t="s">
        <v>1181</v>
      </c>
      <c r="E64" t="s">
        <v>1081</v>
      </c>
      <c r="F64" t="s">
        <v>956</v>
      </c>
      <c r="G64" t="s">
        <v>3510</v>
      </c>
      <c r="I64" t="s">
        <v>1081</v>
      </c>
      <c r="J64" t="s">
        <v>956</v>
      </c>
      <c r="K64" t="s">
        <v>3514</v>
      </c>
      <c r="O64" s="1"/>
      <c r="P64" s="1"/>
      <c r="Q64" s="1"/>
      <c r="R64" s="1"/>
    </row>
    <row r="65" spans="4:18" x14ac:dyDescent="0.35">
      <c r="D65" t="s">
        <v>176</v>
      </c>
      <c r="E65" t="s">
        <v>1081</v>
      </c>
      <c r="F65" t="s">
        <v>956</v>
      </c>
      <c r="G65" t="s">
        <v>1226</v>
      </c>
      <c r="I65" t="s">
        <v>1081</v>
      </c>
      <c r="J65" t="s">
        <v>956</v>
      </c>
      <c r="K65" t="s">
        <v>3578</v>
      </c>
      <c r="O65" s="1"/>
      <c r="P65" s="1"/>
      <c r="Q65" s="1"/>
      <c r="R65" s="1"/>
    </row>
    <row r="66" spans="4:18" x14ac:dyDescent="0.35">
      <c r="D66" t="s">
        <v>176</v>
      </c>
      <c r="E66" t="s">
        <v>1081</v>
      </c>
      <c r="F66" t="s">
        <v>956</v>
      </c>
      <c r="G66" t="s">
        <v>1226</v>
      </c>
      <c r="I66" t="s">
        <v>1081</v>
      </c>
      <c r="J66" t="s">
        <v>956</v>
      </c>
      <c r="K66" t="s">
        <v>3576</v>
      </c>
      <c r="O66" s="1"/>
      <c r="P66" s="1"/>
      <c r="Q66" s="1"/>
      <c r="R66" s="1"/>
    </row>
    <row r="67" spans="4:18" x14ac:dyDescent="0.35">
      <c r="D67" t="s">
        <v>1181</v>
      </c>
      <c r="E67" t="s">
        <v>1081</v>
      </c>
      <c r="F67" t="s">
        <v>956</v>
      </c>
      <c r="G67" t="s">
        <v>3576</v>
      </c>
      <c r="I67" t="s">
        <v>1081</v>
      </c>
      <c r="J67" t="s">
        <v>956</v>
      </c>
      <c r="K67" t="s">
        <v>3578</v>
      </c>
      <c r="O67" s="1"/>
      <c r="P67" s="1"/>
      <c r="Q67" s="1"/>
      <c r="R67" s="1"/>
    </row>
    <row r="68" spans="4:18" x14ac:dyDescent="0.35">
      <c r="D68" t="s">
        <v>176</v>
      </c>
      <c r="E68" t="s">
        <v>1081</v>
      </c>
      <c r="F68" t="s">
        <v>956</v>
      </c>
      <c r="G68" t="s">
        <v>1226</v>
      </c>
      <c r="I68" t="s">
        <v>1081</v>
      </c>
      <c r="J68" t="s">
        <v>956</v>
      </c>
      <c r="K68" t="s">
        <v>3574</v>
      </c>
      <c r="O68" s="1"/>
      <c r="P68" s="1"/>
      <c r="Q68" s="1"/>
      <c r="R68" s="1"/>
    </row>
    <row r="69" spans="4:18" x14ac:dyDescent="0.35">
      <c r="D69" t="s">
        <v>1181</v>
      </c>
      <c r="E69" t="s">
        <v>1081</v>
      </c>
      <c r="F69" t="s">
        <v>956</v>
      </c>
      <c r="G69" t="s">
        <v>3574</v>
      </c>
      <c r="I69" t="s">
        <v>1081</v>
      </c>
      <c r="J69" t="s">
        <v>956</v>
      </c>
      <c r="K69" t="s">
        <v>3576</v>
      </c>
      <c r="O69" s="1"/>
      <c r="P69" s="1"/>
      <c r="Q69" s="1"/>
      <c r="R69" s="1"/>
    </row>
    <row r="70" spans="4:18" x14ac:dyDescent="0.35">
      <c r="D70" t="s">
        <v>176</v>
      </c>
      <c r="E70" t="s">
        <v>1081</v>
      </c>
      <c r="F70" t="s">
        <v>956</v>
      </c>
      <c r="G70" t="s">
        <v>1226</v>
      </c>
      <c r="I70" t="s">
        <v>1081</v>
      </c>
      <c r="J70" t="s">
        <v>956</v>
      </c>
      <c r="K70" t="s">
        <v>3572</v>
      </c>
      <c r="O70" s="1"/>
      <c r="P70" s="1"/>
      <c r="Q70" s="1"/>
      <c r="R70" s="1"/>
    </row>
    <row r="71" spans="4:18" x14ac:dyDescent="0.35">
      <c r="D71" t="s">
        <v>1181</v>
      </c>
      <c r="E71" t="s">
        <v>1081</v>
      </c>
      <c r="F71" t="s">
        <v>956</v>
      </c>
      <c r="G71" t="s">
        <v>3572</v>
      </c>
      <c r="I71" t="s">
        <v>1081</v>
      </c>
      <c r="J71" t="s">
        <v>956</v>
      </c>
      <c r="K71" t="s">
        <v>3574</v>
      </c>
      <c r="O71" s="1"/>
      <c r="P71" s="1"/>
      <c r="Q71" s="1"/>
      <c r="R71" s="1"/>
    </row>
    <row r="72" spans="4:18" x14ac:dyDescent="0.35">
      <c r="D72" t="s">
        <v>176</v>
      </c>
      <c r="E72" t="s">
        <v>1081</v>
      </c>
      <c r="F72" t="s">
        <v>956</v>
      </c>
      <c r="G72" t="s">
        <v>1226</v>
      </c>
      <c r="I72" t="s">
        <v>1081</v>
      </c>
      <c r="J72" t="s">
        <v>956</v>
      </c>
      <c r="K72" t="s">
        <v>3570</v>
      </c>
      <c r="O72" s="1"/>
      <c r="P72" s="1"/>
      <c r="Q72" s="1"/>
      <c r="R72" s="1"/>
    </row>
    <row r="73" spans="4:18" x14ac:dyDescent="0.35">
      <c r="D73" t="s">
        <v>1181</v>
      </c>
      <c r="E73" t="s">
        <v>1081</v>
      </c>
      <c r="F73" t="s">
        <v>956</v>
      </c>
      <c r="G73" t="s">
        <v>3570</v>
      </c>
      <c r="I73" t="s">
        <v>1081</v>
      </c>
      <c r="J73" t="s">
        <v>956</v>
      </c>
      <c r="K73" t="s">
        <v>3572</v>
      </c>
      <c r="O73" s="1"/>
      <c r="P73" s="1"/>
      <c r="Q73" s="1"/>
      <c r="R73" s="1"/>
    </row>
    <row r="74" spans="4:18" x14ac:dyDescent="0.35">
      <c r="D74" t="s">
        <v>176</v>
      </c>
      <c r="E74" t="s">
        <v>1081</v>
      </c>
      <c r="F74" t="s">
        <v>956</v>
      </c>
      <c r="G74" t="s">
        <v>1226</v>
      </c>
      <c r="I74" t="s">
        <v>1081</v>
      </c>
      <c r="J74" t="s">
        <v>956</v>
      </c>
      <c r="K74" t="s">
        <v>3568</v>
      </c>
      <c r="O74" s="1"/>
      <c r="P74" s="1"/>
      <c r="Q74" s="1"/>
      <c r="R74" s="1"/>
    </row>
    <row r="75" spans="4:18" x14ac:dyDescent="0.35">
      <c r="D75" t="s">
        <v>1181</v>
      </c>
      <c r="E75" t="s">
        <v>1081</v>
      </c>
      <c r="F75" t="s">
        <v>956</v>
      </c>
      <c r="G75" t="s">
        <v>3568</v>
      </c>
      <c r="I75" t="s">
        <v>1081</v>
      </c>
      <c r="J75" t="s">
        <v>956</v>
      </c>
      <c r="K75" t="s">
        <v>3570</v>
      </c>
      <c r="O75" s="1"/>
      <c r="P75" s="1"/>
      <c r="Q75" s="1"/>
      <c r="R75" s="1"/>
    </row>
    <row r="76" spans="4:18" x14ac:dyDescent="0.35">
      <c r="D76" t="s">
        <v>176</v>
      </c>
      <c r="E76" t="s">
        <v>1081</v>
      </c>
      <c r="F76" t="s">
        <v>956</v>
      </c>
      <c r="G76" t="s">
        <v>1226</v>
      </c>
      <c r="I76" t="s">
        <v>1081</v>
      </c>
      <c r="J76" t="s">
        <v>956</v>
      </c>
      <c r="K76" t="s">
        <v>3581</v>
      </c>
      <c r="O76" s="1"/>
      <c r="P76" s="1"/>
      <c r="Q76" s="1"/>
      <c r="R76" s="1"/>
    </row>
    <row r="77" spans="4:18" x14ac:dyDescent="0.35">
      <c r="D77" t="s">
        <v>1182</v>
      </c>
      <c r="E77" t="s">
        <v>1081</v>
      </c>
      <c r="F77" t="s">
        <v>956</v>
      </c>
      <c r="G77" t="s">
        <v>3581</v>
      </c>
      <c r="I77" t="s">
        <v>1081</v>
      </c>
      <c r="J77" t="s">
        <v>956</v>
      </c>
      <c r="K77" t="s">
        <v>3176</v>
      </c>
      <c r="O77" s="1"/>
      <c r="P77" s="1"/>
      <c r="Q77" s="1"/>
      <c r="R77" s="1"/>
    </row>
    <row r="78" spans="4:18" x14ac:dyDescent="0.35">
      <c r="D78" t="s">
        <v>1182</v>
      </c>
      <c r="E78" t="s">
        <v>1081</v>
      </c>
      <c r="F78" t="s">
        <v>956</v>
      </c>
      <c r="G78" t="s">
        <v>3581</v>
      </c>
      <c r="I78" t="s">
        <v>1081</v>
      </c>
      <c r="J78" t="s">
        <v>956</v>
      </c>
      <c r="K78" t="s">
        <v>3599</v>
      </c>
      <c r="O78" s="1"/>
      <c r="P78" s="1"/>
      <c r="Q78" s="1"/>
      <c r="R78" s="1"/>
    </row>
    <row r="79" spans="4:18" x14ac:dyDescent="0.35">
      <c r="D79" t="s">
        <v>176</v>
      </c>
      <c r="E79" t="s">
        <v>1081</v>
      </c>
      <c r="F79" t="s">
        <v>956</v>
      </c>
      <c r="G79" t="s">
        <v>1226</v>
      </c>
      <c r="I79" t="s">
        <v>1081</v>
      </c>
      <c r="J79" t="s">
        <v>956</v>
      </c>
      <c r="K79" t="s">
        <v>3584</v>
      </c>
      <c r="O79" s="1"/>
      <c r="P79" s="1"/>
      <c r="Q79" s="1"/>
      <c r="R79" s="1"/>
    </row>
    <row r="80" spans="4:18" x14ac:dyDescent="0.35">
      <c r="D80" t="s">
        <v>1181</v>
      </c>
      <c r="E80" t="s">
        <v>1081</v>
      </c>
      <c r="F80" t="s">
        <v>956</v>
      </c>
      <c r="G80" t="s">
        <v>3584</v>
      </c>
      <c r="I80" t="s">
        <v>1081</v>
      </c>
      <c r="J80" t="s">
        <v>956</v>
      </c>
      <c r="K80" t="s">
        <v>3581</v>
      </c>
      <c r="O80" s="1"/>
      <c r="P80" s="1"/>
      <c r="Q80" s="1"/>
      <c r="R80" s="1"/>
    </row>
    <row r="81" spans="4:18" x14ac:dyDescent="0.35">
      <c r="D81" t="s">
        <v>176</v>
      </c>
      <c r="E81" t="s">
        <v>1081</v>
      </c>
      <c r="F81" t="s">
        <v>956</v>
      </c>
      <c r="G81" t="s">
        <v>1226</v>
      </c>
      <c r="I81" t="s">
        <v>1081</v>
      </c>
      <c r="J81" t="s">
        <v>956</v>
      </c>
      <c r="K81" t="s">
        <v>3587</v>
      </c>
      <c r="O81" s="1"/>
      <c r="P81" s="1"/>
      <c r="Q81" s="1"/>
      <c r="R81" s="1"/>
    </row>
    <row r="82" spans="4:18" x14ac:dyDescent="0.35">
      <c r="D82" t="s">
        <v>176</v>
      </c>
      <c r="E82" t="s">
        <v>1081</v>
      </c>
      <c r="F82" t="s">
        <v>956</v>
      </c>
      <c r="G82" t="s">
        <v>1226</v>
      </c>
      <c r="I82" t="s">
        <v>1081</v>
      </c>
      <c r="J82" t="s">
        <v>956</v>
      </c>
      <c r="K82" t="s">
        <v>3588</v>
      </c>
      <c r="O82" s="1"/>
      <c r="P82" s="1"/>
      <c r="Q82" s="1"/>
      <c r="R82" s="1"/>
    </row>
    <row r="83" spans="4:18" x14ac:dyDescent="0.35">
      <c r="D83" t="s">
        <v>1181</v>
      </c>
      <c r="E83" t="s">
        <v>1081</v>
      </c>
      <c r="F83" t="s">
        <v>956</v>
      </c>
      <c r="G83" t="s">
        <v>3588</v>
      </c>
      <c r="I83" t="s">
        <v>1081</v>
      </c>
      <c r="J83" t="s">
        <v>956</v>
      </c>
      <c r="K83" t="s">
        <v>3587</v>
      </c>
      <c r="O83" s="1"/>
      <c r="P83" s="1"/>
      <c r="Q83" s="1"/>
      <c r="R83" s="1"/>
    </row>
    <row r="84" spans="4:18" x14ac:dyDescent="0.35">
      <c r="D84" t="s">
        <v>176</v>
      </c>
      <c r="E84" t="s">
        <v>1081</v>
      </c>
      <c r="F84" t="s">
        <v>956</v>
      </c>
      <c r="G84" t="s">
        <v>1226</v>
      </c>
      <c r="I84" t="s">
        <v>1081</v>
      </c>
      <c r="J84" t="s">
        <v>956</v>
      </c>
      <c r="K84" t="s">
        <v>3591</v>
      </c>
      <c r="O84" s="1"/>
      <c r="P84" s="1"/>
      <c r="Q84" s="1"/>
      <c r="R84" s="1"/>
    </row>
    <row r="85" spans="4:18" x14ac:dyDescent="0.35">
      <c r="D85" t="s">
        <v>1181</v>
      </c>
      <c r="E85" t="s">
        <v>1081</v>
      </c>
      <c r="F85" t="s">
        <v>956</v>
      </c>
      <c r="G85" t="s">
        <v>3591</v>
      </c>
      <c r="I85" t="s">
        <v>1081</v>
      </c>
      <c r="J85" t="s">
        <v>956</v>
      </c>
      <c r="K85" t="s">
        <v>3588</v>
      </c>
      <c r="O85" s="1"/>
      <c r="P85" s="1"/>
      <c r="Q85" s="1"/>
      <c r="R85" s="1"/>
    </row>
    <row r="86" spans="4:18" x14ac:dyDescent="0.35">
      <c r="D86" t="s">
        <v>176</v>
      </c>
      <c r="E86" t="s">
        <v>1081</v>
      </c>
      <c r="F86" t="s">
        <v>956</v>
      </c>
      <c r="G86" t="s">
        <v>1226</v>
      </c>
      <c r="I86" t="s">
        <v>1081</v>
      </c>
      <c r="J86" t="s">
        <v>956</v>
      </c>
      <c r="K86" t="s">
        <v>3593</v>
      </c>
      <c r="O86" s="1"/>
      <c r="P86" s="1"/>
      <c r="Q86" s="1"/>
      <c r="R86" s="1"/>
    </row>
    <row r="87" spans="4:18" x14ac:dyDescent="0.35">
      <c r="D87" t="s">
        <v>1181</v>
      </c>
      <c r="E87" t="s">
        <v>1081</v>
      </c>
      <c r="F87" t="s">
        <v>956</v>
      </c>
      <c r="G87" t="s">
        <v>3593</v>
      </c>
      <c r="I87" t="s">
        <v>1081</v>
      </c>
      <c r="J87" t="s">
        <v>956</v>
      </c>
      <c r="K87" t="s">
        <v>3591</v>
      </c>
      <c r="O87" s="1"/>
      <c r="P87" s="1"/>
      <c r="Q87" s="1"/>
      <c r="R87" s="1"/>
    </row>
    <row r="88" spans="4:18" x14ac:dyDescent="0.35">
      <c r="D88" t="s">
        <v>176</v>
      </c>
      <c r="E88" t="s">
        <v>1081</v>
      </c>
      <c r="F88" t="s">
        <v>956</v>
      </c>
      <c r="G88" t="s">
        <v>1226</v>
      </c>
      <c r="I88" t="s">
        <v>1081</v>
      </c>
      <c r="J88" t="s">
        <v>956</v>
      </c>
      <c r="K88" t="s">
        <v>3595</v>
      </c>
      <c r="O88" s="1"/>
      <c r="P88" s="1"/>
      <c r="Q88" s="1"/>
      <c r="R88" s="1"/>
    </row>
    <row r="89" spans="4:18" x14ac:dyDescent="0.35">
      <c r="D89" t="s">
        <v>1181</v>
      </c>
      <c r="E89" t="s">
        <v>1081</v>
      </c>
      <c r="F89" t="s">
        <v>956</v>
      </c>
      <c r="G89" t="s">
        <v>3595</v>
      </c>
      <c r="I89" t="s">
        <v>1081</v>
      </c>
      <c r="J89" t="s">
        <v>956</v>
      </c>
      <c r="K89" t="s">
        <v>3593</v>
      </c>
      <c r="O89" s="1"/>
      <c r="P89" s="1"/>
      <c r="Q89" s="1"/>
      <c r="R89" s="1"/>
    </row>
    <row r="90" spans="4:18" x14ac:dyDescent="0.35">
      <c r="D90" t="s">
        <v>176</v>
      </c>
      <c r="E90" t="s">
        <v>1081</v>
      </c>
      <c r="F90" t="s">
        <v>956</v>
      </c>
      <c r="G90" t="s">
        <v>1226</v>
      </c>
      <c r="I90" t="s">
        <v>1081</v>
      </c>
      <c r="J90" t="s">
        <v>956</v>
      </c>
      <c r="K90" t="s">
        <v>3597</v>
      </c>
      <c r="O90" s="1"/>
      <c r="P90" s="1"/>
      <c r="Q90" s="1"/>
      <c r="R90" s="1"/>
    </row>
    <row r="91" spans="4:18" x14ac:dyDescent="0.35">
      <c r="D91" t="s">
        <v>1181</v>
      </c>
      <c r="E91" t="s">
        <v>1081</v>
      </c>
      <c r="F91" t="s">
        <v>956</v>
      </c>
      <c r="G91" t="s">
        <v>3597</v>
      </c>
      <c r="I91" t="s">
        <v>1081</v>
      </c>
      <c r="J91" t="s">
        <v>956</v>
      </c>
      <c r="K91" t="s">
        <v>3595</v>
      </c>
      <c r="O91" s="1"/>
      <c r="P91" s="1"/>
      <c r="Q91" s="1"/>
      <c r="R91" s="1"/>
    </row>
    <row r="92" spans="4:18" x14ac:dyDescent="0.35">
      <c r="D92" t="s">
        <v>176</v>
      </c>
      <c r="E92" t="s">
        <v>1081</v>
      </c>
      <c r="F92" t="s">
        <v>956</v>
      </c>
      <c r="G92" t="s">
        <v>1226</v>
      </c>
      <c r="I92" t="s">
        <v>1081</v>
      </c>
      <c r="J92" t="s">
        <v>956</v>
      </c>
      <c r="K92" t="s">
        <v>3599</v>
      </c>
      <c r="O92" s="1"/>
      <c r="P92" s="1"/>
      <c r="Q92" s="1"/>
      <c r="R92" s="1"/>
    </row>
    <row r="93" spans="4:18" x14ac:dyDescent="0.35">
      <c r="D93" t="s">
        <v>1181</v>
      </c>
      <c r="E93" t="s">
        <v>1081</v>
      </c>
      <c r="F93" t="s">
        <v>956</v>
      </c>
      <c r="G93" t="s">
        <v>3599</v>
      </c>
      <c r="I93" t="s">
        <v>1081</v>
      </c>
      <c r="J93" t="s">
        <v>956</v>
      </c>
      <c r="K93" t="s">
        <v>3597</v>
      </c>
      <c r="O93" s="1"/>
      <c r="P93" s="1"/>
      <c r="Q93" s="1"/>
      <c r="R93" s="1"/>
    </row>
    <row r="94" spans="4:18" x14ac:dyDescent="0.35">
      <c r="D94" t="s">
        <v>176</v>
      </c>
      <c r="E94" t="s">
        <v>1081</v>
      </c>
      <c r="F94" t="s">
        <v>956</v>
      </c>
      <c r="G94" t="s">
        <v>1226</v>
      </c>
      <c r="I94" t="s">
        <v>1081</v>
      </c>
      <c r="J94" t="s">
        <v>956</v>
      </c>
      <c r="K94" t="s">
        <v>3601</v>
      </c>
      <c r="O94" s="1"/>
      <c r="P94" s="1"/>
      <c r="Q94" s="1"/>
      <c r="R94" s="1"/>
    </row>
    <row r="95" spans="4:18" x14ac:dyDescent="0.35">
      <c r="D95" t="s">
        <v>1182</v>
      </c>
      <c r="E95" t="s">
        <v>1081</v>
      </c>
      <c r="F95" t="s">
        <v>956</v>
      </c>
      <c r="G95" t="s">
        <v>3601</v>
      </c>
      <c r="I95" t="s">
        <v>1081</v>
      </c>
      <c r="J95" t="s">
        <v>956</v>
      </c>
      <c r="K95" t="s">
        <v>3599</v>
      </c>
      <c r="O95" s="1"/>
      <c r="P95" s="1"/>
      <c r="Q95" s="1"/>
      <c r="R95" s="1"/>
    </row>
    <row r="96" spans="4:18" x14ac:dyDescent="0.35">
      <c r="D96" t="s">
        <v>176</v>
      </c>
      <c r="E96" t="s">
        <v>1081</v>
      </c>
      <c r="F96" t="s">
        <v>956</v>
      </c>
      <c r="G96" t="s">
        <v>1226</v>
      </c>
      <c r="I96" t="s">
        <v>1081</v>
      </c>
      <c r="J96" t="s">
        <v>956</v>
      </c>
      <c r="K96" t="s">
        <v>3604</v>
      </c>
      <c r="O96" s="1"/>
      <c r="P96" s="1"/>
      <c r="Q96" s="1"/>
      <c r="R96" s="1"/>
    </row>
    <row r="97" spans="4:18" x14ac:dyDescent="0.35">
      <c r="D97" t="s">
        <v>1181</v>
      </c>
      <c r="E97" t="s">
        <v>1081</v>
      </c>
      <c r="F97" t="s">
        <v>956</v>
      </c>
      <c r="G97" t="s">
        <v>3604</v>
      </c>
      <c r="I97" t="s">
        <v>1081</v>
      </c>
      <c r="J97" t="s">
        <v>956</v>
      </c>
      <c r="K97" t="s">
        <v>3601</v>
      </c>
      <c r="O97" s="1"/>
      <c r="P97" s="1"/>
      <c r="Q97" s="1"/>
      <c r="R97" s="1"/>
    </row>
    <row r="98" spans="4:18" x14ac:dyDescent="0.35">
      <c r="D98" t="s">
        <v>176</v>
      </c>
      <c r="E98" t="s">
        <v>1081</v>
      </c>
      <c r="F98" t="s">
        <v>956</v>
      </c>
      <c r="G98" t="s">
        <v>1226</v>
      </c>
      <c r="I98" t="s">
        <v>1081</v>
      </c>
      <c r="J98" t="s">
        <v>956</v>
      </c>
      <c r="K98" t="s">
        <v>3534</v>
      </c>
      <c r="O98" s="1"/>
      <c r="P98" s="1"/>
      <c r="Q98" s="1"/>
      <c r="R98" s="1"/>
    </row>
    <row r="99" spans="4:18" x14ac:dyDescent="0.35">
      <c r="D99" t="s">
        <v>1182</v>
      </c>
      <c r="E99" t="s">
        <v>1081</v>
      </c>
      <c r="F99" t="s">
        <v>956</v>
      </c>
      <c r="G99" t="s">
        <v>3534</v>
      </c>
      <c r="I99" t="s">
        <v>1081</v>
      </c>
      <c r="J99" t="s">
        <v>956</v>
      </c>
      <c r="K99" t="s">
        <v>3537</v>
      </c>
      <c r="O99" s="1"/>
      <c r="P99" s="1"/>
      <c r="Q99" s="1"/>
      <c r="R99" s="1"/>
    </row>
    <row r="100" spans="4:18" x14ac:dyDescent="0.35">
      <c r="D100" t="s">
        <v>176</v>
      </c>
      <c r="E100" t="s">
        <v>1081</v>
      </c>
      <c r="F100" t="s">
        <v>956</v>
      </c>
      <c r="G100" t="s">
        <v>1226</v>
      </c>
      <c r="I100" t="s">
        <v>1081</v>
      </c>
      <c r="J100" t="s">
        <v>956</v>
      </c>
      <c r="K100" t="s">
        <v>3532</v>
      </c>
      <c r="O100" s="1"/>
      <c r="P100" s="1"/>
      <c r="Q100" s="1"/>
      <c r="R100" s="1"/>
    </row>
    <row r="101" spans="4:18" x14ac:dyDescent="0.35">
      <c r="D101" t="s">
        <v>1181</v>
      </c>
      <c r="E101" t="s">
        <v>1081</v>
      </c>
      <c r="F101" t="s">
        <v>956</v>
      </c>
      <c r="G101" t="s">
        <v>3532</v>
      </c>
      <c r="I101" t="s">
        <v>1081</v>
      </c>
      <c r="J101" t="s">
        <v>956</v>
      </c>
      <c r="K101" t="s">
        <v>3534</v>
      </c>
      <c r="O101" s="1"/>
      <c r="P101" s="1"/>
      <c r="Q101" s="1"/>
      <c r="R101" s="1"/>
    </row>
    <row r="102" spans="4:18" x14ac:dyDescent="0.35">
      <c r="D102" t="s">
        <v>176</v>
      </c>
      <c r="E102" t="s">
        <v>1081</v>
      </c>
      <c r="F102" t="s">
        <v>956</v>
      </c>
      <c r="G102" t="s">
        <v>1226</v>
      </c>
      <c r="I102" t="s">
        <v>1081</v>
      </c>
      <c r="J102" t="s">
        <v>956</v>
      </c>
      <c r="K102" t="s">
        <v>3530</v>
      </c>
      <c r="O102" s="1"/>
      <c r="P102" s="1"/>
      <c r="Q102" s="1"/>
      <c r="R102" s="1"/>
    </row>
    <row r="103" spans="4:18" x14ac:dyDescent="0.35">
      <c r="D103" t="s">
        <v>1181</v>
      </c>
      <c r="E103" t="s">
        <v>1081</v>
      </c>
      <c r="F103" t="s">
        <v>956</v>
      </c>
      <c r="G103" t="s">
        <v>3530</v>
      </c>
      <c r="I103" t="s">
        <v>1081</v>
      </c>
      <c r="J103" t="s">
        <v>956</v>
      </c>
      <c r="K103" t="s">
        <v>3532</v>
      </c>
      <c r="O103" s="1"/>
      <c r="P103" s="1"/>
      <c r="Q103" s="1"/>
      <c r="R103" s="1"/>
    </row>
    <row r="104" spans="4:18" x14ac:dyDescent="0.35">
      <c r="D104" t="s">
        <v>176</v>
      </c>
      <c r="E104" t="s">
        <v>1081</v>
      </c>
      <c r="F104" t="s">
        <v>956</v>
      </c>
      <c r="G104" t="s">
        <v>1226</v>
      </c>
      <c r="I104" t="s">
        <v>1081</v>
      </c>
      <c r="J104" t="s">
        <v>956</v>
      </c>
      <c r="K104" t="s">
        <v>3528</v>
      </c>
      <c r="O104" s="1"/>
      <c r="P104" s="1"/>
      <c r="Q104" s="1"/>
      <c r="R104" s="1"/>
    </row>
    <row r="105" spans="4:18" x14ac:dyDescent="0.35">
      <c r="D105" t="s">
        <v>1181</v>
      </c>
      <c r="E105" t="s">
        <v>1081</v>
      </c>
      <c r="F105" t="s">
        <v>956</v>
      </c>
      <c r="G105" t="s">
        <v>3528</v>
      </c>
      <c r="I105" t="s">
        <v>1081</v>
      </c>
      <c r="J105" t="s">
        <v>956</v>
      </c>
      <c r="K105" t="s">
        <v>3530</v>
      </c>
      <c r="O105" s="1"/>
      <c r="P105" s="1"/>
      <c r="Q105" s="1"/>
      <c r="R105" s="1"/>
    </row>
    <row r="106" spans="4:18" x14ac:dyDescent="0.35">
      <c r="D106" t="s">
        <v>176</v>
      </c>
      <c r="E106" t="s">
        <v>1081</v>
      </c>
      <c r="F106" t="s">
        <v>956</v>
      </c>
      <c r="G106" t="s">
        <v>1226</v>
      </c>
      <c r="I106" t="s">
        <v>1081</v>
      </c>
      <c r="J106" t="s">
        <v>956</v>
      </c>
      <c r="K106" t="s">
        <v>3526</v>
      </c>
      <c r="O106" s="1"/>
      <c r="P106" s="1"/>
      <c r="Q106" s="1"/>
      <c r="R106" s="1"/>
    </row>
    <row r="107" spans="4:18" x14ac:dyDescent="0.35">
      <c r="D107" t="s">
        <v>1181</v>
      </c>
      <c r="E107" t="s">
        <v>1081</v>
      </c>
      <c r="F107" t="s">
        <v>956</v>
      </c>
      <c r="G107" t="s">
        <v>3526</v>
      </c>
      <c r="I107" t="s">
        <v>1081</v>
      </c>
      <c r="J107" t="s">
        <v>956</v>
      </c>
      <c r="K107" t="s">
        <v>3528</v>
      </c>
      <c r="O107" s="1"/>
      <c r="P107" s="1"/>
      <c r="Q107" s="1"/>
      <c r="R107" s="1"/>
    </row>
    <row r="108" spans="4:18" x14ac:dyDescent="0.35">
      <c r="D108" t="s">
        <v>176</v>
      </c>
      <c r="E108" t="s">
        <v>1081</v>
      </c>
      <c r="F108" t="s">
        <v>956</v>
      </c>
      <c r="G108" t="s">
        <v>1226</v>
      </c>
      <c r="I108" t="s">
        <v>1081</v>
      </c>
      <c r="J108" t="s">
        <v>956</v>
      </c>
      <c r="K108" t="s">
        <v>3496</v>
      </c>
      <c r="O108" s="1"/>
      <c r="P108" s="1"/>
      <c r="Q108" s="1"/>
      <c r="R108" s="1"/>
    </row>
    <row r="109" spans="4:18" x14ac:dyDescent="0.35">
      <c r="D109" t="s">
        <v>176</v>
      </c>
      <c r="E109" t="s">
        <v>1081</v>
      </c>
      <c r="F109" t="s">
        <v>956</v>
      </c>
      <c r="G109" t="s">
        <v>1226</v>
      </c>
      <c r="I109" t="s">
        <v>1081</v>
      </c>
      <c r="J109" t="s">
        <v>956</v>
      </c>
      <c r="K109" t="s">
        <v>1342</v>
      </c>
      <c r="O109" s="1"/>
      <c r="P109" s="1"/>
      <c r="Q109" s="1"/>
      <c r="R109" s="1"/>
    </row>
    <row r="110" spans="4:18" x14ac:dyDescent="0.35">
      <c r="D110" t="s">
        <v>1181</v>
      </c>
      <c r="E110" t="s">
        <v>1081</v>
      </c>
      <c r="F110" t="s">
        <v>956</v>
      </c>
      <c r="G110" t="s">
        <v>1342</v>
      </c>
      <c r="I110" t="s">
        <v>1081</v>
      </c>
      <c r="J110" t="s">
        <v>956</v>
      </c>
      <c r="K110" t="s">
        <v>3496</v>
      </c>
      <c r="O110" s="1"/>
      <c r="P110" s="1"/>
      <c r="Q110" s="1"/>
      <c r="R110" s="1"/>
    </row>
    <row r="111" spans="4:18" x14ac:dyDescent="0.35">
      <c r="D111" t="s">
        <v>176</v>
      </c>
      <c r="E111" t="s">
        <v>1081</v>
      </c>
      <c r="F111" t="s">
        <v>956</v>
      </c>
      <c r="G111" t="s">
        <v>1226</v>
      </c>
      <c r="I111" t="s">
        <v>1081</v>
      </c>
      <c r="J111" t="s">
        <v>956</v>
      </c>
      <c r="K111" t="s">
        <v>1343</v>
      </c>
      <c r="O111" s="1"/>
      <c r="P111" s="1"/>
      <c r="Q111" s="1"/>
      <c r="R111" s="1"/>
    </row>
    <row r="112" spans="4:18" x14ac:dyDescent="0.35">
      <c r="D112" t="s">
        <v>1181</v>
      </c>
      <c r="E112" t="s">
        <v>1081</v>
      </c>
      <c r="F112" t="s">
        <v>956</v>
      </c>
      <c r="G112" t="s">
        <v>1343</v>
      </c>
      <c r="I112" t="s">
        <v>1081</v>
      </c>
      <c r="J112" t="s">
        <v>956</v>
      </c>
      <c r="K112" t="s">
        <v>1342</v>
      </c>
      <c r="O112" s="1"/>
      <c r="P112" s="1"/>
      <c r="Q112" s="1"/>
      <c r="R112" s="1"/>
    </row>
    <row r="113" spans="4:18" x14ac:dyDescent="0.35">
      <c r="D113" t="s">
        <v>176</v>
      </c>
      <c r="E113" t="s">
        <v>1081</v>
      </c>
      <c r="F113" t="s">
        <v>956</v>
      </c>
      <c r="G113" t="s">
        <v>1226</v>
      </c>
      <c r="I113" t="s">
        <v>1081</v>
      </c>
      <c r="J113" t="s">
        <v>956</v>
      </c>
      <c r="K113" t="s">
        <v>3499</v>
      </c>
      <c r="O113" s="1"/>
      <c r="P113" s="1"/>
      <c r="Q113" s="1"/>
      <c r="R113" s="1"/>
    </row>
    <row r="114" spans="4:18" x14ac:dyDescent="0.35">
      <c r="D114" t="s">
        <v>1181</v>
      </c>
      <c r="E114" t="s">
        <v>1081</v>
      </c>
      <c r="F114" t="s">
        <v>956</v>
      </c>
      <c r="G114" t="s">
        <v>3499</v>
      </c>
      <c r="I114" t="s">
        <v>1081</v>
      </c>
      <c r="J114" t="s">
        <v>956</v>
      </c>
      <c r="K114" t="s">
        <v>1343</v>
      </c>
      <c r="O114" s="1"/>
      <c r="P114" s="1"/>
      <c r="Q114" s="1"/>
      <c r="R114" s="1"/>
    </row>
    <row r="115" spans="4:18" x14ac:dyDescent="0.35">
      <c r="D115" t="s">
        <v>176</v>
      </c>
      <c r="E115" t="s">
        <v>1081</v>
      </c>
      <c r="F115" t="s">
        <v>956</v>
      </c>
      <c r="G115" t="s">
        <v>1226</v>
      </c>
      <c r="I115" t="s">
        <v>1081</v>
      </c>
      <c r="J115" t="s">
        <v>956</v>
      </c>
      <c r="K115" t="s">
        <v>1344</v>
      </c>
      <c r="O115" s="1"/>
      <c r="P115" s="1"/>
      <c r="Q115" s="1"/>
      <c r="R115" s="1"/>
    </row>
    <row r="116" spans="4:18" x14ac:dyDescent="0.35">
      <c r="D116" t="s">
        <v>1182</v>
      </c>
      <c r="E116" t="s">
        <v>1081</v>
      </c>
      <c r="F116" t="s">
        <v>956</v>
      </c>
      <c r="G116" t="s">
        <v>1344</v>
      </c>
      <c r="I116" t="s">
        <v>1081</v>
      </c>
      <c r="J116" t="s">
        <v>956</v>
      </c>
      <c r="K116" t="s">
        <v>3499</v>
      </c>
      <c r="O116" s="1"/>
      <c r="P116" s="1"/>
      <c r="Q116" s="1"/>
      <c r="R116" s="1"/>
    </row>
    <row r="117" spans="4:18" x14ac:dyDescent="0.35">
      <c r="D117" t="s">
        <v>176</v>
      </c>
      <c r="E117" t="s">
        <v>1081</v>
      </c>
      <c r="F117" t="s">
        <v>956</v>
      </c>
      <c r="G117" t="s">
        <v>1226</v>
      </c>
      <c r="I117" t="s">
        <v>1081</v>
      </c>
      <c r="J117" t="s">
        <v>956</v>
      </c>
      <c r="K117" t="s">
        <v>3501</v>
      </c>
      <c r="O117" s="1"/>
      <c r="P117" s="1"/>
      <c r="Q117" s="1"/>
      <c r="R117" s="1"/>
    </row>
    <row r="118" spans="4:18" x14ac:dyDescent="0.35">
      <c r="D118" t="s">
        <v>1181</v>
      </c>
      <c r="E118" t="s">
        <v>1081</v>
      </c>
      <c r="F118" t="s">
        <v>956</v>
      </c>
      <c r="G118" t="s">
        <v>3501</v>
      </c>
      <c r="I118" t="s">
        <v>1081</v>
      </c>
      <c r="J118" t="s">
        <v>956</v>
      </c>
      <c r="K118" t="s">
        <v>1344</v>
      </c>
      <c r="O118" s="1"/>
      <c r="P118" s="1"/>
      <c r="Q118" s="1"/>
      <c r="R118" s="1"/>
    </row>
    <row r="119" spans="4:18" x14ac:dyDescent="0.35">
      <c r="D119" t="s">
        <v>176</v>
      </c>
      <c r="E119" t="s">
        <v>1081</v>
      </c>
      <c r="F119" t="s">
        <v>956</v>
      </c>
      <c r="G119" t="s">
        <v>1226</v>
      </c>
      <c r="I119" t="s">
        <v>1081</v>
      </c>
      <c r="J119" t="s">
        <v>956</v>
      </c>
      <c r="K119" t="s">
        <v>3502</v>
      </c>
      <c r="O119" s="1"/>
      <c r="P119" s="1"/>
      <c r="Q119" s="1"/>
      <c r="R119" s="1"/>
    </row>
    <row r="120" spans="4:18" x14ac:dyDescent="0.35">
      <c r="D120" t="s">
        <v>1181</v>
      </c>
      <c r="E120" t="s">
        <v>1081</v>
      </c>
      <c r="F120" t="s">
        <v>956</v>
      </c>
      <c r="G120" t="s">
        <v>3502</v>
      </c>
      <c r="I120" t="s">
        <v>1081</v>
      </c>
      <c r="J120" t="s">
        <v>956</v>
      </c>
      <c r="K120" t="s">
        <v>3501</v>
      </c>
      <c r="O120" s="1"/>
      <c r="P120" s="1"/>
      <c r="Q120" s="1"/>
      <c r="R120" s="1"/>
    </row>
    <row r="121" spans="4:18" x14ac:dyDescent="0.35">
      <c r="D121" t="s">
        <v>176</v>
      </c>
      <c r="E121" t="s">
        <v>1081</v>
      </c>
      <c r="F121" t="s">
        <v>956</v>
      </c>
      <c r="G121" t="s">
        <v>1226</v>
      </c>
      <c r="I121" t="s">
        <v>1081</v>
      </c>
      <c r="J121" t="s">
        <v>956</v>
      </c>
      <c r="K121" t="s">
        <v>3505</v>
      </c>
      <c r="O121" s="1"/>
      <c r="P121" s="1"/>
      <c r="Q121" s="1"/>
      <c r="R121" s="1"/>
    </row>
    <row r="122" spans="4:18" x14ac:dyDescent="0.35">
      <c r="D122" t="s">
        <v>1181</v>
      </c>
      <c r="E122" t="s">
        <v>1081</v>
      </c>
      <c r="F122" t="s">
        <v>956</v>
      </c>
      <c r="G122" t="s">
        <v>3505</v>
      </c>
      <c r="I122" t="s">
        <v>1081</v>
      </c>
      <c r="J122" t="s">
        <v>956</v>
      </c>
      <c r="K122" t="s">
        <v>3502</v>
      </c>
      <c r="O122" s="1"/>
      <c r="P122" s="1"/>
      <c r="Q122" s="1"/>
      <c r="R122" s="1"/>
    </row>
    <row r="123" spans="4:18" x14ac:dyDescent="0.35">
      <c r="F123"/>
      <c r="O123" s="1"/>
      <c r="P123" s="1"/>
      <c r="Q123" s="1"/>
      <c r="R123" s="1"/>
    </row>
    <row r="124" spans="4:18" x14ac:dyDescent="0.35">
      <c r="D124" t="s">
        <v>176</v>
      </c>
      <c r="E124" t="s">
        <v>1081</v>
      </c>
      <c r="F124" t="s">
        <v>956</v>
      </c>
      <c r="G124" t="s">
        <v>406</v>
      </c>
      <c r="I124" t="s">
        <v>1081</v>
      </c>
      <c r="J124" t="s">
        <v>956</v>
      </c>
      <c r="K124" t="s">
        <v>891</v>
      </c>
      <c r="O124" s="1"/>
      <c r="P124" s="1"/>
      <c r="Q124" s="1"/>
      <c r="R124" s="1"/>
    </row>
    <row r="125" spans="4:18" x14ac:dyDescent="0.35">
      <c r="D125" t="s">
        <v>1182</v>
      </c>
      <c r="E125" t="s">
        <v>1081</v>
      </c>
      <c r="F125" t="s">
        <v>956</v>
      </c>
      <c r="G125" t="s">
        <v>891</v>
      </c>
      <c r="I125" t="s">
        <v>1081</v>
      </c>
      <c r="J125" t="s">
        <v>956</v>
      </c>
      <c r="K125" t="s">
        <v>1226</v>
      </c>
      <c r="O125" s="1"/>
      <c r="P125" s="1"/>
      <c r="Q125" s="1"/>
      <c r="R125" s="1"/>
    </row>
    <row r="126" spans="4:18" x14ac:dyDescent="0.35">
      <c r="D126" t="s">
        <v>176</v>
      </c>
      <c r="E126" t="s">
        <v>1081</v>
      </c>
      <c r="F126" t="s">
        <v>956</v>
      </c>
      <c r="G126" t="s">
        <v>891</v>
      </c>
      <c r="I126" t="s">
        <v>1081</v>
      </c>
      <c r="J126" t="s">
        <v>956</v>
      </c>
      <c r="K126" t="s">
        <v>3616</v>
      </c>
      <c r="O126" s="1"/>
      <c r="P126" s="1"/>
      <c r="Q126" s="1"/>
      <c r="R126" s="1"/>
    </row>
    <row r="127" spans="4:18" x14ac:dyDescent="0.35">
      <c r="D127" t="s">
        <v>176</v>
      </c>
      <c r="E127" t="s">
        <v>1081</v>
      </c>
      <c r="F127" t="s">
        <v>956</v>
      </c>
      <c r="G127" t="s">
        <v>891</v>
      </c>
      <c r="I127" t="s">
        <v>1081</v>
      </c>
      <c r="J127" t="s">
        <v>956</v>
      </c>
      <c r="K127" t="s">
        <v>3619</v>
      </c>
      <c r="O127" s="1"/>
      <c r="P127" s="1"/>
      <c r="Q127" s="1"/>
      <c r="R127" s="1"/>
    </row>
    <row r="128" spans="4:18" x14ac:dyDescent="0.35">
      <c r="D128" t="s">
        <v>1181</v>
      </c>
      <c r="E128" t="s">
        <v>1081</v>
      </c>
      <c r="F128" t="s">
        <v>956</v>
      </c>
      <c r="G128" t="s">
        <v>3619</v>
      </c>
      <c r="I128" t="s">
        <v>1081</v>
      </c>
      <c r="J128" t="s">
        <v>956</v>
      </c>
      <c r="K128" t="s">
        <v>3616</v>
      </c>
      <c r="O128" s="1"/>
      <c r="P128" s="1"/>
      <c r="Q128" s="1"/>
      <c r="R128" s="1"/>
    </row>
    <row r="129" spans="4:18" x14ac:dyDescent="0.35">
      <c r="D129" t="s">
        <v>176</v>
      </c>
      <c r="E129" t="s">
        <v>1081</v>
      </c>
      <c r="F129" t="s">
        <v>956</v>
      </c>
      <c r="G129" t="s">
        <v>891</v>
      </c>
      <c r="I129" t="s">
        <v>1081</v>
      </c>
      <c r="J129" t="s">
        <v>956</v>
      </c>
      <c r="K129" t="s">
        <v>3636</v>
      </c>
      <c r="O129" s="1"/>
      <c r="P129" s="1"/>
      <c r="Q129" s="1"/>
      <c r="R129" s="1"/>
    </row>
    <row r="130" spans="4:18" x14ac:dyDescent="0.35">
      <c r="D130" t="s">
        <v>1181</v>
      </c>
      <c r="E130" t="s">
        <v>1081</v>
      </c>
      <c r="F130" t="s">
        <v>956</v>
      </c>
      <c r="G130" t="s">
        <v>3636</v>
      </c>
      <c r="I130" t="s">
        <v>1081</v>
      </c>
      <c r="J130" t="s">
        <v>956</v>
      </c>
      <c r="K130" t="s">
        <v>3619</v>
      </c>
      <c r="O130" s="1"/>
      <c r="P130" s="1"/>
      <c r="Q130" s="1"/>
      <c r="R130" s="1"/>
    </row>
    <row r="131" spans="4:18" x14ac:dyDescent="0.35">
      <c r="D131" t="s">
        <v>1182</v>
      </c>
      <c r="E131" t="s">
        <v>1081</v>
      </c>
      <c r="F131" t="s">
        <v>956</v>
      </c>
      <c r="G131" t="s">
        <v>3636</v>
      </c>
      <c r="I131" t="s">
        <v>1081</v>
      </c>
      <c r="J131" t="s">
        <v>956</v>
      </c>
      <c r="K131" t="s">
        <v>3482</v>
      </c>
      <c r="O131" s="1"/>
      <c r="P131" s="1"/>
      <c r="Q131" s="1"/>
      <c r="R131" s="1"/>
    </row>
    <row r="132" spans="4:18" x14ac:dyDescent="0.35">
      <c r="D132" t="s">
        <v>176</v>
      </c>
      <c r="E132" t="s">
        <v>1081</v>
      </c>
      <c r="F132" t="s">
        <v>956</v>
      </c>
      <c r="G132" t="s">
        <v>891</v>
      </c>
      <c r="I132" t="s">
        <v>1081</v>
      </c>
      <c r="J132" t="s">
        <v>956</v>
      </c>
      <c r="K132" t="s">
        <v>3639</v>
      </c>
      <c r="O132" s="1"/>
      <c r="P132" s="1"/>
      <c r="Q132" s="1"/>
      <c r="R132" s="1"/>
    </row>
    <row r="133" spans="4:18" x14ac:dyDescent="0.35">
      <c r="D133" t="s">
        <v>1181</v>
      </c>
      <c r="E133" t="s">
        <v>1081</v>
      </c>
      <c r="F133" t="s">
        <v>956</v>
      </c>
      <c r="G133" t="s">
        <v>3639</v>
      </c>
      <c r="I133" t="s">
        <v>1081</v>
      </c>
      <c r="J133" t="s">
        <v>956</v>
      </c>
      <c r="K133" t="s">
        <v>3636</v>
      </c>
      <c r="O133" s="1"/>
      <c r="P133" s="1"/>
      <c r="Q133" s="1"/>
      <c r="R133" s="1"/>
    </row>
    <row r="134" spans="4:18" x14ac:dyDescent="0.35">
      <c r="D134" t="s">
        <v>176</v>
      </c>
      <c r="E134" t="s">
        <v>1081</v>
      </c>
      <c r="F134" t="s">
        <v>956</v>
      </c>
      <c r="G134" t="s">
        <v>891</v>
      </c>
      <c r="I134" t="s">
        <v>1081</v>
      </c>
      <c r="J134" t="s">
        <v>956</v>
      </c>
      <c r="K134" t="s">
        <v>3480</v>
      </c>
      <c r="O134" s="1"/>
      <c r="P134" s="1"/>
      <c r="Q134" s="1"/>
      <c r="R134" s="1"/>
    </row>
    <row r="135" spans="4:18" x14ac:dyDescent="0.35">
      <c r="D135" t="s">
        <v>1182</v>
      </c>
      <c r="E135" t="s">
        <v>1081</v>
      </c>
      <c r="F135" t="s">
        <v>956</v>
      </c>
      <c r="G135" t="s">
        <v>3480</v>
      </c>
      <c r="I135" t="s">
        <v>1081</v>
      </c>
      <c r="J135" t="s">
        <v>956</v>
      </c>
      <c r="K135" t="s">
        <v>3478</v>
      </c>
      <c r="O135" s="1"/>
      <c r="P135" s="1"/>
      <c r="Q135" s="1"/>
      <c r="R135" s="1"/>
    </row>
    <row r="136" spans="4:18" x14ac:dyDescent="0.35">
      <c r="D136" t="s">
        <v>176</v>
      </c>
      <c r="E136" t="s">
        <v>1081</v>
      </c>
      <c r="F136" t="s">
        <v>956</v>
      </c>
      <c r="G136" t="s">
        <v>891</v>
      </c>
      <c r="I136" t="s">
        <v>1081</v>
      </c>
      <c r="J136" t="s">
        <v>956</v>
      </c>
      <c r="K136" t="s">
        <v>3482</v>
      </c>
      <c r="O136" s="1"/>
      <c r="P136" s="1"/>
      <c r="Q136" s="1"/>
      <c r="R136" s="1"/>
    </row>
    <row r="137" spans="4:18" x14ac:dyDescent="0.35">
      <c r="D137" t="s">
        <v>1181</v>
      </c>
      <c r="E137" t="s">
        <v>1081</v>
      </c>
      <c r="F137" t="s">
        <v>956</v>
      </c>
      <c r="G137" t="s">
        <v>3482</v>
      </c>
      <c r="I137" t="s">
        <v>1081</v>
      </c>
      <c r="J137" t="s">
        <v>956</v>
      </c>
      <c r="K137" t="s">
        <v>3480</v>
      </c>
      <c r="O137" s="1"/>
      <c r="P137" s="1"/>
      <c r="Q137" s="1"/>
      <c r="R137" s="1"/>
    </row>
    <row r="138" spans="4:18" x14ac:dyDescent="0.35">
      <c r="D138" t="s">
        <v>176</v>
      </c>
      <c r="E138" t="s">
        <v>1081</v>
      </c>
      <c r="F138" t="s">
        <v>956</v>
      </c>
      <c r="G138" t="s">
        <v>891</v>
      </c>
      <c r="I138" t="s">
        <v>1081</v>
      </c>
      <c r="J138" t="s">
        <v>956</v>
      </c>
      <c r="K138" t="s">
        <v>3484</v>
      </c>
      <c r="O138" s="1"/>
      <c r="P138" s="1"/>
      <c r="Q138" s="1"/>
      <c r="R138" s="1"/>
    </row>
    <row r="139" spans="4:18" x14ac:dyDescent="0.35">
      <c r="D139" t="s">
        <v>1182</v>
      </c>
      <c r="E139" t="s">
        <v>1081</v>
      </c>
      <c r="F139" t="s">
        <v>956</v>
      </c>
      <c r="G139" t="s">
        <v>3484</v>
      </c>
      <c r="I139" t="s">
        <v>1081</v>
      </c>
      <c r="J139" t="s">
        <v>956</v>
      </c>
      <c r="K139" t="s">
        <v>3482</v>
      </c>
      <c r="O139" s="1"/>
      <c r="P139" s="1"/>
      <c r="Q139" s="1"/>
      <c r="R139" s="1"/>
    </row>
    <row r="140" spans="4:18" x14ac:dyDescent="0.35">
      <c r="D140" t="s">
        <v>176</v>
      </c>
      <c r="E140" t="s">
        <v>1081</v>
      </c>
      <c r="F140" t="s">
        <v>956</v>
      </c>
      <c r="G140" t="s">
        <v>891</v>
      </c>
      <c r="I140" t="s">
        <v>1081</v>
      </c>
      <c r="J140" t="s">
        <v>956</v>
      </c>
      <c r="K140" t="s">
        <v>3030</v>
      </c>
      <c r="O140" s="1"/>
      <c r="P140" s="1"/>
      <c r="Q140" s="1"/>
      <c r="R140" s="1"/>
    </row>
    <row r="141" spans="4:18" x14ac:dyDescent="0.35">
      <c r="D141" t="s">
        <v>1182</v>
      </c>
      <c r="E141" t="s">
        <v>1081</v>
      </c>
      <c r="F141" t="s">
        <v>956</v>
      </c>
      <c r="G141" t="s">
        <v>3030</v>
      </c>
      <c r="I141" t="s">
        <v>1081</v>
      </c>
      <c r="J141" t="s">
        <v>956</v>
      </c>
      <c r="K141" t="s">
        <v>1350</v>
      </c>
      <c r="O141" s="1"/>
      <c r="P141" s="1"/>
      <c r="Q141" s="1"/>
      <c r="R141" s="1"/>
    </row>
    <row r="142" spans="4:18" x14ac:dyDescent="0.35">
      <c r="D142" t="s">
        <v>176</v>
      </c>
      <c r="E142" t="s">
        <v>1081</v>
      </c>
      <c r="F142" t="s">
        <v>956</v>
      </c>
      <c r="G142" t="s">
        <v>891</v>
      </c>
      <c r="I142" t="s">
        <v>1081</v>
      </c>
      <c r="J142" t="s">
        <v>956</v>
      </c>
      <c r="K142" t="s">
        <v>3523</v>
      </c>
      <c r="O142" s="1"/>
      <c r="P142" s="1"/>
      <c r="Q142" s="1"/>
      <c r="R142" s="1"/>
    </row>
    <row r="143" spans="4:18" x14ac:dyDescent="0.35">
      <c r="D143" t="s">
        <v>1182</v>
      </c>
      <c r="E143" t="s">
        <v>1081</v>
      </c>
      <c r="F143" t="s">
        <v>956</v>
      </c>
      <c r="G143" t="s">
        <v>3523</v>
      </c>
      <c r="I143" t="s">
        <v>1081</v>
      </c>
      <c r="J143" t="s">
        <v>956</v>
      </c>
      <c r="K143" t="s">
        <v>3030</v>
      </c>
      <c r="O143" s="1"/>
      <c r="P143" s="1"/>
      <c r="Q143" s="1"/>
      <c r="R143" s="1"/>
    </row>
    <row r="144" spans="4:18" x14ac:dyDescent="0.35">
      <c r="D144" t="s">
        <v>176</v>
      </c>
      <c r="E144" t="s">
        <v>1081</v>
      </c>
      <c r="F144" t="s">
        <v>956</v>
      </c>
      <c r="G144" t="s">
        <v>891</v>
      </c>
      <c r="I144" t="s">
        <v>1081</v>
      </c>
      <c r="J144" t="s">
        <v>956</v>
      </c>
      <c r="K144" t="s">
        <v>3611</v>
      </c>
      <c r="O144" s="1"/>
      <c r="P144" s="1"/>
      <c r="Q144" s="1"/>
      <c r="R144" s="1"/>
    </row>
    <row r="145" spans="4:18" x14ac:dyDescent="0.35">
      <c r="D145" t="s">
        <v>1182</v>
      </c>
      <c r="E145" t="s">
        <v>1081</v>
      </c>
      <c r="F145" t="s">
        <v>956</v>
      </c>
      <c r="G145" t="s">
        <v>3611</v>
      </c>
      <c r="I145" t="s">
        <v>1081</v>
      </c>
      <c r="J145" t="s">
        <v>956</v>
      </c>
      <c r="K145" t="s">
        <v>3584</v>
      </c>
      <c r="O145" s="1"/>
      <c r="P145" s="1"/>
      <c r="Q145" s="1"/>
      <c r="R145" s="1"/>
    </row>
    <row r="146" spans="4:18" x14ac:dyDescent="0.35">
      <c r="D146" t="s">
        <v>176</v>
      </c>
      <c r="E146" t="s">
        <v>1081</v>
      </c>
      <c r="F146" t="s">
        <v>956</v>
      </c>
      <c r="G146" t="s">
        <v>891</v>
      </c>
      <c r="I146" t="s">
        <v>1081</v>
      </c>
      <c r="J146" t="s">
        <v>956</v>
      </c>
      <c r="K146" t="s">
        <v>3612</v>
      </c>
      <c r="O146" s="1"/>
      <c r="P146" s="1"/>
      <c r="Q146" s="1"/>
      <c r="R146" s="1"/>
    </row>
    <row r="147" spans="4:18" x14ac:dyDescent="0.35">
      <c r="D147" t="s">
        <v>1181</v>
      </c>
      <c r="E147" t="s">
        <v>1081</v>
      </c>
      <c r="F147" t="s">
        <v>956</v>
      </c>
      <c r="G147" t="s">
        <v>3612</v>
      </c>
      <c r="I147" t="s">
        <v>1081</v>
      </c>
      <c r="J147" t="s">
        <v>956</v>
      </c>
      <c r="K147" t="s">
        <v>3611</v>
      </c>
      <c r="O147" s="1"/>
      <c r="P147" s="1"/>
      <c r="Q147" s="1"/>
      <c r="R147" s="1"/>
    </row>
    <row r="148" spans="4:18" x14ac:dyDescent="0.35">
      <c r="D148" t="s">
        <v>176</v>
      </c>
      <c r="E148" t="s">
        <v>1081</v>
      </c>
      <c r="F148" t="s">
        <v>956</v>
      </c>
      <c r="G148" t="s">
        <v>891</v>
      </c>
      <c r="I148" t="s">
        <v>1081</v>
      </c>
      <c r="J148" t="s">
        <v>956</v>
      </c>
      <c r="K148" t="s">
        <v>3613</v>
      </c>
      <c r="O148" s="1"/>
      <c r="P148" s="1"/>
      <c r="Q148" s="1"/>
      <c r="R148" s="1"/>
    </row>
    <row r="149" spans="4:18" x14ac:dyDescent="0.35">
      <c r="D149" t="s">
        <v>1181</v>
      </c>
      <c r="E149" t="s">
        <v>1081</v>
      </c>
      <c r="F149" t="s">
        <v>956</v>
      </c>
      <c r="G149" t="s">
        <v>3613</v>
      </c>
      <c r="I149" t="s">
        <v>1081</v>
      </c>
      <c r="J149" t="s">
        <v>956</v>
      </c>
      <c r="K149" t="s">
        <v>3612</v>
      </c>
      <c r="O149" s="1"/>
      <c r="P149" s="1"/>
      <c r="Q149" s="1"/>
      <c r="R149" s="1"/>
    </row>
    <row r="150" spans="4:18" x14ac:dyDescent="0.35">
      <c r="D150" t="s">
        <v>176</v>
      </c>
      <c r="E150" t="s">
        <v>1081</v>
      </c>
      <c r="F150" t="s">
        <v>956</v>
      </c>
      <c r="G150" t="s">
        <v>891</v>
      </c>
      <c r="I150" t="s">
        <v>1081</v>
      </c>
      <c r="J150" t="s">
        <v>956</v>
      </c>
      <c r="K150" t="s">
        <v>3632</v>
      </c>
      <c r="O150" s="1"/>
      <c r="P150" s="1"/>
      <c r="Q150" s="1"/>
      <c r="R150" s="1"/>
    </row>
    <row r="151" spans="4:18" x14ac:dyDescent="0.35">
      <c r="D151" t="s">
        <v>1182</v>
      </c>
      <c r="E151" t="s">
        <v>1081</v>
      </c>
      <c r="F151" t="s">
        <v>956</v>
      </c>
      <c r="G151" t="s">
        <v>3632</v>
      </c>
      <c r="I151" t="s">
        <v>1081</v>
      </c>
      <c r="J151" t="s">
        <v>956</v>
      </c>
      <c r="K151" t="s">
        <v>3607</v>
      </c>
      <c r="O151" s="1"/>
      <c r="P151" s="1"/>
      <c r="Q151" s="1"/>
      <c r="R151" s="1"/>
    </row>
    <row r="152" spans="4:18" x14ac:dyDescent="0.35">
      <c r="D152" t="s">
        <v>176</v>
      </c>
      <c r="E152" t="s">
        <v>1081</v>
      </c>
      <c r="F152" t="s">
        <v>956</v>
      </c>
      <c r="G152" t="s">
        <v>891</v>
      </c>
      <c r="I152" t="s">
        <v>1081</v>
      </c>
      <c r="J152" t="s">
        <v>956</v>
      </c>
      <c r="K152" t="s">
        <v>3507</v>
      </c>
      <c r="O152" s="1"/>
      <c r="P152" s="1"/>
      <c r="Q152" s="1"/>
      <c r="R152" s="1"/>
    </row>
    <row r="153" spans="4:18" x14ac:dyDescent="0.35">
      <c r="D153" t="s">
        <v>1182</v>
      </c>
      <c r="E153" t="s">
        <v>1081</v>
      </c>
      <c r="F153" t="s">
        <v>956</v>
      </c>
      <c r="G153" t="s">
        <v>3507</v>
      </c>
      <c r="I153" t="s">
        <v>1081</v>
      </c>
      <c r="J153" t="s">
        <v>956</v>
      </c>
      <c r="K153" t="s">
        <v>3510</v>
      </c>
      <c r="O153" s="1"/>
      <c r="P153" s="1"/>
      <c r="Q153" s="1"/>
      <c r="R153" s="1"/>
    </row>
    <row r="154" spans="4:18" x14ac:dyDescent="0.35">
      <c r="D154" t="s">
        <v>1182</v>
      </c>
      <c r="E154" t="s">
        <v>1081</v>
      </c>
      <c r="F154" t="s">
        <v>956</v>
      </c>
      <c r="G154" t="s">
        <v>3507</v>
      </c>
      <c r="I154" t="s">
        <v>1081</v>
      </c>
      <c r="J154" t="s">
        <v>956</v>
      </c>
      <c r="K154" t="s">
        <v>3505</v>
      </c>
      <c r="O154" s="1"/>
      <c r="P154" s="1"/>
      <c r="Q154" s="1"/>
      <c r="R154" s="1"/>
    </row>
    <row r="155" spans="4:18" x14ac:dyDescent="0.35">
      <c r="D155" t="s">
        <v>176</v>
      </c>
      <c r="E155" t="s">
        <v>1081</v>
      </c>
      <c r="F155" t="s">
        <v>956</v>
      </c>
      <c r="G155" t="s">
        <v>891</v>
      </c>
      <c r="I155" t="s">
        <v>1081</v>
      </c>
      <c r="J155" t="s">
        <v>956</v>
      </c>
      <c r="K155" t="s">
        <v>3516</v>
      </c>
      <c r="O155" s="1"/>
      <c r="P155" s="1"/>
      <c r="Q155" s="1"/>
      <c r="R155" s="1"/>
    </row>
    <row r="156" spans="4:18" x14ac:dyDescent="0.35">
      <c r="D156" t="s">
        <v>1182</v>
      </c>
      <c r="E156" t="s">
        <v>1081</v>
      </c>
      <c r="F156" t="s">
        <v>956</v>
      </c>
      <c r="G156" t="s">
        <v>3516</v>
      </c>
      <c r="I156" t="s">
        <v>1081</v>
      </c>
      <c r="J156" t="s">
        <v>956</v>
      </c>
      <c r="K156" t="s">
        <v>3030</v>
      </c>
      <c r="O156" s="1"/>
      <c r="P156" s="1"/>
      <c r="Q156" s="1"/>
      <c r="R156" s="1"/>
    </row>
    <row r="157" spans="4:18" x14ac:dyDescent="0.35">
      <c r="D157" t="s">
        <v>176</v>
      </c>
      <c r="E157" t="s">
        <v>1081</v>
      </c>
      <c r="F157" t="s">
        <v>956</v>
      </c>
      <c r="G157" t="s">
        <v>891</v>
      </c>
      <c r="I157" t="s">
        <v>1081</v>
      </c>
      <c r="J157" t="s">
        <v>956</v>
      </c>
      <c r="K157" t="s">
        <v>3518</v>
      </c>
      <c r="O157" s="1"/>
      <c r="P157" s="1"/>
      <c r="Q157" s="1"/>
      <c r="R157" s="1"/>
    </row>
    <row r="158" spans="4:18" x14ac:dyDescent="0.35">
      <c r="D158" t="s">
        <v>1181</v>
      </c>
      <c r="E158" t="s">
        <v>1081</v>
      </c>
      <c r="F158" t="s">
        <v>956</v>
      </c>
      <c r="G158" t="s">
        <v>3518</v>
      </c>
      <c r="I158" t="s">
        <v>1081</v>
      </c>
      <c r="J158" t="s">
        <v>956</v>
      </c>
      <c r="K158" t="s">
        <v>3516</v>
      </c>
      <c r="O158" s="1"/>
      <c r="P158" s="1"/>
      <c r="Q158" s="1"/>
      <c r="R158" s="1"/>
    </row>
    <row r="159" spans="4:18" x14ac:dyDescent="0.35">
      <c r="D159" t="s">
        <v>1182</v>
      </c>
      <c r="E159" t="s">
        <v>1081</v>
      </c>
      <c r="F159" t="s">
        <v>956</v>
      </c>
      <c r="G159" t="s">
        <v>3518</v>
      </c>
      <c r="I159" t="s">
        <v>1081</v>
      </c>
      <c r="J159" t="s">
        <v>956</v>
      </c>
      <c r="K159" t="s">
        <v>3523</v>
      </c>
      <c r="O159" s="1"/>
      <c r="P159" s="1"/>
      <c r="Q159" s="1"/>
      <c r="R159" s="1"/>
    </row>
    <row r="160" spans="4:18" x14ac:dyDescent="0.35">
      <c r="D160" t="s">
        <v>176</v>
      </c>
      <c r="E160" t="s">
        <v>1081</v>
      </c>
      <c r="F160" t="s">
        <v>956</v>
      </c>
      <c r="G160" t="s">
        <v>891</v>
      </c>
      <c r="I160" t="s">
        <v>1081</v>
      </c>
      <c r="J160" t="s">
        <v>956</v>
      </c>
      <c r="K160" t="s">
        <v>3642</v>
      </c>
      <c r="O160" s="1"/>
      <c r="P160" s="1"/>
      <c r="Q160" s="1"/>
      <c r="R160" s="1"/>
    </row>
    <row r="161" spans="4:18" x14ac:dyDescent="0.35">
      <c r="D161" t="s">
        <v>1181</v>
      </c>
      <c r="E161" t="s">
        <v>1081</v>
      </c>
      <c r="F161" t="s">
        <v>956</v>
      </c>
      <c r="G161" t="s">
        <v>3642</v>
      </c>
      <c r="I161" t="s">
        <v>1081</v>
      </c>
      <c r="J161" t="s">
        <v>956</v>
      </c>
      <c r="K161" t="s">
        <v>3518</v>
      </c>
      <c r="O161" s="1"/>
      <c r="P161" s="1"/>
      <c r="Q161" s="1"/>
      <c r="R161" s="1"/>
    </row>
    <row r="162" spans="4:18" x14ac:dyDescent="0.35">
      <c r="D162" t="s">
        <v>176</v>
      </c>
      <c r="E162" t="s">
        <v>1081</v>
      </c>
      <c r="F162" t="s">
        <v>956</v>
      </c>
      <c r="G162" t="s">
        <v>891</v>
      </c>
      <c r="I162" t="s">
        <v>1081</v>
      </c>
      <c r="J162" t="s">
        <v>956</v>
      </c>
      <c r="K162" t="s">
        <v>3645</v>
      </c>
      <c r="O162" s="1"/>
      <c r="P162" s="1"/>
      <c r="Q162" s="1"/>
      <c r="R162" s="1"/>
    </row>
    <row r="163" spans="4:18" x14ac:dyDescent="0.35">
      <c r="D163" t="s">
        <v>1181</v>
      </c>
      <c r="E163" t="s">
        <v>1081</v>
      </c>
      <c r="F163" t="s">
        <v>956</v>
      </c>
      <c r="G163" t="s">
        <v>3645</v>
      </c>
      <c r="I163" t="s">
        <v>1081</v>
      </c>
      <c r="J163" t="s">
        <v>956</v>
      </c>
      <c r="K163" t="s">
        <v>3642</v>
      </c>
      <c r="O163" s="1"/>
      <c r="P163" s="1"/>
      <c r="Q163" s="1"/>
      <c r="R163" s="1"/>
    </row>
    <row r="164" spans="4:18" x14ac:dyDescent="0.35">
      <c r="D164" t="s">
        <v>176</v>
      </c>
      <c r="E164" t="s">
        <v>1081</v>
      </c>
      <c r="F164" t="s">
        <v>956</v>
      </c>
      <c r="G164" t="s">
        <v>891</v>
      </c>
      <c r="I164" t="s">
        <v>1081</v>
      </c>
      <c r="J164" t="s">
        <v>956</v>
      </c>
      <c r="K164" t="s">
        <v>3650</v>
      </c>
      <c r="O164" s="1"/>
      <c r="P164" s="1"/>
      <c r="Q164" s="1"/>
      <c r="R164" s="1"/>
    </row>
    <row r="165" spans="4:18" x14ac:dyDescent="0.35">
      <c r="D165" t="s">
        <v>1181</v>
      </c>
      <c r="E165" t="s">
        <v>1081</v>
      </c>
      <c r="F165" t="s">
        <v>956</v>
      </c>
      <c r="G165" t="s">
        <v>3650</v>
      </c>
      <c r="I165" t="s">
        <v>1081</v>
      </c>
      <c r="J165" t="s">
        <v>956</v>
      </c>
      <c r="K165" t="s">
        <v>3645</v>
      </c>
      <c r="O165" s="1"/>
      <c r="P165" s="1"/>
      <c r="Q165" s="1"/>
      <c r="R165" s="1"/>
    </row>
    <row r="166" spans="4:18" x14ac:dyDescent="0.35">
      <c r="D166" t="s">
        <v>176</v>
      </c>
      <c r="E166" t="s">
        <v>1081</v>
      </c>
      <c r="F166" t="s">
        <v>956</v>
      </c>
      <c r="G166" t="s">
        <v>891</v>
      </c>
      <c r="I166" t="s">
        <v>1081</v>
      </c>
      <c r="J166" t="s">
        <v>956</v>
      </c>
      <c r="K166" t="s">
        <v>3651</v>
      </c>
      <c r="O166" s="1"/>
      <c r="P166" s="1"/>
      <c r="Q166" s="1"/>
      <c r="R166" s="1"/>
    </row>
    <row r="167" spans="4:18" x14ac:dyDescent="0.35">
      <c r="D167" t="s">
        <v>1181</v>
      </c>
      <c r="E167" t="s">
        <v>1081</v>
      </c>
      <c r="F167" t="s">
        <v>956</v>
      </c>
      <c r="G167" t="s">
        <v>3651</v>
      </c>
      <c r="I167" t="s">
        <v>1081</v>
      </c>
      <c r="J167" t="s">
        <v>956</v>
      </c>
      <c r="K167" t="s">
        <v>3650</v>
      </c>
      <c r="O167" s="1"/>
      <c r="P167" s="1"/>
      <c r="Q167" s="1"/>
      <c r="R167" s="1"/>
    </row>
    <row r="168" spans="4:18" x14ac:dyDescent="0.35">
      <c r="D168" t="s">
        <v>176</v>
      </c>
      <c r="E168" t="s">
        <v>1081</v>
      </c>
      <c r="F168" t="s">
        <v>956</v>
      </c>
      <c r="G168" t="s">
        <v>891</v>
      </c>
      <c r="I168" t="s">
        <v>1081</v>
      </c>
      <c r="J168" t="s">
        <v>956</v>
      </c>
      <c r="K168" t="s">
        <v>3652</v>
      </c>
      <c r="O168" s="1"/>
      <c r="P168" s="1"/>
      <c r="Q168" s="1"/>
      <c r="R168" s="1"/>
    </row>
    <row r="169" spans="4:18" x14ac:dyDescent="0.35">
      <c r="D169" t="s">
        <v>1181</v>
      </c>
      <c r="E169" t="s">
        <v>1081</v>
      </c>
      <c r="F169" t="s">
        <v>956</v>
      </c>
      <c r="G169" t="s">
        <v>3652</v>
      </c>
      <c r="I169" t="s">
        <v>1081</v>
      </c>
      <c r="J169" t="s">
        <v>956</v>
      </c>
      <c r="K169" t="s">
        <v>3651</v>
      </c>
      <c r="O169" s="1"/>
      <c r="P169" s="1"/>
      <c r="Q169" s="1"/>
      <c r="R169" s="1"/>
    </row>
    <row r="170" spans="4:18" x14ac:dyDescent="0.35">
      <c r="D170" t="s">
        <v>176</v>
      </c>
      <c r="E170" t="s">
        <v>1081</v>
      </c>
      <c r="F170" t="s">
        <v>956</v>
      </c>
      <c r="G170" t="s">
        <v>891</v>
      </c>
      <c r="I170" t="s">
        <v>1081</v>
      </c>
      <c r="J170" t="s">
        <v>956</v>
      </c>
      <c r="K170" t="s">
        <v>3607</v>
      </c>
      <c r="O170" s="1"/>
      <c r="P170" s="1"/>
      <c r="Q170" s="1"/>
      <c r="R170" s="1"/>
    </row>
    <row r="171" spans="4:18" x14ac:dyDescent="0.35">
      <c r="D171" t="s">
        <v>1182</v>
      </c>
      <c r="E171" t="s">
        <v>1081</v>
      </c>
      <c r="F171" t="s">
        <v>956</v>
      </c>
      <c r="G171" t="s">
        <v>3607</v>
      </c>
      <c r="I171" t="s">
        <v>1081</v>
      </c>
      <c r="J171" t="s">
        <v>956</v>
      </c>
      <c r="K171" t="s">
        <v>3484</v>
      </c>
      <c r="O171" s="1"/>
      <c r="P171" s="1"/>
      <c r="Q171" s="1"/>
      <c r="R171" s="1"/>
    </row>
    <row r="172" spans="4:18" x14ac:dyDescent="0.35">
      <c r="D172" t="s">
        <v>1182</v>
      </c>
      <c r="E172" t="s">
        <v>1081</v>
      </c>
      <c r="F172" t="s">
        <v>956</v>
      </c>
      <c r="G172" t="s">
        <v>3607</v>
      </c>
      <c r="I172" t="s">
        <v>1081</v>
      </c>
      <c r="J172" t="s">
        <v>956</v>
      </c>
      <c r="K172" t="s">
        <v>3613</v>
      </c>
      <c r="O172" s="1"/>
      <c r="P172" s="1"/>
      <c r="Q172" s="1"/>
      <c r="R172" s="1"/>
    </row>
    <row r="173" spans="4:18" x14ac:dyDescent="0.35">
      <c r="D173" t="s">
        <v>176</v>
      </c>
      <c r="E173" t="s">
        <v>1081</v>
      </c>
      <c r="F173" t="s">
        <v>956</v>
      </c>
      <c r="G173" t="s">
        <v>891</v>
      </c>
      <c r="I173" t="s">
        <v>1081</v>
      </c>
      <c r="J173" t="s">
        <v>956</v>
      </c>
      <c r="K173" t="s">
        <v>3627</v>
      </c>
      <c r="O173" s="1"/>
      <c r="P173" s="1"/>
      <c r="Q173" s="1"/>
      <c r="R173" s="1"/>
    </row>
    <row r="174" spans="4:18" x14ac:dyDescent="0.35">
      <c r="D174" t="s">
        <v>1182</v>
      </c>
      <c r="E174" t="s">
        <v>1081</v>
      </c>
      <c r="F174" t="s">
        <v>956</v>
      </c>
      <c r="G174" t="s">
        <v>3627</v>
      </c>
      <c r="I174" t="s">
        <v>1081</v>
      </c>
      <c r="J174" t="s">
        <v>956</v>
      </c>
      <c r="K174" t="s">
        <v>3607</v>
      </c>
      <c r="O174" s="1"/>
      <c r="P174" s="1"/>
      <c r="Q174" s="1"/>
      <c r="R174" s="1"/>
    </row>
    <row r="175" spans="4:18" x14ac:dyDescent="0.35">
      <c r="D175" t="s">
        <v>176</v>
      </c>
      <c r="E175" t="s">
        <v>1081</v>
      </c>
      <c r="F175" t="s">
        <v>956</v>
      </c>
      <c r="G175" t="s">
        <v>891</v>
      </c>
      <c r="I175" t="s">
        <v>1081</v>
      </c>
      <c r="J175" t="s">
        <v>956</v>
      </c>
      <c r="K175" t="s">
        <v>3647</v>
      </c>
      <c r="O175" s="1"/>
      <c r="P175" s="1"/>
      <c r="Q175" s="1"/>
      <c r="R175" s="1"/>
    </row>
    <row r="176" spans="4:18" x14ac:dyDescent="0.35">
      <c r="D176" t="s">
        <v>1181</v>
      </c>
      <c r="E176" t="s">
        <v>1081</v>
      </c>
      <c r="F176" t="s">
        <v>956</v>
      </c>
      <c r="G176" t="s">
        <v>3647</v>
      </c>
      <c r="I176" t="s">
        <v>1081</v>
      </c>
      <c r="J176" t="s">
        <v>956</v>
      </c>
      <c r="K176" t="s">
        <v>3627</v>
      </c>
      <c r="O176" s="1"/>
      <c r="P176" s="1"/>
      <c r="Q176" s="1"/>
      <c r="R176" s="1"/>
    </row>
    <row r="177" spans="4:18" x14ac:dyDescent="0.35">
      <c r="D177" t="s">
        <v>176</v>
      </c>
      <c r="E177" t="s">
        <v>1081</v>
      </c>
      <c r="F177" t="s">
        <v>956</v>
      </c>
      <c r="G177" t="s">
        <v>891</v>
      </c>
      <c r="I177" t="s">
        <v>1081</v>
      </c>
      <c r="J177" t="s">
        <v>956</v>
      </c>
      <c r="K177" t="s">
        <v>3653</v>
      </c>
      <c r="O177" s="1"/>
      <c r="P177" s="1"/>
      <c r="Q177" s="1"/>
      <c r="R177" s="1"/>
    </row>
    <row r="178" spans="4:18" x14ac:dyDescent="0.35">
      <c r="D178" t="s">
        <v>1181</v>
      </c>
      <c r="E178" t="s">
        <v>1081</v>
      </c>
      <c r="F178" t="s">
        <v>956</v>
      </c>
      <c r="G178" t="s">
        <v>3653</v>
      </c>
      <c r="I178" t="s">
        <v>1081</v>
      </c>
      <c r="J178" t="s">
        <v>956</v>
      </c>
      <c r="K178" t="s">
        <v>3647</v>
      </c>
      <c r="O178" s="1"/>
      <c r="P178" s="1"/>
      <c r="Q178" s="1"/>
      <c r="R178" s="1"/>
    </row>
    <row r="179" spans="4:18" x14ac:dyDescent="0.35">
      <c r="D179" t="s">
        <v>176</v>
      </c>
      <c r="E179" t="s">
        <v>1081</v>
      </c>
      <c r="F179" t="s">
        <v>956</v>
      </c>
      <c r="G179" t="s">
        <v>891</v>
      </c>
      <c r="I179" t="s">
        <v>1081</v>
      </c>
      <c r="J179" t="s">
        <v>956</v>
      </c>
      <c r="K179" t="s">
        <v>3654</v>
      </c>
      <c r="O179" s="1"/>
      <c r="P179" s="1"/>
      <c r="Q179" s="1"/>
      <c r="R179" s="1"/>
    </row>
    <row r="180" spans="4:18" x14ac:dyDescent="0.35">
      <c r="D180" t="s">
        <v>1181</v>
      </c>
      <c r="E180" t="s">
        <v>1081</v>
      </c>
      <c r="F180" t="s">
        <v>956</v>
      </c>
      <c r="G180" t="s">
        <v>3654</v>
      </c>
      <c r="I180" t="s">
        <v>1081</v>
      </c>
      <c r="J180" t="s">
        <v>956</v>
      </c>
      <c r="K180" t="s">
        <v>3653</v>
      </c>
      <c r="O180" s="1"/>
      <c r="P180" s="1"/>
      <c r="Q180" s="1"/>
      <c r="R180" s="1"/>
    </row>
    <row r="181" spans="4:18" x14ac:dyDescent="0.35">
      <c r="D181" t="s">
        <v>176</v>
      </c>
      <c r="E181" t="s">
        <v>1081</v>
      </c>
      <c r="F181" t="s">
        <v>956</v>
      </c>
      <c r="G181" t="s">
        <v>891</v>
      </c>
      <c r="I181" t="s">
        <v>1081</v>
      </c>
      <c r="J181" t="s">
        <v>956</v>
      </c>
      <c r="K181" t="s">
        <v>3655</v>
      </c>
      <c r="O181" s="1"/>
      <c r="P181" s="1"/>
      <c r="Q181" s="1"/>
      <c r="R181" s="1"/>
    </row>
    <row r="182" spans="4:18" x14ac:dyDescent="0.35">
      <c r="D182" t="s">
        <v>1181</v>
      </c>
      <c r="E182" t="s">
        <v>1081</v>
      </c>
      <c r="F182" t="s">
        <v>956</v>
      </c>
      <c r="G182" t="s">
        <v>3655</v>
      </c>
      <c r="I182" t="s">
        <v>1081</v>
      </c>
      <c r="J182" t="s">
        <v>956</v>
      </c>
      <c r="K182" t="s">
        <v>3654</v>
      </c>
      <c r="O182" s="1"/>
      <c r="P182" s="1"/>
      <c r="Q182" s="1"/>
      <c r="R182" s="1"/>
    </row>
    <row r="183" spans="4:18" x14ac:dyDescent="0.35">
      <c r="D183" t="s">
        <v>176</v>
      </c>
      <c r="E183" t="s">
        <v>1081</v>
      </c>
      <c r="F183" t="s">
        <v>956</v>
      </c>
      <c r="G183" t="s">
        <v>891</v>
      </c>
      <c r="I183" t="s">
        <v>1081</v>
      </c>
      <c r="J183" t="s">
        <v>956</v>
      </c>
      <c r="K183" t="s">
        <v>3615</v>
      </c>
      <c r="O183" s="1"/>
      <c r="P183" s="1"/>
      <c r="Q183" s="1"/>
      <c r="R183" s="1"/>
    </row>
    <row r="184" spans="4:18" x14ac:dyDescent="0.35">
      <c r="D184" t="s">
        <v>1181</v>
      </c>
      <c r="E184" t="s">
        <v>1081</v>
      </c>
      <c r="F184" t="s">
        <v>956</v>
      </c>
      <c r="G184" t="s">
        <v>3615</v>
      </c>
      <c r="I184" t="s">
        <v>1081</v>
      </c>
      <c r="J184" t="s">
        <v>956</v>
      </c>
      <c r="K184" t="s">
        <v>3655</v>
      </c>
      <c r="O184" s="1"/>
      <c r="P184" s="1"/>
      <c r="Q184" s="1"/>
      <c r="R184" s="1"/>
    </row>
    <row r="185" spans="4:18" x14ac:dyDescent="0.35">
      <c r="F185"/>
      <c r="O185" s="1"/>
      <c r="P185" s="1"/>
      <c r="Q185" s="1"/>
      <c r="R185" s="1"/>
    </row>
    <row r="186" spans="4:18" x14ac:dyDescent="0.35">
      <c r="D186" t="s">
        <v>1181</v>
      </c>
      <c r="E186" t="s">
        <v>1081</v>
      </c>
      <c r="F186" t="s">
        <v>956</v>
      </c>
      <c r="G186" t="s">
        <v>269</v>
      </c>
      <c r="I186" t="s">
        <v>1081</v>
      </c>
      <c r="J186" t="s">
        <v>956</v>
      </c>
      <c r="K186" t="s">
        <v>1232</v>
      </c>
      <c r="O186" s="1"/>
      <c r="P186" s="1"/>
      <c r="Q186" s="1"/>
      <c r="R186" s="1"/>
    </row>
    <row r="187" spans="4:18" x14ac:dyDescent="0.35">
      <c r="F187"/>
      <c r="O187" s="1"/>
      <c r="P187" s="1"/>
      <c r="Q187" s="1"/>
      <c r="R187" s="1"/>
    </row>
    <row r="188" spans="4:18" x14ac:dyDescent="0.35">
      <c r="D188" t="s">
        <v>1181</v>
      </c>
      <c r="E188" t="s">
        <v>1081</v>
      </c>
      <c r="F188" t="s">
        <v>956</v>
      </c>
      <c r="G188" t="s">
        <v>1178</v>
      </c>
      <c r="I188" t="s">
        <v>1081</v>
      </c>
      <c r="J188" t="s">
        <v>956</v>
      </c>
      <c r="K188" t="s">
        <v>1206</v>
      </c>
      <c r="O188" s="1"/>
      <c r="P188" s="1"/>
      <c r="Q188" s="1"/>
      <c r="R188" s="1"/>
    </row>
    <row r="189" spans="4:18" x14ac:dyDescent="0.35">
      <c r="D189" t="s">
        <v>1181</v>
      </c>
      <c r="E189" t="s">
        <v>1081</v>
      </c>
      <c r="F189" t="s">
        <v>956</v>
      </c>
      <c r="G189" t="s">
        <v>1206</v>
      </c>
      <c r="I189" t="s">
        <v>1081</v>
      </c>
      <c r="J189" t="s">
        <v>956</v>
      </c>
      <c r="K189" t="s">
        <v>1207</v>
      </c>
      <c r="O189" s="1"/>
      <c r="P189" s="1"/>
      <c r="Q189" s="1"/>
      <c r="R189" s="1"/>
    </row>
    <row r="190" spans="4:18" x14ac:dyDescent="0.35">
      <c r="D190" t="s">
        <v>1181</v>
      </c>
      <c r="E190" t="s">
        <v>1081</v>
      </c>
      <c r="F190" t="s">
        <v>956</v>
      </c>
      <c r="G190" t="s">
        <v>1207</v>
      </c>
      <c r="I190" t="s">
        <v>1081</v>
      </c>
      <c r="J190" t="s">
        <v>956</v>
      </c>
      <c r="K190" t="s">
        <v>1208</v>
      </c>
      <c r="O190" s="1"/>
      <c r="P190" s="1"/>
      <c r="Q190" s="1"/>
      <c r="R190" s="1"/>
    </row>
    <row r="191" spans="4:18" x14ac:dyDescent="0.35">
      <c r="D191" t="s">
        <v>1181</v>
      </c>
      <c r="E191" t="s">
        <v>1081</v>
      </c>
      <c r="F191" t="s">
        <v>956</v>
      </c>
      <c r="G191" t="s">
        <v>1189</v>
      </c>
      <c r="I191" t="s">
        <v>1081</v>
      </c>
      <c r="J191" t="s">
        <v>956</v>
      </c>
      <c r="K191" t="s">
        <v>1209</v>
      </c>
      <c r="O191" s="1"/>
      <c r="P191" s="1"/>
      <c r="Q191" s="1"/>
      <c r="R191" s="1"/>
    </row>
    <row r="192" spans="4:18" x14ac:dyDescent="0.35">
      <c r="D192" t="s">
        <v>1181</v>
      </c>
      <c r="E192" t="s">
        <v>1081</v>
      </c>
      <c r="F192" t="s">
        <v>956</v>
      </c>
      <c r="G192" t="s">
        <v>1209</v>
      </c>
      <c r="I192" t="s">
        <v>1081</v>
      </c>
      <c r="J192" t="s">
        <v>956</v>
      </c>
      <c r="K192" t="s">
        <v>1210</v>
      </c>
      <c r="O192" s="1"/>
      <c r="P192" s="1"/>
      <c r="Q192" s="1"/>
      <c r="R192" s="1"/>
    </row>
    <row r="193" spans="4:18" x14ac:dyDescent="0.35">
      <c r="D193" t="s">
        <v>176</v>
      </c>
      <c r="E193" t="s">
        <v>1081</v>
      </c>
      <c r="F193" t="s">
        <v>956</v>
      </c>
      <c r="G193" t="s">
        <v>1189</v>
      </c>
      <c r="I193" t="s">
        <v>1081</v>
      </c>
      <c r="J193" t="s">
        <v>956</v>
      </c>
      <c r="K193" t="s">
        <v>1194</v>
      </c>
      <c r="O193" s="1"/>
      <c r="P193" s="1"/>
      <c r="Q193" s="1"/>
      <c r="R193" s="1"/>
    </row>
    <row r="194" spans="4:18" x14ac:dyDescent="0.35">
      <c r="D194" t="s">
        <v>176</v>
      </c>
      <c r="E194" t="s">
        <v>1081</v>
      </c>
      <c r="F194" t="s">
        <v>956</v>
      </c>
      <c r="G194" t="s">
        <v>1209</v>
      </c>
      <c r="I194" t="s">
        <v>1081</v>
      </c>
      <c r="J194" t="s">
        <v>956</v>
      </c>
      <c r="K194" t="s">
        <v>1194</v>
      </c>
      <c r="O194" s="1"/>
      <c r="P194" s="1"/>
      <c r="Q194" s="1"/>
      <c r="R194" s="1"/>
    </row>
    <row r="195" spans="4:18" x14ac:dyDescent="0.35">
      <c r="D195" t="s">
        <v>176</v>
      </c>
      <c r="E195" t="s">
        <v>1081</v>
      </c>
      <c r="F195" t="s">
        <v>956</v>
      </c>
      <c r="G195" t="s">
        <v>1210</v>
      </c>
      <c r="I195" t="s">
        <v>1081</v>
      </c>
      <c r="J195" t="s">
        <v>956</v>
      </c>
      <c r="K195" t="s">
        <v>1185</v>
      </c>
      <c r="O195" s="1"/>
      <c r="P195" s="1"/>
      <c r="Q195" s="1"/>
      <c r="R195" s="1"/>
    </row>
    <row r="196" spans="4:18" x14ac:dyDescent="0.35">
      <c r="D196" t="s">
        <v>176</v>
      </c>
      <c r="E196" t="s">
        <v>1081</v>
      </c>
      <c r="F196" t="s">
        <v>956</v>
      </c>
      <c r="G196" t="s">
        <v>1210</v>
      </c>
      <c r="I196" t="s">
        <v>1081</v>
      </c>
      <c r="J196" t="s">
        <v>956</v>
      </c>
      <c r="K196" t="s">
        <v>1183</v>
      </c>
      <c r="O196" s="1"/>
      <c r="P196" s="1"/>
      <c r="Q196" s="1"/>
      <c r="R196" s="1"/>
    </row>
    <row r="197" spans="4:18" x14ac:dyDescent="0.35">
      <c r="D197" t="s">
        <v>1181</v>
      </c>
      <c r="E197" t="s">
        <v>1081</v>
      </c>
      <c r="F197" t="s">
        <v>956</v>
      </c>
      <c r="G197" t="s">
        <v>1194</v>
      </c>
      <c r="I197" t="s">
        <v>1081</v>
      </c>
      <c r="J197" t="s">
        <v>956</v>
      </c>
      <c r="K197" t="s">
        <v>1185</v>
      </c>
      <c r="O197" s="1"/>
      <c r="P197" s="1"/>
      <c r="Q197" s="1"/>
      <c r="R197" s="1"/>
    </row>
    <row r="198" spans="4:18" x14ac:dyDescent="0.35">
      <c r="D198" t="s">
        <v>1181</v>
      </c>
      <c r="E198" t="s">
        <v>1081</v>
      </c>
      <c r="F198" t="s">
        <v>956</v>
      </c>
      <c r="G198" t="s">
        <v>1185</v>
      </c>
      <c r="I198" t="s">
        <v>1081</v>
      </c>
      <c r="J198" t="s">
        <v>956</v>
      </c>
      <c r="K198" t="s">
        <v>1183</v>
      </c>
      <c r="O198" s="1"/>
      <c r="P198" s="1"/>
      <c r="Q198" s="1"/>
      <c r="R198" s="1"/>
    </row>
    <row r="199" spans="4:18" x14ac:dyDescent="0.35">
      <c r="D199" t="s">
        <v>1181</v>
      </c>
      <c r="E199" t="s">
        <v>1081</v>
      </c>
      <c r="F199" t="s">
        <v>956</v>
      </c>
      <c r="G199" t="s">
        <v>1197</v>
      </c>
      <c r="I199" t="s">
        <v>1081</v>
      </c>
      <c r="J199" t="s">
        <v>956</v>
      </c>
      <c r="K199" t="s">
        <v>1205</v>
      </c>
      <c r="O199" s="1"/>
      <c r="P199" s="1"/>
      <c r="Q199" s="1"/>
      <c r="R199" s="1"/>
    </row>
    <row r="200" spans="4:18" x14ac:dyDescent="0.35">
      <c r="D200" t="s">
        <v>1181</v>
      </c>
      <c r="E200" t="s">
        <v>1081</v>
      </c>
      <c r="F200" t="s">
        <v>956</v>
      </c>
      <c r="G200" t="s">
        <v>1205</v>
      </c>
      <c r="I200" t="s">
        <v>1081</v>
      </c>
      <c r="J200" t="s">
        <v>956</v>
      </c>
      <c r="K200" t="s">
        <v>1204</v>
      </c>
      <c r="O200" s="1"/>
      <c r="P200" s="1"/>
      <c r="Q200" s="1"/>
      <c r="R200" s="1"/>
    </row>
    <row r="201" spans="4:18" x14ac:dyDescent="0.35">
      <c r="D201" t="s">
        <v>1181</v>
      </c>
      <c r="E201" t="s">
        <v>1081</v>
      </c>
      <c r="F201" t="s">
        <v>956</v>
      </c>
      <c r="G201" t="s">
        <v>1204</v>
      </c>
      <c r="I201" t="s">
        <v>1081</v>
      </c>
      <c r="J201" t="s">
        <v>956</v>
      </c>
      <c r="K201" t="s">
        <v>1203</v>
      </c>
      <c r="O201" s="1"/>
      <c r="P201" s="1"/>
      <c r="Q201" s="1"/>
      <c r="R201" s="1"/>
    </row>
    <row r="202" spans="4:18" x14ac:dyDescent="0.35">
      <c r="D202" t="s">
        <v>1181</v>
      </c>
      <c r="E202" t="s">
        <v>1081</v>
      </c>
      <c r="F202" t="s">
        <v>956</v>
      </c>
      <c r="G202" t="s">
        <v>1203</v>
      </c>
      <c r="I202" t="s">
        <v>1081</v>
      </c>
      <c r="J202" t="s">
        <v>956</v>
      </c>
      <c r="K202" t="s">
        <v>1851</v>
      </c>
      <c r="O202" s="1"/>
      <c r="P202" s="1"/>
      <c r="Q202" s="1"/>
      <c r="R202" s="1"/>
    </row>
    <row r="203" spans="4:18" x14ac:dyDescent="0.35">
      <c r="D203" t="s">
        <v>1188</v>
      </c>
      <c r="E203" t="s">
        <v>1081</v>
      </c>
      <c r="F203" t="s">
        <v>956</v>
      </c>
      <c r="G203" t="s">
        <v>1178</v>
      </c>
      <c r="I203" t="s">
        <v>1081</v>
      </c>
      <c r="J203" t="s">
        <v>956</v>
      </c>
      <c r="K203" t="s">
        <v>1189</v>
      </c>
      <c r="M203" t="s">
        <v>1212</v>
      </c>
      <c r="O203" s="1"/>
      <c r="P203" s="1"/>
      <c r="Q203" s="1"/>
      <c r="R203" s="1"/>
    </row>
    <row r="204" spans="4:18" x14ac:dyDescent="0.35">
      <c r="D204" t="s">
        <v>1188</v>
      </c>
      <c r="E204" t="s">
        <v>1081</v>
      </c>
      <c r="F204" t="s">
        <v>956</v>
      </c>
      <c r="G204" t="s">
        <v>1178</v>
      </c>
      <c r="I204" t="s">
        <v>1081</v>
      </c>
      <c r="J204" t="s">
        <v>956</v>
      </c>
      <c r="K204" t="s">
        <v>1209</v>
      </c>
      <c r="M204" t="s">
        <v>1212</v>
      </c>
      <c r="O204" s="1"/>
      <c r="P204" s="1"/>
      <c r="Q204" s="1"/>
      <c r="R204" s="1"/>
    </row>
    <row r="205" spans="4:18" x14ac:dyDescent="0.35">
      <c r="D205" t="s">
        <v>1188</v>
      </c>
      <c r="E205" t="s">
        <v>1081</v>
      </c>
      <c r="F205" t="s">
        <v>956</v>
      </c>
      <c r="G205" t="s">
        <v>1178</v>
      </c>
      <c r="I205" t="s">
        <v>1081</v>
      </c>
      <c r="J205" t="s">
        <v>956</v>
      </c>
      <c r="K205" t="s">
        <v>1210</v>
      </c>
      <c r="M205" t="s">
        <v>1212</v>
      </c>
      <c r="O205" s="1"/>
      <c r="P205" s="1"/>
      <c r="Q205" s="1"/>
      <c r="R205" s="1"/>
    </row>
    <row r="206" spans="4:18" x14ac:dyDescent="0.35">
      <c r="D206" t="s">
        <v>1188</v>
      </c>
      <c r="E206" t="s">
        <v>1081</v>
      </c>
      <c r="F206" t="s">
        <v>956</v>
      </c>
      <c r="G206" t="s">
        <v>1206</v>
      </c>
      <c r="I206" t="s">
        <v>1081</v>
      </c>
      <c r="J206" t="s">
        <v>956</v>
      </c>
      <c r="K206" t="s">
        <v>1210</v>
      </c>
      <c r="M206" t="s">
        <v>1212</v>
      </c>
      <c r="O206" s="1"/>
      <c r="P206" s="1"/>
      <c r="Q206" s="1"/>
      <c r="R206" s="1"/>
    </row>
    <row r="207" spans="4:18" x14ac:dyDescent="0.35">
      <c r="D207" t="s">
        <v>1188</v>
      </c>
      <c r="E207" t="s">
        <v>1081</v>
      </c>
      <c r="F207" t="s">
        <v>956</v>
      </c>
      <c r="G207" t="s">
        <v>1207</v>
      </c>
      <c r="I207" t="s">
        <v>1081</v>
      </c>
      <c r="J207" t="s">
        <v>956</v>
      </c>
      <c r="K207" t="s">
        <v>1210</v>
      </c>
      <c r="M207" t="s">
        <v>1212</v>
      </c>
      <c r="O207" s="1"/>
      <c r="P207" s="1"/>
      <c r="Q207" s="1"/>
      <c r="R207" s="1"/>
    </row>
    <row r="208" spans="4:18" x14ac:dyDescent="0.35">
      <c r="D208" t="s">
        <v>1188</v>
      </c>
      <c r="E208" t="s">
        <v>1081</v>
      </c>
      <c r="F208" t="s">
        <v>956</v>
      </c>
      <c r="G208" t="s">
        <v>1197</v>
      </c>
      <c r="I208" t="s">
        <v>1081</v>
      </c>
      <c r="J208" t="s">
        <v>956</v>
      </c>
      <c r="K208" t="s">
        <v>1189</v>
      </c>
      <c r="M208" t="s">
        <v>1213</v>
      </c>
      <c r="O208" s="1"/>
      <c r="P208" s="1"/>
      <c r="Q208" s="1"/>
      <c r="R208" s="1"/>
    </row>
    <row r="209" spans="4:18" x14ac:dyDescent="0.35">
      <c r="D209" t="s">
        <v>1188</v>
      </c>
      <c r="E209" t="s">
        <v>1081</v>
      </c>
      <c r="F209" t="s">
        <v>956</v>
      </c>
      <c r="G209" t="s">
        <v>1197</v>
      </c>
      <c r="I209" t="s">
        <v>1081</v>
      </c>
      <c r="J209" t="s">
        <v>956</v>
      </c>
      <c r="K209" t="s">
        <v>1209</v>
      </c>
      <c r="M209" t="s">
        <v>1213</v>
      </c>
      <c r="O209" s="1"/>
      <c r="P209" s="1"/>
      <c r="Q209" s="1"/>
      <c r="R209" s="1"/>
    </row>
    <row r="210" spans="4:18" x14ac:dyDescent="0.35">
      <c r="D210" t="s">
        <v>1188</v>
      </c>
      <c r="E210" t="s">
        <v>1081</v>
      </c>
      <c r="F210" t="s">
        <v>956</v>
      </c>
      <c r="G210" t="s">
        <v>1197</v>
      </c>
      <c r="I210" t="s">
        <v>1081</v>
      </c>
      <c r="J210" t="s">
        <v>956</v>
      </c>
      <c r="K210" t="s">
        <v>1210</v>
      </c>
      <c r="M210" t="s">
        <v>1213</v>
      </c>
      <c r="O210" s="1"/>
      <c r="P210" s="1"/>
      <c r="Q210" s="1"/>
      <c r="R210" s="1"/>
    </row>
    <row r="211" spans="4:18" x14ac:dyDescent="0.35">
      <c r="D211" t="s">
        <v>1188</v>
      </c>
      <c r="E211" t="s">
        <v>1081</v>
      </c>
      <c r="F211" t="s">
        <v>956</v>
      </c>
      <c r="G211" t="s">
        <v>1205</v>
      </c>
      <c r="I211" t="s">
        <v>1081</v>
      </c>
      <c r="J211" t="s">
        <v>956</v>
      </c>
      <c r="K211" t="s">
        <v>1210</v>
      </c>
      <c r="M211" t="s">
        <v>1213</v>
      </c>
      <c r="O211" s="1"/>
      <c r="P211" s="1"/>
      <c r="Q211" s="1"/>
      <c r="R211" s="1"/>
    </row>
    <row r="212" spans="4:18" x14ac:dyDescent="0.35">
      <c r="D212" t="s">
        <v>1188</v>
      </c>
      <c r="E212" t="s">
        <v>1081</v>
      </c>
      <c r="F212" t="s">
        <v>956</v>
      </c>
      <c r="G212" t="s">
        <v>1204</v>
      </c>
      <c r="I212" t="s">
        <v>1081</v>
      </c>
      <c r="J212" t="s">
        <v>956</v>
      </c>
      <c r="K212" t="s">
        <v>1210</v>
      </c>
      <c r="M212" t="s">
        <v>1213</v>
      </c>
      <c r="O212" s="1"/>
      <c r="P212" s="1"/>
      <c r="Q212" s="1"/>
      <c r="R212" s="1"/>
    </row>
    <row r="213" spans="4:18" x14ac:dyDescent="0.35">
      <c r="D213" t="s">
        <v>1188</v>
      </c>
      <c r="E213" t="s">
        <v>1081</v>
      </c>
      <c r="F213" t="s">
        <v>956</v>
      </c>
      <c r="G213" t="s">
        <v>1178</v>
      </c>
      <c r="I213" t="s">
        <v>1081</v>
      </c>
      <c r="J213" t="s">
        <v>956</v>
      </c>
      <c r="K213" t="s">
        <v>400</v>
      </c>
      <c r="M213" t="s">
        <v>1214</v>
      </c>
      <c r="O213" s="1"/>
      <c r="P213" s="1"/>
      <c r="Q213" s="1"/>
      <c r="R213" s="1"/>
    </row>
    <row r="214" spans="4:18" x14ac:dyDescent="0.35">
      <c r="D214" t="s">
        <v>176</v>
      </c>
      <c r="E214" t="s">
        <v>1081</v>
      </c>
      <c r="F214" t="s">
        <v>956</v>
      </c>
      <c r="G214" t="s">
        <v>1178</v>
      </c>
      <c r="I214" t="s">
        <v>1081</v>
      </c>
      <c r="J214" t="s">
        <v>956</v>
      </c>
      <c r="K214" t="s">
        <v>1215</v>
      </c>
      <c r="O214" s="1"/>
      <c r="P214" s="1"/>
      <c r="Q214" s="1"/>
      <c r="R214" s="1"/>
    </row>
    <row r="215" spans="4:18" x14ac:dyDescent="0.35">
      <c r="D215" t="s">
        <v>1188</v>
      </c>
      <c r="E215" t="s">
        <v>1081</v>
      </c>
      <c r="F215" t="s">
        <v>956</v>
      </c>
      <c r="G215" t="s">
        <v>1215</v>
      </c>
      <c r="I215" t="s">
        <v>1081</v>
      </c>
      <c r="J215" t="s">
        <v>956</v>
      </c>
      <c r="K215" t="s">
        <v>403</v>
      </c>
      <c r="M215" t="s">
        <v>1214</v>
      </c>
      <c r="O215" s="1"/>
      <c r="P215" s="1"/>
      <c r="Q215" s="1"/>
      <c r="R215" s="1"/>
    </row>
    <row r="216" spans="4:18" x14ac:dyDescent="0.35">
      <c r="D216" t="s">
        <v>1188</v>
      </c>
      <c r="E216" t="s">
        <v>1081</v>
      </c>
      <c r="F216" t="s">
        <v>956</v>
      </c>
      <c r="G216" t="s">
        <v>1194</v>
      </c>
      <c r="I216" t="s">
        <v>1081</v>
      </c>
      <c r="J216" t="s">
        <v>956</v>
      </c>
      <c r="K216" t="s">
        <v>1217</v>
      </c>
      <c r="M216" t="s">
        <v>1219</v>
      </c>
      <c r="O216" s="1"/>
      <c r="P216" s="1"/>
      <c r="Q216" s="1"/>
      <c r="R216" s="1"/>
    </row>
    <row r="217" spans="4:18" x14ac:dyDescent="0.35">
      <c r="F217"/>
      <c r="O217" s="1"/>
      <c r="P217" s="1"/>
      <c r="Q217" s="1"/>
      <c r="R217" s="1"/>
    </row>
    <row r="218" spans="4:18" x14ac:dyDescent="0.35">
      <c r="D218" t="s">
        <v>1181</v>
      </c>
      <c r="E218" t="s">
        <v>1081</v>
      </c>
      <c r="F218" t="s">
        <v>956</v>
      </c>
      <c r="G218" t="s">
        <v>1220</v>
      </c>
      <c r="I218" t="s">
        <v>1081</v>
      </c>
      <c r="J218" t="s">
        <v>956</v>
      </c>
      <c r="K218" t="s">
        <v>1223</v>
      </c>
      <c r="O218" s="1"/>
      <c r="P218" s="1"/>
      <c r="Q218" s="1"/>
      <c r="R218" s="1"/>
    </row>
    <row r="219" spans="4:18" x14ac:dyDescent="0.35">
      <c r="D219" t="s">
        <v>176</v>
      </c>
      <c r="E219" t="s">
        <v>1081</v>
      </c>
      <c r="F219" t="s">
        <v>956</v>
      </c>
      <c r="G219" t="s">
        <v>1220</v>
      </c>
      <c r="I219" t="s">
        <v>1081</v>
      </c>
      <c r="J219" t="s">
        <v>956</v>
      </c>
      <c r="K219" t="s">
        <v>1227</v>
      </c>
      <c r="O219" s="1"/>
      <c r="P219" s="1"/>
      <c r="Q219" s="1"/>
      <c r="R219" s="1"/>
    </row>
    <row r="220" spans="4:18" x14ac:dyDescent="0.35">
      <c r="D220" t="s">
        <v>176</v>
      </c>
      <c r="E220" t="s">
        <v>1081</v>
      </c>
      <c r="F220" t="s">
        <v>956</v>
      </c>
      <c r="G220" t="s">
        <v>1223</v>
      </c>
      <c r="I220" t="s">
        <v>1081</v>
      </c>
      <c r="J220" t="s">
        <v>956</v>
      </c>
      <c r="K220" t="s">
        <v>1227</v>
      </c>
      <c r="O220" s="1"/>
      <c r="P220" s="1"/>
      <c r="Q220" s="1"/>
      <c r="R220" s="1"/>
    </row>
    <row r="221" spans="4:18" x14ac:dyDescent="0.35">
      <c r="F221"/>
      <c r="O221" s="1"/>
      <c r="P221" s="1"/>
      <c r="Q221" s="1"/>
      <c r="R221" s="1"/>
    </row>
    <row r="222" spans="4:18" x14ac:dyDescent="0.35">
      <c r="D222" t="s">
        <v>176</v>
      </c>
      <c r="E222" t="s">
        <v>1081</v>
      </c>
      <c r="F222" t="s">
        <v>956</v>
      </c>
      <c r="G222" t="s">
        <v>3</v>
      </c>
      <c r="I222" t="s">
        <v>1081</v>
      </c>
      <c r="J222" t="s">
        <v>956</v>
      </c>
      <c r="K222" t="s">
        <v>3153</v>
      </c>
      <c r="O222" s="1"/>
      <c r="P222" s="1"/>
      <c r="Q222" s="1"/>
      <c r="R222" s="1"/>
    </row>
    <row r="223" spans="4:18" x14ac:dyDescent="0.35">
      <c r="D223" t="s">
        <v>176</v>
      </c>
      <c r="E223" t="s">
        <v>1081</v>
      </c>
      <c r="F223" t="s">
        <v>956</v>
      </c>
      <c r="G223" t="s">
        <v>3</v>
      </c>
      <c r="I223" t="s">
        <v>1081</v>
      </c>
      <c r="J223" t="s">
        <v>956</v>
      </c>
      <c r="K223" t="s">
        <v>1896</v>
      </c>
      <c r="O223" s="1"/>
      <c r="P223" s="1"/>
      <c r="Q223" s="1"/>
      <c r="R223" s="1"/>
    </row>
    <row r="224" spans="4:18" x14ac:dyDescent="0.35">
      <c r="D224" t="s">
        <v>176</v>
      </c>
      <c r="E224" t="s">
        <v>1081</v>
      </c>
      <c r="F224" t="s">
        <v>956</v>
      </c>
      <c r="G224" t="s">
        <v>1896</v>
      </c>
      <c r="H224" t="s">
        <v>3</v>
      </c>
      <c r="I224" t="s">
        <v>1081</v>
      </c>
      <c r="J224" t="s">
        <v>956</v>
      </c>
      <c r="K224" t="s">
        <v>171</v>
      </c>
      <c r="L224" t="s">
        <v>171</v>
      </c>
      <c r="O224" s="1"/>
      <c r="P224" s="1"/>
      <c r="Q224" s="1"/>
      <c r="R224" s="1"/>
    </row>
    <row r="225" spans="4:18" x14ac:dyDescent="0.35">
      <c r="D225" t="s">
        <v>176</v>
      </c>
      <c r="E225" t="s">
        <v>1081</v>
      </c>
      <c r="F225" t="s">
        <v>956</v>
      </c>
      <c r="G225" t="s">
        <v>1896</v>
      </c>
      <c r="H225" t="s">
        <v>3</v>
      </c>
      <c r="I225" t="s">
        <v>1081</v>
      </c>
      <c r="J225" t="s">
        <v>956</v>
      </c>
      <c r="K225" t="s">
        <v>345</v>
      </c>
      <c r="L225" t="s">
        <v>345</v>
      </c>
      <c r="O225" s="1"/>
      <c r="P225" s="1"/>
      <c r="Q225" s="1"/>
      <c r="R225" s="1"/>
    </row>
    <row r="226" spans="4:18" x14ac:dyDescent="0.35">
      <c r="D226" t="s">
        <v>176</v>
      </c>
      <c r="E226" t="s">
        <v>1081</v>
      </c>
      <c r="F226" t="s">
        <v>956</v>
      </c>
      <c r="G226" t="s">
        <v>1896</v>
      </c>
      <c r="I226" t="s">
        <v>1081</v>
      </c>
      <c r="J226" t="s">
        <v>956</v>
      </c>
      <c r="K226" t="s">
        <v>965</v>
      </c>
      <c r="O226" s="1"/>
      <c r="P226" s="1"/>
      <c r="Q226" s="1"/>
      <c r="R226" s="1"/>
    </row>
    <row r="227" spans="4:18" x14ac:dyDescent="0.35">
      <c r="D227" t="s">
        <v>176</v>
      </c>
      <c r="E227" t="s">
        <v>1081</v>
      </c>
      <c r="F227" t="s">
        <v>956</v>
      </c>
      <c r="G227" t="s">
        <v>1896</v>
      </c>
      <c r="I227" t="s">
        <v>1081</v>
      </c>
      <c r="J227" t="s">
        <v>956</v>
      </c>
      <c r="K227" t="s">
        <v>962</v>
      </c>
      <c r="O227" s="1"/>
      <c r="P227" s="1"/>
      <c r="Q227" s="1"/>
      <c r="R227" s="1"/>
    </row>
    <row r="228" spans="4:18" x14ac:dyDescent="0.35">
      <c r="D228" t="s">
        <v>176</v>
      </c>
      <c r="E228" t="s">
        <v>1081</v>
      </c>
      <c r="F228" t="s">
        <v>956</v>
      </c>
      <c r="G228" t="s">
        <v>1896</v>
      </c>
      <c r="I228" t="s">
        <v>1081</v>
      </c>
      <c r="J228" t="s">
        <v>956</v>
      </c>
      <c r="K228" t="s">
        <v>968</v>
      </c>
      <c r="O228" s="1"/>
      <c r="P228" s="1"/>
      <c r="Q228" s="1"/>
      <c r="R228" s="1"/>
    </row>
    <row r="229" spans="4:18" x14ac:dyDescent="0.35">
      <c r="D229" t="s">
        <v>176</v>
      </c>
      <c r="E229" t="s">
        <v>1081</v>
      </c>
      <c r="F229" t="s">
        <v>956</v>
      </c>
      <c r="G229" t="s">
        <v>1896</v>
      </c>
      <c r="I229" t="s">
        <v>1081</v>
      </c>
      <c r="J229" t="s">
        <v>956</v>
      </c>
      <c r="K229" t="s">
        <v>969</v>
      </c>
      <c r="O229" s="1"/>
      <c r="P229" s="1"/>
      <c r="Q229" s="1"/>
      <c r="R229" s="1"/>
    </row>
    <row r="230" spans="4:18" x14ac:dyDescent="0.35">
      <c r="D230" t="s">
        <v>176</v>
      </c>
      <c r="E230" t="s">
        <v>1081</v>
      </c>
      <c r="F230" t="s">
        <v>956</v>
      </c>
      <c r="G230" t="s">
        <v>1896</v>
      </c>
      <c r="I230" t="s">
        <v>1081</v>
      </c>
      <c r="J230" t="s">
        <v>956</v>
      </c>
      <c r="K230" t="s">
        <v>970</v>
      </c>
      <c r="O230" s="1"/>
      <c r="P230" s="1"/>
      <c r="Q230" s="1"/>
      <c r="R230" s="1"/>
    </row>
    <row r="231" spans="4:18" x14ac:dyDescent="0.35">
      <c r="D231" t="s">
        <v>176</v>
      </c>
      <c r="E231" t="s">
        <v>1081</v>
      </c>
      <c r="F231" t="s">
        <v>956</v>
      </c>
      <c r="G231" t="s">
        <v>1896</v>
      </c>
      <c r="I231" t="s">
        <v>1081</v>
      </c>
      <c r="J231" t="s">
        <v>956</v>
      </c>
      <c r="K231" t="s">
        <v>977</v>
      </c>
      <c r="O231" s="1"/>
      <c r="P231" s="1"/>
      <c r="Q231" s="1"/>
      <c r="R231" s="1"/>
    </row>
    <row r="232" spans="4:18" x14ac:dyDescent="0.35">
      <c r="D232" t="s">
        <v>176</v>
      </c>
      <c r="E232" t="s">
        <v>1081</v>
      </c>
      <c r="F232" t="s">
        <v>956</v>
      </c>
      <c r="G232" t="s">
        <v>1896</v>
      </c>
      <c r="I232" t="s">
        <v>1081</v>
      </c>
      <c r="J232" t="s">
        <v>956</v>
      </c>
      <c r="K232" t="s">
        <v>2582</v>
      </c>
      <c r="O232" s="1"/>
      <c r="P232" s="1"/>
      <c r="Q232" s="1"/>
      <c r="R232" s="1"/>
    </row>
    <row r="233" spans="4:18" x14ac:dyDescent="0.35">
      <c r="D233" t="s">
        <v>176</v>
      </c>
      <c r="E233" t="s">
        <v>1081</v>
      </c>
      <c r="F233" t="s">
        <v>956</v>
      </c>
      <c r="G233" t="s">
        <v>1896</v>
      </c>
      <c r="I233" t="s">
        <v>1081</v>
      </c>
      <c r="J233" t="s">
        <v>956</v>
      </c>
      <c r="K233" t="s">
        <v>980</v>
      </c>
      <c r="O233" s="1"/>
      <c r="P233" s="1"/>
      <c r="Q233" s="1"/>
      <c r="R233" s="1"/>
    </row>
    <row r="234" spans="4:18" x14ac:dyDescent="0.35">
      <c r="D234" t="s">
        <v>176</v>
      </c>
      <c r="E234" t="s">
        <v>1081</v>
      </c>
      <c r="F234" t="s">
        <v>956</v>
      </c>
      <c r="G234" t="s">
        <v>1896</v>
      </c>
      <c r="I234" t="s">
        <v>1081</v>
      </c>
      <c r="J234" t="s">
        <v>956</v>
      </c>
      <c r="K234" t="s">
        <v>983</v>
      </c>
      <c r="O234" s="1"/>
      <c r="P234" s="1"/>
      <c r="Q234" s="1"/>
      <c r="R234" s="1"/>
    </row>
    <row r="235" spans="4:18" x14ac:dyDescent="0.35">
      <c r="D235" t="s">
        <v>176</v>
      </c>
      <c r="E235" t="s">
        <v>1081</v>
      </c>
      <c r="F235" t="s">
        <v>956</v>
      </c>
      <c r="G235" t="s">
        <v>1896</v>
      </c>
      <c r="I235" t="s">
        <v>1081</v>
      </c>
      <c r="J235" t="s">
        <v>956</v>
      </c>
      <c r="K235" t="s">
        <v>1900</v>
      </c>
      <c r="O235" s="1"/>
      <c r="P235" s="1"/>
      <c r="Q235" s="1"/>
      <c r="R235" s="1"/>
    </row>
    <row r="236" spans="4:18" x14ac:dyDescent="0.35">
      <c r="D236" t="s">
        <v>176</v>
      </c>
      <c r="E236" t="s">
        <v>1081</v>
      </c>
      <c r="F236" t="s">
        <v>956</v>
      </c>
      <c r="G236" t="s">
        <v>1896</v>
      </c>
      <c r="I236" t="s">
        <v>1081</v>
      </c>
      <c r="J236" t="s">
        <v>956</v>
      </c>
      <c r="K236" t="s">
        <v>2154</v>
      </c>
      <c r="O236" s="1"/>
      <c r="P236" s="1"/>
      <c r="Q236" s="1"/>
      <c r="R236" s="1"/>
    </row>
    <row r="237" spans="4:18" x14ac:dyDescent="0.35">
      <c r="D237" t="s">
        <v>176</v>
      </c>
      <c r="E237" t="s">
        <v>1081</v>
      </c>
      <c r="F237" t="s">
        <v>956</v>
      </c>
      <c r="G237" t="s">
        <v>3</v>
      </c>
      <c r="I237" t="s">
        <v>1081</v>
      </c>
      <c r="J237" t="s">
        <v>956</v>
      </c>
      <c r="K237" t="s">
        <v>1895</v>
      </c>
      <c r="O237" s="1"/>
      <c r="P237" s="1"/>
      <c r="Q237" s="1"/>
      <c r="R237" s="1"/>
    </row>
    <row r="238" spans="4:18" x14ac:dyDescent="0.35">
      <c r="D238" t="s">
        <v>176</v>
      </c>
      <c r="E238" t="s">
        <v>1081</v>
      </c>
      <c r="F238" t="s">
        <v>956</v>
      </c>
      <c r="G238" t="s">
        <v>1895</v>
      </c>
      <c r="I238" t="s">
        <v>1081</v>
      </c>
      <c r="J238" t="s">
        <v>956</v>
      </c>
      <c r="K238" t="s">
        <v>2577</v>
      </c>
      <c r="O238" s="1"/>
      <c r="P238" s="1"/>
      <c r="Q238" s="1"/>
      <c r="R238" s="1"/>
    </row>
    <row r="239" spans="4:18" x14ac:dyDescent="0.35">
      <c r="D239" t="s">
        <v>176</v>
      </c>
      <c r="E239" t="s">
        <v>1081</v>
      </c>
      <c r="F239" t="s">
        <v>956</v>
      </c>
      <c r="G239" t="s">
        <v>1895</v>
      </c>
      <c r="I239" t="s">
        <v>1081</v>
      </c>
      <c r="J239" t="s">
        <v>956</v>
      </c>
      <c r="K239" t="s">
        <v>959</v>
      </c>
      <c r="O239" s="1"/>
      <c r="P239" s="1"/>
      <c r="Q239" s="1"/>
      <c r="R239" s="1"/>
    </row>
    <row r="240" spans="4:18" x14ac:dyDescent="0.35">
      <c r="D240" t="s">
        <v>176</v>
      </c>
      <c r="E240" t="s">
        <v>1081</v>
      </c>
      <c r="F240" t="s">
        <v>956</v>
      </c>
      <c r="G240" t="s">
        <v>1895</v>
      </c>
      <c r="I240" t="s">
        <v>1081</v>
      </c>
      <c r="J240" t="s">
        <v>956</v>
      </c>
      <c r="K240" t="s">
        <v>2588</v>
      </c>
      <c r="O240" s="1"/>
      <c r="P240" s="1"/>
      <c r="Q240" s="1"/>
      <c r="R240" s="1"/>
    </row>
    <row r="241" spans="4:18" x14ac:dyDescent="0.35">
      <c r="D241" t="s">
        <v>176</v>
      </c>
      <c r="E241" t="s">
        <v>1081</v>
      </c>
      <c r="F241" t="s">
        <v>956</v>
      </c>
      <c r="G241" t="s">
        <v>3</v>
      </c>
      <c r="I241" t="s">
        <v>1081</v>
      </c>
      <c r="J241" t="s">
        <v>956</v>
      </c>
      <c r="K241" t="s">
        <v>2273</v>
      </c>
      <c r="O241" s="1"/>
      <c r="P241" s="1"/>
      <c r="Q241" s="1"/>
      <c r="R241" s="1"/>
    </row>
    <row r="242" spans="4:18" x14ac:dyDescent="0.35">
      <c r="D242" t="s">
        <v>176</v>
      </c>
      <c r="E242" t="s">
        <v>1081</v>
      </c>
      <c r="F242" t="s">
        <v>956</v>
      </c>
      <c r="G242" t="s">
        <v>2273</v>
      </c>
      <c r="I242" t="s">
        <v>1081</v>
      </c>
      <c r="J242" t="s">
        <v>956</v>
      </c>
      <c r="K242" t="s">
        <v>2820</v>
      </c>
      <c r="O242" s="1"/>
      <c r="P242" s="1"/>
      <c r="Q242" s="1"/>
      <c r="R242" s="1"/>
    </row>
    <row r="243" spans="4:18" x14ac:dyDescent="0.35">
      <c r="D243" t="s">
        <v>176</v>
      </c>
      <c r="E243" t="s">
        <v>1081</v>
      </c>
      <c r="F243" t="s">
        <v>956</v>
      </c>
      <c r="G243" t="s">
        <v>2273</v>
      </c>
      <c r="I243" t="s">
        <v>1081</v>
      </c>
      <c r="J243" t="s">
        <v>956</v>
      </c>
      <c r="K243" t="s">
        <v>2276</v>
      </c>
      <c r="O243" s="1"/>
      <c r="P243" s="1"/>
      <c r="Q243" s="1"/>
      <c r="R243" s="1"/>
    </row>
    <row r="244" spans="4:18" x14ac:dyDescent="0.35">
      <c r="D244" t="s">
        <v>176</v>
      </c>
      <c r="E244" t="s">
        <v>1081</v>
      </c>
      <c r="F244" t="s">
        <v>956</v>
      </c>
      <c r="G244" t="s">
        <v>2273</v>
      </c>
      <c r="I244" t="s">
        <v>1081</v>
      </c>
      <c r="J244" t="s">
        <v>956</v>
      </c>
      <c r="K244" t="s">
        <v>2539</v>
      </c>
      <c r="O244" s="1"/>
      <c r="P244" s="1"/>
      <c r="Q244" s="1"/>
      <c r="R244" s="1"/>
    </row>
    <row r="245" spans="4:18" x14ac:dyDescent="0.35">
      <c r="D245" t="s">
        <v>176</v>
      </c>
      <c r="E245" t="s">
        <v>1081</v>
      </c>
      <c r="F245" t="s">
        <v>956</v>
      </c>
      <c r="G245" t="s">
        <v>2273</v>
      </c>
      <c r="I245" t="s">
        <v>1081</v>
      </c>
      <c r="J245" t="s">
        <v>956</v>
      </c>
      <c r="K245" t="s">
        <v>2312</v>
      </c>
      <c r="O245" s="1"/>
      <c r="P245" s="1"/>
      <c r="Q245" s="1"/>
      <c r="R245" s="1"/>
    </row>
    <row r="246" spans="4:18" x14ac:dyDescent="0.35">
      <c r="D246" t="s">
        <v>176</v>
      </c>
      <c r="E246" t="s">
        <v>1081</v>
      </c>
      <c r="F246" t="s">
        <v>956</v>
      </c>
      <c r="G246" t="s">
        <v>2273</v>
      </c>
      <c r="I246" t="s">
        <v>1081</v>
      </c>
      <c r="J246" t="s">
        <v>956</v>
      </c>
      <c r="K246" t="s">
        <v>2540</v>
      </c>
      <c r="O246" s="1"/>
      <c r="P246" s="1"/>
      <c r="Q246" s="1"/>
      <c r="R246" s="1"/>
    </row>
    <row r="247" spans="4:18" x14ac:dyDescent="0.35">
      <c r="D247" t="s">
        <v>176</v>
      </c>
      <c r="E247" t="s">
        <v>1081</v>
      </c>
      <c r="F247" t="s">
        <v>956</v>
      </c>
      <c r="G247" t="s">
        <v>3</v>
      </c>
      <c r="I247" t="s">
        <v>1081</v>
      </c>
      <c r="J247" t="s">
        <v>956</v>
      </c>
      <c r="K247" t="s">
        <v>2545</v>
      </c>
      <c r="O247" s="1"/>
      <c r="P247" s="1"/>
      <c r="Q247" s="1"/>
      <c r="R247" s="1"/>
    </row>
    <row r="248" spans="4:18" x14ac:dyDescent="0.35">
      <c r="D248" t="s">
        <v>176</v>
      </c>
      <c r="E248" t="s">
        <v>1081</v>
      </c>
      <c r="F248" t="s">
        <v>956</v>
      </c>
      <c r="G248" t="s">
        <v>2545</v>
      </c>
      <c r="I248" t="s">
        <v>1081</v>
      </c>
      <c r="J248" t="s">
        <v>956</v>
      </c>
      <c r="K248" t="s">
        <v>2568</v>
      </c>
      <c r="O248" s="1"/>
      <c r="P248" s="1"/>
      <c r="Q248" s="1"/>
      <c r="R248" s="1"/>
    </row>
    <row r="249" spans="4:18" x14ac:dyDescent="0.35">
      <c r="D249" t="s">
        <v>176</v>
      </c>
      <c r="E249" t="s">
        <v>1081</v>
      </c>
      <c r="F249" t="s">
        <v>956</v>
      </c>
      <c r="G249" t="s">
        <v>2545</v>
      </c>
      <c r="I249" t="s">
        <v>1081</v>
      </c>
      <c r="J249" t="s">
        <v>956</v>
      </c>
      <c r="K249" t="s">
        <v>2548</v>
      </c>
      <c r="O249" s="1"/>
      <c r="P249" s="1"/>
      <c r="Q249" s="1"/>
      <c r="R249" s="1"/>
    </row>
    <row r="250" spans="4:18" x14ac:dyDescent="0.35">
      <c r="D250" t="s">
        <v>176</v>
      </c>
      <c r="E250" t="s">
        <v>1081</v>
      </c>
      <c r="F250" t="s">
        <v>956</v>
      </c>
      <c r="G250" t="s">
        <v>2545</v>
      </c>
      <c r="I250" t="s">
        <v>1081</v>
      </c>
      <c r="J250" t="s">
        <v>956</v>
      </c>
      <c r="K250" t="s">
        <v>2553</v>
      </c>
      <c r="O250" s="1"/>
      <c r="P250" s="1"/>
      <c r="Q250" s="1"/>
      <c r="R250" s="1"/>
    </row>
    <row r="251" spans="4:18" x14ac:dyDescent="0.35">
      <c r="D251" t="s">
        <v>176</v>
      </c>
      <c r="E251" t="s">
        <v>1081</v>
      </c>
      <c r="F251" t="s">
        <v>956</v>
      </c>
      <c r="G251" t="s">
        <v>3</v>
      </c>
      <c r="I251" t="s">
        <v>1081</v>
      </c>
      <c r="J251" t="s">
        <v>956</v>
      </c>
      <c r="K251" t="s">
        <v>2558</v>
      </c>
      <c r="O251" s="1"/>
      <c r="P251" s="1"/>
      <c r="Q251" s="1"/>
      <c r="R251" s="1"/>
    </row>
    <row r="252" spans="4:18" x14ac:dyDescent="0.35">
      <c r="D252" t="s">
        <v>176</v>
      </c>
      <c r="E252" t="s">
        <v>1081</v>
      </c>
      <c r="F252" t="s">
        <v>956</v>
      </c>
      <c r="G252" t="s">
        <v>2558</v>
      </c>
      <c r="I252" t="s">
        <v>1081</v>
      </c>
      <c r="J252" t="s">
        <v>956</v>
      </c>
      <c r="K252" t="s">
        <v>2561</v>
      </c>
      <c r="O252" s="1"/>
      <c r="P252" s="1"/>
      <c r="Q252" s="1"/>
      <c r="R252" s="1"/>
    </row>
    <row r="253" spans="4:18" x14ac:dyDescent="0.35">
      <c r="D253" t="s">
        <v>176</v>
      </c>
      <c r="E253" t="s">
        <v>1081</v>
      </c>
      <c r="F253" t="s">
        <v>956</v>
      </c>
      <c r="G253" t="s">
        <v>2558</v>
      </c>
      <c r="I253" t="s">
        <v>1081</v>
      </c>
      <c r="J253" t="s">
        <v>956</v>
      </c>
      <c r="K253" t="s">
        <v>2593</v>
      </c>
      <c r="O253" s="1"/>
      <c r="P253" s="1"/>
      <c r="Q253" s="1"/>
      <c r="R253" s="1"/>
    </row>
    <row r="254" spans="4:18" x14ac:dyDescent="0.35">
      <c r="F254"/>
      <c r="O254" s="1"/>
      <c r="P254" s="1"/>
      <c r="Q254" s="1"/>
      <c r="R254" s="1"/>
    </row>
    <row r="255" spans="4:18" x14ac:dyDescent="0.35">
      <c r="D255" t="s">
        <v>176</v>
      </c>
      <c r="E255" t="s">
        <v>1081</v>
      </c>
      <c r="F255" t="s">
        <v>956</v>
      </c>
      <c r="G255" t="s">
        <v>291</v>
      </c>
      <c r="H255" t="s">
        <v>291</v>
      </c>
      <c r="I255" t="s">
        <v>1081</v>
      </c>
      <c r="J255" t="s">
        <v>956</v>
      </c>
      <c r="K255" t="s">
        <v>397</v>
      </c>
      <c r="L255" t="s">
        <v>397</v>
      </c>
      <c r="O255" s="1"/>
      <c r="P255" s="1"/>
      <c r="Q255" s="1"/>
      <c r="R255" s="1"/>
    </row>
    <row r="256" spans="4:18" x14ac:dyDescent="0.35">
      <c r="D256" t="s">
        <v>176</v>
      </c>
      <c r="E256" t="s">
        <v>1081</v>
      </c>
      <c r="F256" t="s">
        <v>956</v>
      </c>
      <c r="G256" t="s">
        <v>291</v>
      </c>
      <c r="I256" t="s">
        <v>1081</v>
      </c>
      <c r="J256" t="s">
        <v>956</v>
      </c>
      <c r="K256" t="s">
        <v>1002</v>
      </c>
      <c r="O256" s="1"/>
      <c r="P256" s="1"/>
      <c r="Q256" s="1"/>
      <c r="R256" s="1"/>
    </row>
    <row r="257" spans="4:18" x14ac:dyDescent="0.35">
      <c r="D257" t="s">
        <v>176</v>
      </c>
      <c r="E257" t="s">
        <v>1081</v>
      </c>
      <c r="F257" t="s">
        <v>956</v>
      </c>
      <c r="G257" t="s">
        <v>291</v>
      </c>
      <c r="I257" t="s">
        <v>1081</v>
      </c>
      <c r="J257" t="s">
        <v>956</v>
      </c>
      <c r="K257" t="s">
        <v>1005</v>
      </c>
      <c r="O257" s="1"/>
      <c r="P257" s="1"/>
      <c r="Q257" s="1"/>
      <c r="R257" s="1"/>
    </row>
    <row r="258" spans="4:18" x14ac:dyDescent="0.35">
      <c r="D258" t="s">
        <v>176</v>
      </c>
      <c r="E258" t="s">
        <v>1081</v>
      </c>
      <c r="F258" t="s">
        <v>956</v>
      </c>
      <c r="G258" t="s">
        <v>291</v>
      </c>
      <c r="I258" t="s">
        <v>1081</v>
      </c>
      <c r="J258" t="s">
        <v>956</v>
      </c>
      <c r="K258" t="s">
        <v>1008</v>
      </c>
      <c r="O258" s="1"/>
      <c r="P258" s="1"/>
      <c r="Q258" s="1"/>
      <c r="R258" s="1"/>
    </row>
    <row r="259" spans="4:18" x14ac:dyDescent="0.35">
      <c r="D259" t="s">
        <v>176</v>
      </c>
      <c r="E259" t="s">
        <v>1081</v>
      </c>
      <c r="F259" t="s">
        <v>956</v>
      </c>
      <c r="G259" t="s">
        <v>291</v>
      </c>
      <c r="H259" t="s">
        <v>291</v>
      </c>
      <c r="I259" t="s">
        <v>1081</v>
      </c>
      <c r="J259" t="s">
        <v>956</v>
      </c>
      <c r="K259" t="s">
        <v>641</v>
      </c>
      <c r="L259" t="s">
        <v>641</v>
      </c>
      <c r="O259" s="1"/>
      <c r="P259" s="1"/>
      <c r="Q259" s="1"/>
      <c r="R259" s="1"/>
    </row>
    <row r="260" spans="4:18" x14ac:dyDescent="0.35">
      <c r="D260" t="s">
        <v>176</v>
      </c>
      <c r="E260" t="s">
        <v>1081</v>
      </c>
      <c r="F260" t="s">
        <v>956</v>
      </c>
      <c r="G260" t="s">
        <v>291</v>
      </c>
      <c r="H260" t="s">
        <v>291</v>
      </c>
      <c r="I260" t="s">
        <v>1081</v>
      </c>
      <c r="J260" t="s">
        <v>956</v>
      </c>
      <c r="K260" t="s">
        <v>631</v>
      </c>
      <c r="L260" t="s">
        <v>631</v>
      </c>
      <c r="O260" s="1"/>
      <c r="P260" s="1"/>
      <c r="Q260" s="1"/>
      <c r="R260" s="1"/>
    </row>
    <row r="261" spans="4:18" x14ac:dyDescent="0.35">
      <c r="D261" t="s">
        <v>176</v>
      </c>
      <c r="E261" t="s">
        <v>1081</v>
      </c>
      <c r="F261" t="s">
        <v>956</v>
      </c>
      <c r="G261" t="s">
        <v>291</v>
      </c>
      <c r="I261" t="s">
        <v>1081</v>
      </c>
      <c r="J261" t="s">
        <v>956</v>
      </c>
      <c r="K261" t="s">
        <v>1011</v>
      </c>
      <c r="O261" s="1"/>
      <c r="P261" s="1"/>
      <c r="Q261" s="1"/>
      <c r="R261" s="1"/>
    </row>
    <row r="262" spans="4:18" x14ac:dyDescent="0.35">
      <c r="D262" t="s">
        <v>176</v>
      </c>
      <c r="E262" t="s">
        <v>1081</v>
      </c>
      <c r="F262" t="s">
        <v>956</v>
      </c>
      <c r="G262" t="s">
        <v>291</v>
      </c>
      <c r="I262" t="s">
        <v>1081</v>
      </c>
      <c r="J262" t="s">
        <v>956</v>
      </c>
      <c r="K262" t="s">
        <v>1015</v>
      </c>
      <c r="O262" s="1"/>
      <c r="P262" s="1"/>
      <c r="Q262" s="1"/>
      <c r="R262" s="1"/>
    </row>
    <row r="263" spans="4:18" x14ac:dyDescent="0.35">
      <c r="D263" t="s">
        <v>176</v>
      </c>
      <c r="E263" t="s">
        <v>1081</v>
      </c>
      <c r="F263" t="s">
        <v>956</v>
      </c>
      <c r="G263" t="s">
        <v>291</v>
      </c>
      <c r="I263" t="s">
        <v>1081</v>
      </c>
      <c r="J263" t="s">
        <v>956</v>
      </c>
      <c r="K263" t="s">
        <v>1018</v>
      </c>
      <c r="O263" s="1"/>
      <c r="P263" s="1"/>
      <c r="Q263" s="1"/>
      <c r="R263" s="1"/>
    </row>
    <row r="264" spans="4:18" x14ac:dyDescent="0.35">
      <c r="D264" t="s">
        <v>176</v>
      </c>
      <c r="E264" t="s">
        <v>1081</v>
      </c>
      <c r="F264" t="s">
        <v>956</v>
      </c>
      <c r="G264" t="s">
        <v>291</v>
      </c>
      <c r="I264" t="s">
        <v>1081</v>
      </c>
      <c r="J264" t="s">
        <v>956</v>
      </c>
      <c r="K264" t="s">
        <v>1021</v>
      </c>
      <c r="O264" s="1"/>
      <c r="P264" s="1"/>
      <c r="Q264" s="1"/>
      <c r="R264" s="1"/>
    </row>
    <row r="265" spans="4:18" x14ac:dyDescent="0.35">
      <c r="D265" t="s">
        <v>176</v>
      </c>
      <c r="E265" t="s">
        <v>1081</v>
      </c>
      <c r="F265" t="s">
        <v>956</v>
      </c>
      <c r="G265" t="s">
        <v>291</v>
      </c>
      <c r="H265" t="s">
        <v>291</v>
      </c>
      <c r="I265" t="s">
        <v>1081</v>
      </c>
      <c r="J265" t="s">
        <v>956</v>
      </c>
      <c r="K265" t="s">
        <v>638</v>
      </c>
      <c r="L265" t="s">
        <v>638</v>
      </c>
      <c r="O265" s="1"/>
      <c r="P265" s="1"/>
      <c r="Q265" s="1"/>
      <c r="R265" s="1"/>
    </row>
    <row r="266" spans="4:18" x14ac:dyDescent="0.35">
      <c r="D266" t="s">
        <v>176</v>
      </c>
      <c r="E266" t="s">
        <v>1081</v>
      </c>
      <c r="F266" t="s">
        <v>956</v>
      </c>
      <c r="G266" t="s">
        <v>291</v>
      </c>
      <c r="I266" t="s">
        <v>1081</v>
      </c>
      <c r="J266" t="s">
        <v>956</v>
      </c>
      <c r="K266" t="s">
        <v>1024</v>
      </c>
      <c r="O266" s="1"/>
      <c r="P266" s="1"/>
      <c r="Q266" s="1"/>
      <c r="R266" s="1"/>
    </row>
    <row r="267" spans="4:18" x14ac:dyDescent="0.35">
      <c r="D267" t="s">
        <v>176</v>
      </c>
      <c r="E267" t="s">
        <v>1081</v>
      </c>
      <c r="F267" t="s">
        <v>956</v>
      </c>
      <c r="G267" t="s">
        <v>291</v>
      </c>
      <c r="I267" t="s">
        <v>1081</v>
      </c>
      <c r="J267" t="s">
        <v>956</v>
      </c>
      <c r="K267" t="s">
        <v>1027</v>
      </c>
      <c r="O267" s="1"/>
      <c r="P267" s="1"/>
      <c r="Q267" s="1"/>
      <c r="R267" s="1"/>
    </row>
    <row r="268" spans="4:18" x14ac:dyDescent="0.35">
      <c r="F268"/>
      <c r="O268" s="1"/>
      <c r="P268" s="1"/>
      <c r="Q268" s="1"/>
      <c r="R268" s="1"/>
    </row>
    <row r="269" spans="4:18" x14ac:dyDescent="0.35">
      <c r="D269" t="s">
        <v>176</v>
      </c>
      <c r="E269" t="s">
        <v>1081</v>
      </c>
      <c r="F269" t="s">
        <v>956</v>
      </c>
      <c r="G269" t="s">
        <v>1030</v>
      </c>
      <c r="H269" t="s">
        <v>634</v>
      </c>
      <c r="I269" t="s">
        <v>1081</v>
      </c>
      <c r="J269" t="s">
        <v>956</v>
      </c>
      <c r="K269" t="s">
        <v>1034</v>
      </c>
      <c r="L269" t="s">
        <v>636</v>
      </c>
      <c r="O269" s="1"/>
      <c r="P269" s="1"/>
      <c r="Q269" s="1"/>
      <c r="R269" s="1"/>
    </row>
    <row r="270" spans="4:18" x14ac:dyDescent="0.35">
      <c r="D270" t="s">
        <v>176</v>
      </c>
      <c r="E270" t="s">
        <v>1081</v>
      </c>
      <c r="F270" t="s">
        <v>956</v>
      </c>
      <c r="G270" t="s">
        <v>1030</v>
      </c>
      <c r="I270" t="s">
        <v>1081</v>
      </c>
      <c r="J270" t="s">
        <v>956</v>
      </c>
      <c r="K270" t="s">
        <v>1035</v>
      </c>
      <c r="O270" s="1"/>
      <c r="P270" s="1"/>
      <c r="Q270" s="1"/>
      <c r="R270" s="1"/>
    </row>
    <row r="271" spans="4:18" x14ac:dyDescent="0.35">
      <c r="D271" t="s">
        <v>176</v>
      </c>
      <c r="E271" t="s">
        <v>1081</v>
      </c>
      <c r="F271" t="s">
        <v>956</v>
      </c>
      <c r="G271" t="s">
        <v>1030</v>
      </c>
      <c r="I271" t="s">
        <v>1081</v>
      </c>
      <c r="J271" t="s">
        <v>956</v>
      </c>
      <c r="K271" t="s">
        <v>1042</v>
      </c>
      <c r="O271" s="1"/>
      <c r="P271" s="1"/>
      <c r="Q271" s="1"/>
      <c r="R271" s="1"/>
    </row>
    <row r="272" spans="4:18" x14ac:dyDescent="0.35">
      <c r="D272" t="s">
        <v>176</v>
      </c>
      <c r="E272" t="s">
        <v>1081</v>
      </c>
      <c r="F272" t="s">
        <v>956</v>
      </c>
      <c r="G272" t="s">
        <v>1030</v>
      </c>
      <c r="I272" t="s">
        <v>1081</v>
      </c>
      <c r="J272" t="s">
        <v>956</v>
      </c>
      <c r="K272" t="s">
        <v>1036</v>
      </c>
      <c r="O272" s="1"/>
      <c r="P272" s="1"/>
      <c r="Q272" s="1"/>
      <c r="R272" s="1"/>
    </row>
    <row r="273" spans="4:18" x14ac:dyDescent="0.35">
      <c r="D273" t="s">
        <v>176</v>
      </c>
      <c r="E273" t="s">
        <v>1081</v>
      </c>
      <c r="F273" t="s">
        <v>956</v>
      </c>
      <c r="G273" t="s">
        <v>1030</v>
      </c>
      <c r="I273" t="s">
        <v>1081</v>
      </c>
      <c r="J273" t="s">
        <v>956</v>
      </c>
      <c r="K273" t="s">
        <v>1039</v>
      </c>
      <c r="O273" s="1"/>
      <c r="P273" s="1"/>
      <c r="Q273" s="1"/>
      <c r="R273" s="1"/>
    </row>
    <row r="274" spans="4:18" x14ac:dyDescent="0.35">
      <c r="D274" t="s">
        <v>176</v>
      </c>
      <c r="E274" t="s">
        <v>1081</v>
      </c>
      <c r="F274" t="s">
        <v>956</v>
      </c>
      <c r="G274" t="s">
        <v>1030</v>
      </c>
      <c r="I274" t="s">
        <v>1081</v>
      </c>
      <c r="J274" t="s">
        <v>956</v>
      </c>
      <c r="K274" t="s">
        <v>1045</v>
      </c>
      <c r="O274" s="1"/>
      <c r="P274" s="1"/>
      <c r="Q274" s="1"/>
      <c r="R274" s="1"/>
    </row>
    <row r="275" spans="4:18" x14ac:dyDescent="0.35">
      <c r="F275"/>
      <c r="O275" s="1"/>
      <c r="P275" s="1"/>
      <c r="Q275" s="1"/>
      <c r="R275" s="1"/>
    </row>
    <row r="276" spans="4:18" x14ac:dyDescent="0.35">
      <c r="D276" t="s">
        <v>176</v>
      </c>
      <c r="E276" t="s">
        <v>1081</v>
      </c>
      <c r="F276" t="s">
        <v>956</v>
      </c>
      <c r="G276" t="s">
        <v>329</v>
      </c>
      <c r="H276" t="s">
        <v>329</v>
      </c>
      <c r="I276" t="s">
        <v>1081</v>
      </c>
      <c r="J276" t="s">
        <v>956</v>
      </c>
      <c r="K276" t="s">
        <v>324</v>
      </c>
      <c r="L276" t="s">
        <v>324</v>
      </c>
      <c r="O276" s="1"/>
      <c r="P276" s="1"/>
      <c r="Q276" s="1"/>
      <c r="R276" s="1"/>
    </row>
    <row r="277" spans="4:18" x14ac:dyDescent="0.35">
      <c r="D277" t="s">
        <v>176</v>
      </c>
      <c r="E277" t="s">
        <v>1081</v>
      </c>
      <c r="F277" t="s">
        <v>956</v>
      </c>
      <c r="G277" t="s">
        <v>986</v>
      </c>
      <c r="I277" t="s">
        <v>1081</v>
      </c>
      <c r="J277" t="s">
        <v>956</v>
      </c>
      <c r="K277" t="s">
        <v>989</v>
      </c>
      <c r="O277" s="1"/>
      <c r="P277" s="1"/>
      <c r="Q277" s="1"/>
      <c r="R277" s="1"/>
    </row>
    <row r="278" spans="4:18" x14ac:dyDescent="0.35">
      <c r="D278" t="s">
        <v>176</v>
      </c>
      <c r="E278" t="s">
        <v>1081</v>
      </c>
      <c r="F278" t="s">
        <v>956</v>
      </c>
      <c r="G278" t="s">
        <v>986</v>
      </c>
      <c r="I278" t="s">
        <v>1081</v>
      </c>
      <c r="J278" t="s">
        <v>956</v>
      </c>
      <c r="K278" t="s">
        <v>992</v>
      </c>
      <c r="O278" s="1"/>
      <c r="P278" s="1"/>
      <c r="Q278" s="1"/>
      <c r="R278" s="1"/>
    </row>
    <row r="279" spans="4:18" x14ac:dyDescent="0.35">
      <c r="D279" t="s">
        <v>176</v>
      </c>
      <c r="E279" t="s">
        <v>1081</v>
      </c>
      <c r="F279" t="s">
        <v>956</v>
      </c>
      <c r="G279" t="s">
        <v>986</v>
      </c>
      <c r="I279" t="s">
        <v>1081</v>
      </c>
      <c r="J279" t="s">
        <v>956</v>
      </c>
      <c r="K279" t="s">
        <v>995</v>
      </c>
      <c r="O279" s="1"/>
      <c r="P279" s="1"/>
      <c r="Q279" s="1"/>
      <c r="R279" s="1"/>
    </row>
    <row r="280" spans="4:18" x14ac:dyDescent="0.35">
      <c r="D280" t="s">
        <v>176</v>
      </c>
      <c r="E280" t="s">
        <v>1081</v>
      </c>
      <c r="F280" t="s">
        <v>956</v>
      </c>
      <c r="G280" t="s">
        <v>986</v>
      </c>
      <c r="I280" t="s">
        <v>1081</v>
      </c>
      <c r="J280" t="s">
        <v>956</v>
      </c>
      <c r="K280" t="s">
        <v>998</v>
      </c>
      <c r="O280" s="1"/>
      <c r="P280" s="1"/>
      <c r="Q280" s="1"/>
      <c r="R280" s="1"/>
    </row>
    <row r="281" spans="4:18" x14ac:dyDescent="0.35">
      <c r="D281" t="s">
        <v>176</v>
      </c>
      <c r="E281" t="s">
        <v>1081</v>
      </c>
      <c r="F281" t="s">
        <v>956</v>
      </c>
      <c r="G281" t="s">
        <v>1067</v>
      </c>
      <c r="I281" t="s">
        <v>1081</v>
      </c>
      <c r="J281" t="s">
        <v>956</v>
      </c>
      <c r="K281" t="s">
        <v>1069</v>
      </c>
      <c r="O281" s="1"/>
      <c r="P281" s="1"/>
      <c r="Q281" s="1"/>
      <c r="R281" s="1"/>
    </row>
    <row r="282" spans="4:18" x14ac:dyDescent="0.35">
      <c r="D282" t="s">
        <v>176</v>
      </c>
      <c r="E282" t="s">
        <v>1081</v>
      </c>
      <c r="F282" t="s">
        <v>956</v>
      </c>
      <c r="G282" t="s">
        <v>1067</v>
      </c>
      <c r="I282" t="s">
        <v>1081</v>
      </c>
      <c r="J282" t="s">
        <v>956</v>
      </c>
      <c r="K282" t="s">
        <v>1071</v>
      </c>
      <c r="O282" s="1"/>
      <c r="P282" s="1"/>
      <c r="Q282" s="1"/>
      <c r="R282" s="1"/>
    </row>
    <row r="283" spans="4:18" x14ac:dyDescent="0.35">
      <c r="D283" t="s">
        <v>176</v>
      </c>
      <c r="E283" t="s">
        <v>1081</v>
      </c>
      <c r="F283" t="s">
        <v>956</v>
      </c>
      <c r="G283" t="s">
        <v>1067</v>
      </c>
      <c r="I283" t="s">
        <v>1081</v>
      </c>
      <c r="J283" t="s">
        <v>956</v>
      </c>
      <c r="K283" t="s">
        <v>1074</v>
      </c>
      <c r="O283" s="1"/>
      <c r="P283" s="1"/>
      <c r="Q283" s="1"/>
      <c r="R283" s="1"/>
    </row>
    <row r="284" spans="4:18" x14ac:dyDescent="0.35">
      <c r="D284" t="s">
        <v>176</v>
      </c>
      <c r="E284" t="s">
        <v>1081</v>
      </c>
      <c r="F284" t="s">
        <v>956</v>
      </c>
      <c r="G284" t="s">
        <v>1067</v>
      </c>
      <c r="I284" t="s">
        <v>1081</v>
      </c>
      <c r="J284" t="s">
        <v>956</v>
      </c>
      <c r="K284" t="s">
        <v>1075</v>
      </c>
      <c r="O284" s="1"/>
      <c r="P284" s="1"/>
      <c r="Q284" s="1"/>
      <c r="R284" s="1"/>
    </row>
    <row r="285" spans="4:18" x14ac:dyDescent="0.35">
      <c r="D285" t="s">
        <v>176</v>
      </c>
      <c r="E285" t="s">
        <v>1081</v>
      </c>
      <c r="F285" t="s">
        <v>956</v>
      </c>
      <c r="G285" t="s">
        <v>1098</v>
      </c>
      <c r="I285" t="s">
        <v>1081</v>
      </c>
      <c r="J285" t="s">
        <v>956</v>
      </c>
      <c r="K285" t="s">
        <v>1101</v>
      </c>
      <c r="O285" s="1"/>
      <c r="P285" s="1"/>
      <c r="Q285" s="1"/>
      <c r="R285" s="1"/>
    </row>
    <row r="286" spans="4:18" x14ac:dyDescent="0.35">
      <c r="D286" t="s">
        <v>176</v>
      </c>
      <c r="E286" t="s">
        <v>1081</v>
      </c>
      <c r="F286" t="s">
        <v>956</v>
      </c>
      <c r="G286" t="s">
        <v>1098</v>
      </c>
      <c r="I286" t="s">
        <v>1081</v>
      </c>
      <c r="J286" t="s">
        <v>956</v>
      </c>
      <c r="K286" t="s">
        <v>1791</v>
      </c>
      <c r="O286" s="1"/>
      <c r="P286" s="1"/>
      <c r="Q286" s="1"/>
      <c r="R286" s="1"/>
    </row>
    <row r="287" spans="4:18" x14ac:dyDescent="0.35">
      <c r="D287" t="s">
        <v>176</v>
      </c>
      <c r="E287" t="s">
        <v>1081</v>
      </c>
      <c r="F287" t="s">
        <v>956</v>
      </c>
      <c r="G287" t="s">
        <v>1098</v>
      </c>
      <c r="I287" t="s">
        <v>1081</v>
      </c>
      <c r="J287" t="s">
        <v>956</v>
      </c>
      <c r="K287" t="s">
        <v>1106</v>
      </c>
      <c r="O287" s="1"/>
      <c r="P287" s="1"/>
      <c r="Q287" s="1"/>
      <c r="R287" s="1"/>
    </row>
    <row r="288" spans="4:18" x14ac:dyDescent="0.35">
      <c r="D288" t="s">
        <v>176</v>
      </c>
      <c r="E288" t="s">
        <v>1081</v>
      </c>
      <c r="F288" t="s">
        <v>956</v>
      </c>
      <c r="G288" t="s">
        <v>1098</v>
      </c>
      <c r="I288" t="s">
        <v>1081</v>
      </c>
      <c r="J288" t="s">
        <v>956</v>
      </c>
      <c r="K288" t="s">
        <v>1109</v>
      </c>
      <c r="O288" s="1"/>
      <c r="P288" s="1"/>
      <c r="Q288" s="1"/>
      <c r="R288" s="1"/>
    </row>
    <row r="289" spans="1:18" x14ac:dyDescent="0.35">
      <c r="D289" t="s">
        <v>176</v>
      </c>
      <c r="E289" t="s">
        <v>1081</v>
      </c>
      <c r="F289" t="s">
        <v>956</v>
      </c>
      <c r="G289" t="s">
        <v>1098</v>
      </c>
      <c r="I289" t="s">
        <v>1081</v>
      </c>
      <c r="J289" t="s">
        <v>956</v>
      </c>
      <c r="K289" t="s">
        <v>1112</v>
      </c>
      <c r="O289" s="1"/>
      <c r="P289" s="1"/>
      <c r="Q289" s="1"/>
      <c r="R289" s="1"/>
    </row>
    <row r="290" spans="1:18" x14ac:dyDescent="0.35">
      <c r="D290" t="s">
        <v>1181</v>
      </c>
      <c r="E290" t="s">
        <v>1081</v>
      </c>
      <c r="F290" t="s">
        <v>956</v>
      </c>
      <c r="G290" t="s">
        <v>2173</v>
      </c>
      <c r="I290" t="s">
        <v>1081</v>
      </c>
      <c r="J290" t="s">
        <v>956</v>
      </c>
      <c r="K290" t="s">
        <v>2179</v>
      </c>
      <c r="O290" s="1"/>
      <c r="P290" s="1"/>
      <c r="Q290" s="1"/>
      <c r="R290" s="1"/>
    </row>
    <row r="291" spans="1:18" s="15" customFormat="1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s="1"/>
      <c r="P291" s="1"/>
      <c r="Q291" s="1"/>
      <c r="R291" s="1"/>
    </row>
    <row r="292" spans="1:18" s="24" customFormat="1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20"/>
      <c r="P292" s="20"/>
      <c r="Q292" s="20"/>
      <c r="R292" s="20"/>
    </row>
    <row r="293" spans="1:18" ht="28.5" x14ac:dyDescent="0.65">
      <c r="A293" s="24"/>
      <c r="B293" s="24"/>
      <c r="C293" s="26" t="s">
        <v>2807</v>
      </c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5"/>
      <c r="P293" s="25"/>
      <c r="Q293" s="25"/>
      <c r="R293" s="25"/>
    </row>
    <row r="294" spans="1:18" x14ac:dyDescent="0.35">
      <c r="F294"/>
      <c r="O294" s="1"/>
      <c r="P294" s="1"/>
      <c r="Q294" s="1"/>
      <c r="R294" s="1"/>
    </row>
    <row r="295" spans="1:18" x14ac:dyDescent="0.35">
      <c r="D295" t="s">
        <v>177</v>
      </c>
      <c r="E295" t="s">
        <v>1081</v>
      </c>
      <c r="F295" t="s">
        <v>956</v>
      </c>
      <c r="G295" t="s">
        <v>1183</v>
      </c>
      <c r="I295" t="s">
        <v>1082</v>
      </c>
      <c r="J295" t="s">
        <v>938</v>
      </c>
      <c r="K295" s="12" t="s">
        <v>1137</v>
      </c>
      <c r="O295" s="1"/>
      <c r="P295" s="1"/>
      <c r="Q295" s="1"/>
      <c r="R295" s="1"/>
    </row>
    <row r="296" spans="1:18" x14ac:dyDescent="0.35">
      <c r="D296" t="s">
        <v>1315</v>
      </c>
      <c r="E296" t="s">
        <v>1082</v>
      </c>
      <c r="F296" t="s">
        <v>938</v>
      </c>
      <c r="G296" t="s">
        <v>1137</v>
      </c>
      <c r="I296" t="s">
        <v>1308</v>
      </c>
      <c r="J296" t="s">
        <v>938</v>
      </c>
      <c r="K296" t="s">
        <v>1119</v>
      </c>
      <c r="O296" s="1"/>
      <c r="P296" s="1"/>
      <c r="Q296" s="1"/>
      <c r="R296" s="1"/>
    </row>
    <row r="297" spans="1:18" x14ac:dyDescent="0.35">
      <c r="D297" t="s">
        <v>177</v>
      </c>
      <c r="E297" t="s">
        <v>1081</v>
      </c>
      <c r="F297" t="s">
        <v>956</v>
      </c>
      <c r="G297" t="s">
        <v>1183</v>
      </c>
      <c r="I297" t="s">
        <v>1082</v>
      </c>
      <c r="J297" t="s">
        <v>938</v>
      </c>
      <c r="K297" s="12" t="s">
        <v>1138</v>
      </c>
      <c r="O297" s="1"/>
      <c r="P297" s="1"/>
      <c r="Q297" s="1"/>
      <c r="R297" s="1"/>
    </row>
    <row r="298" spans="1:18" x14ac:dyDescent="0.35">
      <c r="D298" t="s">
        <v>1315</v>
      </c>
      <c r="E298" t="s">
        <v>1082</v>
      </c>
      <c r="F298" t="s">
        <v>938</v>
      </c>
      <c r="G298" t="s">
        <v>1138</v>
      </c>
      <c r="I298" t="s">
        <v>1308</v>
      </c>
      <c r="J298" t="s">
        <v>938</v>
      </c>
      <c r="K298" t="s">
        <v>1119</v>
      </c>
      <c r="O298" s="1"/>
      <c r="P298" s="1"/>
      <c r="Q298" s="1"/>
      <c r="R298" s="1"/>
    </row>
    <row r="299" spans="1:18" x14ac:dyDescent="0.35">
      <c r="D299" t="s">
        <v>2215</v>
      </c>
      <c r="E299" t="s">
        <v>1082</v>
      </c>
      <c r="F299" t="s">
        <v>938</v>
      </c>
      <c r="G299" t="s">
        <v>1138</v>
      </c>
      <c r="I299" t="s">
        <v>1082</v>
      </c>
      <c r="J299" t="s">
        <v>938</v>
      </c>
      <c r="K299" t="s">
        <v>1137</v>
      </c>
      <c r="O299" s="1"/>
      <c r="P299" s="1"/>
      <c r="Q299" s="1"/>
      <c r="R299" s="1"/>
    </row>
    <row r="300" spans="1:18" x14ac:dyDescent="0.35">
      <c r="D300" t="s">
        <v>177</v>
      </c>
      <c r="E300" t="s">
        <v>1081</v>
      </c>
      <c r="F300" t="s">
        <v>956</v>
      </c>
      <c r="G300" t="s">
        <v>1183</v>
      </c>
      <c r="I300" t="s">
        <v>1082</v>
      </c>
      <c r="J300" t="s">
        <v>938</v>
      </c>
      <c r="K300" s="12" t="s">
        <v>1139</v>
      </c>
      <c r="O300" s="1"/>
      <c r="P300" s="1"/>
      <c r="Q300" s="1"/>
      <c r="R300" s="1"/>
    </row>
    <row r="301" spans="1:18" x14ac:dyDescent="0.35">
      <c r="D301" t="s">
        <v>1315</v>
      </c>
      <c r="E301" t="s">
        <v>1082</v>
      </c>
      <c r="F301" t="s">
        <v>938</v>
      </c>
      <c r="G301" t="s">
        <v>1139</v>
      </c>
      <c r="I301" t="s">
        <v>1308</v>
      </c>
      <c r="J301" t="s">
        <v>938</v>
      </c>
      <c r="K301" t="s">
        <v>1119</v>
      </c>
      <c r="O301" s="1"/>
      <c r="P301" s="1"/>
      <c r="Q301" s="1"/>
      <c r="R301" s="1"/>
    </row>
    <row r="302" spans="1:18" x14ac:dyDescent="0.35">
      <c r="D302" t="s">
        <v>2215</v>
      </c>
      <c r="E302" t="s">
        <v>1082</v>
      </c>
      <c r="F302" t="s">
        <v>938</v>
      </c>
      <c r="G302" t="s">
        <v>1139</v>
      </c>
      <c r="I302" t="s">
        <v>1082</v>
      </c>
      <c r="J302" t="s">
        <v>938</v>
      </c>
      <c r="K302" t="s">
        <v>1138</v>
      </c>
      <c r="O302" s="1"/>
      <c r="P302" s="1"/>
      <c r="Q302" s="1"/>
      <c r="R302" s="1"/>
    </row>
    <row r="303" spans="1:18" x14ac:dyDescent="0.35">
      <c r="D303" t="s">
        <v>177</v>
      </c>
      <c r="E303" t="s">
        <v>1081</v>
      </c>
      <c r="F303" t="s">
        <v>956</v>
      </c>
      <c r="G303" t="s">
        <v>1183</v>
      </c>
      <c r="I303" t="s">
        <v>1082</v>
      </c>
      <c r="J303" t="s">
        <v>938</v>
      </c>
      <c r="K303" s="12" t="s">
        <v>1140</v>
      </c>
      <c r="O303" s="1"/>
      <c r="P303" s="1"/>
      <c r="Q303" s="1"/>
      <c r="R303" s="1"/>
    </row>
    <row r="304" spans="1:18" x14ac:dyDescent="0.35">
      <c r="D304" t="s">
        <v>1315</v>
      </c>
      <c r="E304" t="s">
        <v>1082</v>
      </c>
      <c r="F304" t="s">
        <v>938</v>
      </c>
      <c r="G304" t="s">
        <v>1140</v>
      </c>
      <c r="I304" t="s">
        <v>1308</v>
      </c>
      <c r="J304" t="s">
        <v>938</v>
      </c>
      <c r="K304" t="s">
        <v>1119</v>
      </c>
      <c r="O304" s="1"/>
      <c r="P304" s="1"/>
      <c r="Q304" s="1"/>
      <c r="R304" s="1"/>
    </row>
    <row r="305" spans="4:18" x14ac:dyDescent="0.35">
      <c r="D305" t="s">
        <v>2215</v>
      </c>
      <c r="E305" t="s">
        <v>1082</v>
      </c>
      <c r="F305" t="s">
        <v>938</v>
      </c>
      <c r="G305" t="s">
        <v>1140</v>
      </c>
      <c r="I305" t="s">
        <v>1082</v>
      </c>
      <c r="J305" t="s">
        <v>938</v>
      </c>
      <c r="K305" t="s">
        <v>1139</v>
      </c>
      <c r="O305" s="1"/>
      <c r="P305" s="1"/>
      <c r="Q305" s="1"/>
      <c r="R305" s="1"/>
    </row>
    <row r="306" spans="4:18" x14ac:dyDescent="0.35">
      <c r="D306" t="s">
        <v>1314</v>
      </c>
      <c r="E306" t="s">
        <v>1082</v>
      </c>
      <c r="F306" t="s">
        <v>938</v>
      </c>
      <c r="G306" t="s">
        <v>1140</v>
      </c>
      <c r="I306" t="s">
        <v>1082</v>
      </c>
      <c r="J306" t="s">
        <v>938</v>
      </c>
      <c r="K306" t="s">
        <v>1299</v>
      </c>
      <c r="O306" s="1"/>
      <c r="P306" s="1" t="s">
        <v>1375</v>
      </c>
      <c r="Q306" s="1"/>
      <c r="R306" s="1"/>
    </row>
    <row r="307" spans="4:18" x14ac:dyDescent="0.35">
      <c r="D307" t="s">
        <v>1314</v>
      </c>
      <c r="E307" t="s">
        <v>1082</v>
      </c>
      <c r="F307" t="s">
        <v>938</v>
      </c>
      <c r="G307" t="s">
        <v>1140</v>
      </c>
      <c r="I307" t="s">
        <v>1082</v>
      </c>
      <c r="J307" t="s">
        <v>938</v>
      </c>
      <c r="K307" t="s">
        <v>1253</v>
      </c>
      <c r="O307" s="1"/>
      <c r="P307" s="1" t="s">
        <v>1378</v>
      </c>
      <c r="Q307" s="1"/>
      <c r="R307" s="1"/>
    </row>
    <row r="308" spans="4:18" x14ac:dyDescent="0.35">
      <c r="D308" t="s">
        <v>177</v>
      </c>
      <c r="E308" t="s">
        <v>1081</v>
      </c>
      <c r="F308" t="s">
        <v>956</v>
      </c>
      <c r="G308" t="s">
        <v>1185</v>
      </c>
      <c r="I308" t="s">
        <v>1082</v>
      </c>
      <c r="J308" t="s">
        <v>938</v>
      </c>
      <c r="K308" s="12" t="s">
        <v>1141</v>
      </c>
      <c r="O308" s="1"/>
      <c r="P308" s="1"/>
      <c r="Q308" s="1"/>
      <c r="R308" s="1"/>
    </row>
    <row r="309" spans="4:18" x14ac:dyDescent="0.35">
      <c r="D309" t="s">
        <v>1315</v>
      </c>
      <c r="E309" t="s">
        <v>1082</v>
      </c>
      <c r="F309" t="s">
        <v>938</v>
      </c>
      <c r="G309" t="s">
        <v>1141</v>
      </c>
      <c r="I309" t="s">
        <v>1308</v>
      </c>
      <c r="J309" t="s">
        <v>938</v>
      </c>
      <c r="K309" t="s">
        <v>1119</v>
      </c>
      <c r="O309" s="1"/>
      <c r="P309" s="1"/>
      <c r="Q309" s="1"/>
      <c r="R309" s="1"/>
    </row>
    <row r="310" spans="4:18" x14ac:dyDescent="0.35">
      <c r="D310" t="s">
        <v>2215</v>
      </c>
      <c r="E310" t="s">
        <v>1082</v>
      </c>
      <c r="F310" t="s">
        <v>938</v>
      </c>
      <c r="G310" t="s">
        <v>1141</v>
      </c>
      <c r="I310" t="s">
        <v>1082</v>
      </c>
      <c r="J310" t="s">
        <v>938</v>
      </c>
      <c r="K310" t="s">
        <v>1140</v>
      </c>
      <c r="O310" s="1"/>
      <c r="P310" s="1"/>
      <c r="Q310" s="1"/>
      <c r="R310" s="1"/>
    </row>
    <row r="311" spans="4:18" x14ac:dyDescent="0.35">
      <c r="D311" t="s">
        <v>1314</v>
      </c>
      <c r="E311" t="s">
        <v>1082</v>
      </c>
      <c r="F311" t="s">
        <v>938</v>
      </c>
      <c r="G311" t="s">
        <v>1141</v>
      </c>
      <c r="I311" t="s">
        <v>1082</v>
      </c>
      <c r="J311" t="s">
        <v>938</v>
      </c>
      <c r="K311" t="s">
        <v>1144</v>
      </c>
      <c r="O311" s="1"/>
      <c r="P311" s="1" t="s">
        <v>1355</v>
      </c>
      <c r="Q311" s="1"/>
      <c r="R311" s="1"/>
    </row>
    <row r="312" spans="4:18" x14ac:dyDescent="0.35">
      <c r="D312" t="s">
        <v>177</v>
      </c>
      <c r="E312" t="s">
        <v>1081</v>
      </c>
      <c r="F312" t="s">
        <v>956</v>
      </c>
      <c r="G312" t="s">
        <v>1185</v>
      </c>
      <c r="I312" t="s">
        <v>1082</v>
      </c>
      <c r="J312" t="s">
        <v>938</v>
      </c>
      <c r="K312" s="12" t="s">
        <v>1144</v>
      </c>
      <c r="O312" s="1"/>
      <c r="P312" s="1"/>
      <c r="Q312" s="1"/>
      <c r="R312" s="1"/>
    </row>
    <row r="313" spans="4:18" x14ac:dyDescent="0.35">
      <c r="D313" t="s">
        <v>1315</v>
      </c>
      <c r="E313" t="s">
        <v>1082</v>
      </c>
      <c r="F313" t="s">
        <v>938</v>
      </c>
      <c r="G313" t="s">
        <v>1144</v>
      </c>
      <c r="I313" t="s">
        <v>1308</v>
      </c>
      <c r="J313" t="s">
        <v>938</v>
      </c>
      <c r="K313" t="s">
        <v>1119</v>
      </c>
      <c r="O313" s="1"/>
      <c r="P313" s="1"/>
      <c r="Q313" s="1"/>
      <c r="R313" s="1"/>
    </row>
    <row r="314" spans="4:18" x14ac:dyDescent="0.35">
      <c r="D314" t="s">
        <v>2215</v>
      </c>
      <c r="E314" t="s">
        <v>1082</v>
      </c>
      <c r="F314" t="s">
        <v>938</v>
      </c>
      <c r="G314" t="s">
        <v>1144</v>
      </c>
      <c r="I314" t="s">
        <v>1082</v>
      </c>
      <c r="J314" t="s">
        <v>938</v>
      </c>
      <c r="K314" t="s">
        <v>1141</v>
      </c>
      <c r="O314" s="1"/>
      <c r="P314" s="1"/>
      <c r="Q314" s="1"/>
      <c r="R314" s="1"/>
    </row>
    <row r="315" spans="4:18" x14ac:dyDescent="0.35">
      <c r="D315" t="s">
        <v>1314</v>
      </c>
      <c r="E315" t="s">
        <v>1082</v>
      </c>
      <c r="F315" t="s">
        <v>938</v>
      </c>
      <c r="G315" t="s">
        <v>1144</v>
      </c>
      <c r="I315" t="s">
        <v>1082</v>
      </c>
      <c r="J315" t="s">
        <v>938</v>
      </c>
      <c r="K315" t="s">
        <v>1141</v>
      </c>
      <c r="O315" s="1"/>
      <c r="P315" s="1" t="s">
        <v>1355</v>
      </c>
      <c r="Q315" s="1"/>
      <c r="R315" s="1"/>
    </row>
    <row r="316" spans="4:18" x14ac:dyDescent="0.35">
      <c r="D316" t="s">
        <v>1314</v>
      </c>
      <c r="E316" t="s">
        <v>1082</v>
      </c>
      <c r="F316" t="s">
        <v>938</v>
      </c>
      <c r="G316" t="s">
        <v>1144</v>
      </c>
      <c r="I316" t="s">
        <v>1082</v>
      </c>
      <c r="J316" t="s">
        <v>938</v>
      </c>
      <c r="K316" t="s">
        <v>1265</v>
      </c>
      <c r="O316" s="1"/>
      <c r="P316" s="1" t="s">
        <v>1356</v>
      </c>
      <c r="Q316" s="1" t="s">
        <v>1357</v>
      </c>
      <c r="R316" s="1"/>
    </row>
    <row r="317" spans="4:18" x14ac:dyDescent="0.35">
      <c r="D317" t="s">
        <v>1314</v>
      </c>
      <c r="E317" t="s">
        <v>1082</v>
      </c>
      <c r="F317" t="s">
        <v>938</v>
      </c>
      <c r="G317" t="s">
        <v>1144</v>
      </c>
      <c r="I317" t="s">
        <v>1082</v>
      </c>
      <c r="J317" t="s">
        <v>938</v>
      </c>
      <c r="K317" t="s">
        <v>1248</v>
      </c>
      <c r="O317" s="1"/>
      <c r="P317" s="1" t="s">
        <v>1356</v>
      </c>
      <c r="Q317" s="1" t="s">
        <v>1357</v>
      </c>
      <c r="R317" s="1"/>
    </row>
    <row r="318" spans="4:18" x14ac:dyDescent="0.35">
      <c r="D318" t="s">
        <v>1314</v>
      </c>
      <c r="E318" t="s">
        <v>1082</v>
      </c>
      <c r="F318" t="s">
        <v>938</v>
      </c>
      <c r="G318" t="s">
        <v>1144</v>
      </c>
      <c r="I318" t="s">
        <v>1082</v>
      </c>
      <c r="J318" t="s">
        <v>938</v>
      </c>
      <c r="K318" t="s">
        <v>1293</v>
      </c>
      <c r="O318" s="1"/>
      <c r="P318" s="1" t="s">
        <v>1356</v>
      </c>
      <c r="Q318" s="1" t="s">
        <v>1357</v>
      </c>
      <c r="R318" s="1"/>
    </row>
    <row r="319" spans="4:18" x14ac:dyDescent="0.35">
      <c r="D319" t="s">
        <v>177</v>
      </c>
      <c r="E319" t="s">
        <v>1081</v>
      </c>
      <c r="F319" t="s">
        <v>956</v>
      </c>
      <c r="G319" t="s">
        <v>1185</v>
      </c>
      <c r="I319" t="s">
        <v>1082</v>
      </c>
      <c r="J319" t="s">
        <v>938</v>
      </c>
      <c r="K319" s="12" t="s">
        <v>1146</v>
      </c>
      <c r="O319" s="1"/>
      <c r="P319" s="1"/>
      <c r="Q319" s="1"/>
      <c r="R319" s="1"/>
    </row>
    <row r="320" spans="4:18" x14ac:dyDescent="0.35">
      <c r="D320" t="s">
        <v>1315</v>
      </c>
      <c r="E320" t="s">
        <v>1082</v>
      </c>
      <c r="F320" t="s">
        <v>938</v>
      </c>
      <c r="G320" t="s">
        <v>1146</v>
      </c>
      <c r="I320" t="s">
        <v>1308</v>
      </c>
      <c r="J320" t="s">
        <v>938</v>
      </c>
      <c r="K320" t="s">
        <v>1119</v>
      </c>
      <c r="O320" s="1"/>
      <c r="P320" s="1"/>
      <c r="Q320" s="1"/>
      <c r="R320" s="1"/>
    </row>
    <row r="321" spans="4:18" x14ac:dyDescent="0.35">
      <c r="D321" t="s">
        <v>2215</v>
      </c>
      <c r="E321" t="s">
        <v>1082</v>
      </c>
      <c r="F321" t="s">
        <v>938</v>
      </c>
      <c r="G321" t="s">
        <v>1146</v>
      </c>
      <c r="I321" t="s">
        <v>1082</v>
      </c>
      <c r="J321" t="s">
        <v>938</v>
      </c>
      <c r="K321" t="s">
        <v>1144</v>
      </c>
      <c r="O321" s="1"/>
      <c r="P321" s="1"/>
      <c r="Q321" s="1"/>
      <c r="R321" s="1"/>
    </row>
    <row r="322" spans="4:18" x14ac:dyDescent="0.35">
      <c r="D322" t="s">
        <v>1314</v>
      </c>
      <c r="E322" t="s">
        <v>1082</v>
      </c>
      <c r="F322" t="s">
        <v>938</v>
      </c>
      <c r="G322" t="s">
        <v>1146</v>
      </c>
      <c r="I322" t="s">
        <v>1082</v>
      </c>
      <c r="J322" t="s">
        <v>938</v>
      </c>
      <c r="K322" t="s">
        <v>1144</v>
      </c>
      <c r="O322" s="1"/>
      <c r="P322" s="1" t="s">
        <v>1358</v>
      </c>
      <c r="Q322" s="1"/>
      <c r="R322" s="1"/>
    </row>
    <row r="323" spans="4:18" x14ac:dyDescent="0.35">
      <c r="D323" t="s">
        <v>1314</v>
      </c>
      <c r="E323" t="s">
        <v>1082</v>
      </c>
      <c r="F323" t="s">
        <v>938</v>
      </c>
      <c r="G323" t="s">
        <v>1146</v>
      </c>
      <c r="I323" t="s">
        <v>1082</v>
      </c>
      <c r="J323" t="s">
        <v>938</v>
      </c>
      <c r="K323" t="s">
        <v>1141</v>
      </c>
      <c r="O323" s="1"/>
      <c r="P323" s="1" t="s">
        <v>1355</v>
      </c>
      <c r="Q323" s="1"/>
      <c r="R323" s="1"/>
    </row>
    <row r="324" spans="4:18" x14ac:dyDescent="0.35">
      <c r="D324" t="s">
        <v>1314</v>
      </c>
      <c r="E324" t="s">
        <v>1082</v>
      </c>
      <c r="F324" t="s">
        <v>938</v>
      </c>
      <c r="G324" t="s">
        <v>1146</v>
      </c>
      <c r="I324" t="s">
        <v>1082</v>
      </c>
      <c r="J324" t="s">
        <v>938</v>
      </c>
      <c r="K324" t="s">
        <v>1265</v>
      </c>
      <c r="O324" s="1"/>
      <c r="P324" s="1" t="s">
        <v>1356</v>
      </c>
      <c r="Q324" s="1" t="s">
        <v>1357</v>
      </c>
      <c r="R324" s="1"/>
    </row>
    <row r="325" spans="4:18" x14ac:dyDescent="0.35">
      <c r="D325" t="s">
        <v>1314</v>
      </c>
      <c r="E325" t="s">
        <v>1082</v>
      </c>
      <c r="F325" t="s">
        <v>938</v>
      </c>
      <c r="G325" t="s">
        <v>1146</v>
      </c>
      <c r="I325" t="s">
        <v>1082</v>
      </c>
      <c r="J325" t="s">
        <v>938</v>
      </c>
      <c r="K325" t="s">
        <v>1248</v>
      </c>
      <c r="O325" s="1"/>
      <c r="P325" s="1" t="s">
        <v>1356</v>
      </c>
      <c r="Q325" s="1" t="s">
        <v>1357</v>
      </c>
      <c r="R325" s="1"/>
    </row>
    <row r="326" spans="4:18" x14ac:dyDescent="0.35">
      <c r="D326" t="s">
        <v>1314</v>
      </c>
      <c r="E326" t="s">
        <v>1082</v>
      </c>
      <c r="F326" t="s">
        <v>938</v>
      </c>
      <c r="G326" t="s">
        <v>1146</v>
      </c>
      <c r="I326" t="s">
        <v>1082</v>
      </c>
      <c r="J326" t="s">
        <v>938</v>
      </c>
      <c r="K326" t="s">
        <v>1293</v>
      </c>
      <c r="O326" s="1"/>
      <c r="P326" s="1" t="s">
        <v>1356</v>
      </c>
      <c r="Q326" s="1" t="s">
        <v>1357</v>
      </c>
      <c r="R326" s="1"/>
    </row>
    <row r="327" spans="4:18" x14ac:dyDescent="0.35">
      <c r="D327" t="s">
        <v>177</v>
      </c>
      <c r="E327" t="s">
        <v>1081</v>
      </c>
      <c r="F327" t="s">
        <v>956</v>
      </c>
      <c r="G327" t="s">
        <v>1185</v>
      </c>
      <c r="I327" t="s">
        <v>1082</v>
      </c>
      <c r="J327" t="s">
        <v>938</v>
      </c>
      <c r="K327" s="12" t="s">
        <v>1147</v>
      </c>
      <c r="O327" s="1"/>
      <c r="P327" s="1"/>
      <c r="Q327" s="1"/>
      <c r="R327" s="1"/>
    </row>
    <row r="328" spans="4:18" x14ac:dyDescent="0.35">
      <c r="D328" t="s">
        <v>1315</v>
      </c>
      <c r="E328" t="s">
        <v>1082</v>
      </c>
      <c r="F328" t="s">
        <v>938</v>
      </c>
      <c r="G328" t="s">
        <v>1147</v>
      </c>
      <c r="I328" t="s">
        <v>1308</v>
      </c>
      <c r="J328" t="s">
        <v>938</v>
      </c>
      <c r="K328" t="s">
        <v>1119</v>
      </c>
      <c r="O328" s="1"/>
      <c r="P328" s="1"/>
      <c r="Q328" s="1"/>
      <c r="R328" s="1"/>
    </row>
    <row r="329" spans="4:18" x14ac:dyDescent="0.35">
      <c r="D329" t="s">
        <v>2215</v>
      </c>
      <c r="E329" t="s">
        <v>1082</v>
      </c>
      <c r="F329" t="s">
        <v>938</v>
      </c>
      <c r="G329" t="s">
        <v>1147</v>
      </c>
      <c r="I329" t="s">
        <v>1082</v>
      </c>
      <c r="J329" t="s">
        <v>938</v>
      </c>
      <c r="K329" t="s">
        <v>1146</v>
      </c>
      <c r="O329" s="1"/>
      <c r="P329" s="1"/>
      <c r="Q329" s="1"/>
      <c r="R329" s="1"/>
    </row>
    <row r="330" spans="4:18" x14ac:dyDescent="0.35">
      <c r="D330" t="s">
        <v>1314</v>
      </c>
      <c r="E330" t="s">
        <v>1082</v>
      </c>
      <c r="F330" t="s">
        <v>938</v>
      </c>
      <c r="G330" t="s">
        <v>1147</v>
      </c>
      <c r="I330" t="s">
        <v>1082</v>
      </c>
      <c r="J330" t="s">
        <v>938</v>
      </c>
      <c r="K330" t="s">
        <v>1144</v>
      </c>
      <c r="O330" s="1"/>
      <c r="P330" s="1" t="s">
        <v>1358</v>
      </c>
      <c r="Q330" s="1"/>
      <c r="R330" s="1"/>
    </row>
    <row r="331" spans="4:18" x14ac:dyDescent="0.35">
      <c r="D331" t="s">
        <v>1314</v>
      </c>
      <c r="E331" t="s">
        <v>1082</v>
      </c>
      <c r="F331" t="s">
        <v>938</v>
      </c>
      <c r="G331" t="s">
        <v>1147</v>
      </c>
      <c r="I331" t="s">
        <v>1082</v>
      </c>
      <c r="J331" t="s">
        <v>938</v>
      </c>
      <c r="K331" t="s">
        <v>1141</v>
      </c>
      <c r="O331" s="1"/>
      <c r="P331" s="1" t="s">
        <v>1355</v>
      </c>
      <c r="Q331" s="1"/>
      <c r="R331" s="1"/>
    </row>
    <row r="332" spans="4:18" x14ac:dyDescent="0.35">
      <c r="D332" t="s">
        <v>1314</v>
      </c>
      <c r="E332" t="s">
        <v>1082</v>
      </c>
      <c r="F332" t="s">
        <v>938</v>
      </c>
      <c r="G332" t="s">
        <v>1147</v>
      </c>
      <c r="I332" t="s">
        <v>1082</v>
      </c>
      <c r="J332" t="s">
        <v>938</v>
      </c>
      <c r="K332" t="s">
        <v>1265</v>
      </c>
      <c r="O332" s="1"/>
      <c r="P332" s="1" t="s">
        <v>1356</v>
      </c>
      <c r="Q332" s="1" t="s">
        <v>1357</v>
      </c>
      <c r="R332" s="1"/>
    </row>
    <row r="333" spans="4:18" x14ac:dyDescent="0.35">
      <c r="D333" t="s">
        <v>1314</v>
      </c>
      <c r="E333" t="s">
        <v>1082</v>
      </c>
      <c r="F333" t="s">
        <v>938</v>
      </c>
      <c r="G333" t="s">
        <v>1147</v>
      </c>
      <c r="I333" t="s">
        <v>1082</v>
      </c>
      <c r="J333" t="s">
        <v>938</v>
      </c>
      <c r="K333" t="s">
        <v>1248</v>
      </c>
      <c r="O333" s="1"/>
      <c r="P333" s="1" t="s">
        <v>1356</v>
      </c>
      <c r="Q333" s="1" t="s">
        <v>1357</v>
      </c>
      <c r="R333" s="1"/>
    </row>
    <row r="334" spans="4:18" x14ac:dyDescent="0.35">
      <c r="D334" t="s">
        <v>1314</v>
      </c>
      <c r="E334" t="s">
        <v>1082</v>
      </c>
      <c r="F334" t="s">
        <v>938</v>
      </c>
      <c r="G334" t="s">
        <v>1147</v>
      </c>
      <c r="I334" t="s">
        <v>1082</v>
      </c>
      <c r="J334" t="s">
        <v>938</v>
      </c>
      <c r="K334" t="s">
        <v>1293</v>
      </c>
      <c r="O334" s="1"/>
      <c r="P334" s="1" t="s">
        <v>1356</v>
      </c>
      <c r="Q334" s="1" t="s">
        <v>1357</v>
      </c>
      <c r="R334" s="1"/>
    </row>
    <row r="335" spans="4:18" x14ac:dyDescent="0.35">
      <c r="D335" t="s">
        <v>177</v>
      </c>
      <c r="E335" t="s">
        <v>1081</v>
      </c>
      <c r="F335" t="s">
        <v>956</v>
      </c>
      <c r="G335" t="s">
        <v>1194</v>
      </c>
      <c r="I335" t="s">
        <v>1082</v>
      </c>
      <c r="J335" t="s">
        <v>938</v>
      </c>
      <c r="K335" s="12" t="s">
        <v>1148</v>
      </c>
      <c r="O335" s="1"/>
      <c r="P335" s="1"/>
      <c r="Q335" s="1"/>
      <c r="R335" s="1"/>
    </row>
    <row r="336" spans="4:18" x14ac:dyDescent="0.35">
      <c r="D336" t="s">
        <v>1315</v>
      </c>
      <c r="E336" t="s">
        <v>1082</v>
      </c>
      <c r="F336" t="s">
        <v>938</v>
      </c>
      <c r="G336" t="s">
        <v>1148</v>
      </c>
      <c r="I336" t="s">
        <v>1308</v>
      </c>
      <c r="J336" t="s">
        <v>938</v>
      </c>
      <c r="K336" t="s">
        <v>1119</v>
      </c>
      <c r="O336" s="1"/>
      <c r="P336" s="1"/>
      <c r="Q336" s="1"/>
      <c r="R336" s="1"/>
    </row>
    <row r="337" spans="4:18" x14ac:dyDescent="0.35">
      <c r="D337" t="s">
        <v>2215</v>
      </c>
      <c r="E337" t="s">
        <v>1082</v>
      </c>
      <c r="F337" t="s">
        <v>938</v>
      </c>
      <c r="G337" t="s">
        <v>1148</v>
      </c>
      <c r="I337" t="s">
        <v>1082</v>
      </c>
      <c r="J337" t="s">
        <v>938</v>
      </c>
      <c r="K337" t="s">
        <v>1147</v>
      </c>
      <c r="O337" s="1"/>
      <c r="P337" s="1"/>
      <c r="Q337" s="1"/>
      <c r="R337" s="1"/>
    </row>
    <row r="338" spans="4:18" x14ac:dyDescent="0.35">
      <c r="D338" t="s">
        <v>1314</v>
      </c>
      <c r="E338" t="s">
        <v>1082</v>
      </c>
      <c r="F338" t="s">
        <v>938</v>
      </c>
      <c r="G338" t="s">
        <v>1148</v>
      </c>
      <c r="I338" t="s">
        <v>1082</v>
      </c>
      <c r="J338" t="s">
        <v>938</v>
      </c>
      <c r="K338" t="s">
        <v>1144</v>
      </c>
      <c r="O338" s="1"/>
      <c r="P338" s="1" t="s">
        <v>1358</v>
      </c>
      <c r="Q338" s="1"/>
      <c r="R338" s="1"/>
    </row>
    <row r="339" spans="4:18" x14ac:dyDescent="0.35">
      <c r="D339" t="s">
        <v>1314</v>
      </c>
      <c r="E339" t="s">
        <v>1082</v>
      </c>
      <c r="F339" t="s">
        <v>938</v>
      </c>
      <c r="G339" t="s">
        <v>1148</v>
      </c>
      <c r="I339" t="s">
        <v>1082</v>
      </c>
      <c r="J339" t="s">
        <v>938</v>
      </c>
      <c r="K339" t="s">
        <v>1141</v>
      </c>
      <c r="O339" s="1"/>
      <c r="P339" s="1" t="s">
        <v>1355</v>
      </c>
      <c r="Q339" s="1"/>
      <c r="R339" s="1"/>
    </row>
    <row r="340" spans="4:18" x14ac:dyDescent="0.35">
      <c r="D340" t="s">
        <v>1314</v>
      </c>
      <c r="E340" t="s">
        <v>1082</v>
      </c>
      <c r="F340" t="s">
        <v>938</v>
      </c>
      <c r="G340" t="s">
        <v>1148</v>
      </c>
      <c r="I340" t="s">
        <v>1082</v>
      </c>
      <c r="J340" t="s">
        <v>938</v>
      </c>
      <c r="K340" t="s">
        <v>1265</v>
      </c>
      <c r="O340" s="1"/>
      <c r="P340" s="1" t="s">
        <v>1356</v>
      </c>
      <c r="Q340" s="1" t="s">
        <v>1357</v>
      </c>
      <c r="R340" s="1"/>
    </row>
    <row r="341" spans="4:18" x14ac:dyDescent="0.35">
      <c r="D341" t="s">
        <v>1314</v>
      </c>
      <c r="E341" t="s">
        <v>1082</v>
      </c>
      <c r="F341" t="s">
        <v>938</v>
      </c>
      <c r="G341" t="s">
        <v>1148</v>
      </c>
      <c r="I341" t="s">
        <v>1082</v>
      </c>
      <c r="J341" t="s">
        <v>938</v>
      </c>
      <c r="K341" t="s">
        <v>1248</v>
      </c>
      <c r="O341" s="1"/>
      <c r="P341" s="1" t="s">
        <v>1356</v>
      </c>
      <c r="Q341" s="1" t="s">
        <v>1357</v>
      </c>
      <c r="R341" s="1"/>
    </row>
    <row r="342" spans="4:18" x14ac:dyDescent="0.35">
      <c r="D342" t="s">
        <v>1314</v>
      </c>
      <c r="E342" t="s">
        <v>1082</v>
      </c>
      <c r="F342" t="s">
        <v>938</v>
      </c>
      <c r="G342" t="s">
        <v>1148</v>
      </c>
      <c r="I342" t="s">
        <v>1082</v>
      </c>
      <c r="J342" t="s">
        <v>938</v>
      </c>
      <c r="K342" t="s">
        <v>1293</v>
      </c>
      <c r="O342" s="1"/>
      <c r="P342" s="1" t="s">
        <v>1356</v>
      </c>
      <c r="Q342" s="1" t="s">
        <v>1357</v>
      </c>
      <c r="R342" s="1"/>
    </row>
    <row r="343" spans="4:18" x14ac:dyDescent="0.35">
      <c r="D343" t="s">
        <v>177</v>
      </c>
      <c r="E343" t="s">
        <v>1081</v>
      </c>
      <c r="F343" t="s">
        <v>956</v>
      </c>
      <c r="G343" t="s">
        <v>1194</v>
      </c>
      <c r="I343" t="s">
        <v>1082</v>
      </c>
      <c r="J343" t="s">
        <v>938</v>
      </c>
      <c r="K343" s="12" t="s">
        <v>1149</v>
      </c>
      <c r="O343" s="1"/>
      <c r="P343" s="1"/>
      <c r="Q343" s="1"/>
      <c r="R343" s="1"/>
    </row>
    <row r="344" spans="4:18" x14ac:dyDescent="0.35">
      <c r="D344" t="s">
        <v>1315</v>
      </c>
      <c r="E344" t="s">
        <v>1082</v>
      </c>
      <c r="F344" t="s">
        <v>938</v>
      </c>
      <c r="G344" t="s">
        <v>1149</v>
      </c>
      <c r="I344" t="s">
        <v>1308</v>
      </c>
      <c r="J344" t="s">
        <v>938</v>
      </c>
      <c r="K344" t="s">
        <v>1119</v>
      </c>
      <c r="O344" s="1"/>
      <c r="P344" s="1"/>
      <c r="Q344" s="1"/>
      <c r="R344" s="1"/>
    </row>
    <row r="345" spans="4:18" x14ac:dyDescent="0.35">
      <c r="D345" t="s">
        <v>2215</v>
      </c>
      <c r="E345" t="s">
        <v>1082</v>
      </c>
      <c r="F345" t="s">
        <v>938</v>
      </c>
      <c r="G345" t="s">
        <v>1149</v>
      </c>
      <c r="I345" t="s">
        <v>1082</v>
      </c>
      <c r="J345" t="s">
        <v>938</v>
      </c>
      <c r="K345" t="s">
        <v>1148</v>
      </c>
      <c r="O345" s="1"/>
      <c r="P345" s="1"/>
      <c r="Q345" s="1"/>
      <c r="R345" s="1"/>
    </row>
    <row r="346" spans="4:18" x14ac:dyDescent="0.35">
      <c r="D346" t="s">
        <v>1314</v>
      </c>
      <c r="E346" t="s">
        <v>1082</v>
      </c>
      <c r="F346" t="s">
        <v>938</v>
      </c>
      <c r="G346" t="s">
        <v>1149</v>
      </c>
      <c r="I346" t="s">
        <v>1082</v>
      </c>
      <c r="J346" t="s">
        <v>938</v>
      </c>
      <c r="K346" t="s">
        <v>1144</v>
      </c>
      <c r="O346" s="1"/>
      <c r="P346" s="1" t="s">
        <v>1358</v>
      </c>
      <c r="Q346" s="1"/>
      <c r="R346" s="1"/>
    </row>
    <row r="347" spans="4:18" x14ac:dyDescent="0.35">
      <c r="D347" t="s">
        <v>1314</v>
      </c>
      <c r="E347" t="s">
        <v>1082</v>
      </c>
      <c r="F347" t="s">
        <v>938</v>
      </c>
      <c r="G347" t="s">
        <v>1149</v>
      </c>
      <c r="I347" t="s">
        <v>1082</v>
      </c>
      <c r="J347" t="s">
        <v>938</v>
      </c>
      <c r="K347" t="s">
        <v>1141</v>
      </c>
      <c r="O347" s="1"/>
      <c r="P347" s="1" t="s">
        <v>1355</v>
      </c>
      <c r="Q347" s="1"/>
      <c r="R347" s="1"/>
    </row>
    <row r="348" spans="4:18" x14ac:dyDescent="0.35">
      <c r="D348" t="s">
        <v>1314</v>
      </c>
      <c r="E348" t="s">
        <v>1082</v>
      </c>
      <c r="F348" t="s">
        <v>938</v>
      </c>
      <c r="G348" t="s">
        <v>1149</v>
      </c>
      <c r="I348" t="s">
        <v>1082</v>
      </c>
      <c r="J348" t="s">
        <v>938</v>
      </c>
      <c r="K348" t="s">
        <v>1265</v>
      </c>
      <c r="O348" s="1"/>
      <c r="P348" s="1" t="s">
        <v>1356</v>
      </c>
      <c r="Q348" s="1" t="s">
        <v>1357</v>
      </c>
      <c r="R348" s="1"/>
    </row>
    <row r="349" spans="4:18" x14ac:dyDescent="0.35">
      <c r="D349" t="s">
        <v>1314</v>
      </c>
      <c r="E349" t="s">
        <v>1082</v>
      </c>
      <c r="F349" t="s">
        <v>938</v>
      </c>
      <c r="G349" t="s">
        <v>1149</v>
      </c>
      <c r="I349" t="s">
        <v>1082</v>
      </c>
      <c r="J349" t="s">
        <v>938</v>
      </c>
      <c r="K349" t="s">
        <v>1248</v>
      </c>
      <c r="O349" s="1"/>
      <c r="P349" s="1" t="s">
        <v>1356</v>
      </c>
      <c r="Q349" s="1" t="s">
        <v>1357</v>
      </c>
      <c r="R349" s="1"/>
    </row>
    <row r="350" spans="4:18" x14ac:dyDescent="0.35">
      <c r="D350" t="s">
        <v>1314</v>
      </c>
      <c r="E350" t="s">
        <v>1082</v>
      </c>
      <c r="F350" t="s">
        <v>938</v>
      </c>
      <c r="G350" t="s">
        <v>1149</v>
      </c>
      <c r="I350" t="s">
        <v>1082</v>
      </c>
      <c r="J350" t="s">
        <v>938</v>
      </c>
      <c r="K350" t="s">
        <v>1293</v>
      </c>
      <c r="O350" s="1"/>
      <c r="P350" s="1" t="s">
        <v>1356</v>
      </c>
      <c r="Q350" s="1" t="s">
        <v>1357</v>
      </c>
      <c r="R350" s="1"/>
    </row>
    <row r="351" spans="4:18" x14ac:dyDescent="0.35">
      <c r="D351" t="s">
        <v>177</v>
      </c>
      <c r="E351" t="s">
        <v>1081</v>
      </c>
      <c r="F351" t="s">
        <v>956</v>
      </c>
      <c r="G351" t="s">
        <v>1194</v>
      </c>
      <c r="I351" t="s">
        <v>1082</v>
      </c>
      <c r="J351" t="s">
        <v>938</v>
      </c>
      <c r="K351" s="12" t="s">
        <v>1150</v>
      </c>
      <c r="O351" s="1"/>
      <c r="P351" s="1"/>
      <c r="Q351" s="1"/>
      <c r="R351" s="1"/>
    </row>
    <row r="352" spans="4:18" x14ac:dyDescent="0.35">
      <c r="D352" t="s">
        <v>1315</v>
      </c>
      <c r="E352" t="s">
        <v>1082</v>
      </c>
      <c r="F352" t="s">
        <v>938</v>
      </c>
      <c r="G352" t="s">
        <v>1150</v>
      </c>
      <c r="I352" t="s">
        <v>1308</v>
      </c>
      <c r="J352" t="s">
        <v>938</v>
      </c>
      <c r="K352" t="s">
        <v>1119</v>
      </c>
      <c r="O352" s="1"/>
      <c r="P352" s="1"/>
      <c r="Q352" s="1"/>
      <c r="R352" s="1"/>
    </row>
    <row r="353" spans="4:18" x14ac:dyDescent="0.35">
      <c r="D353" t="s">
        <v>2215</v>
      </c>
      <c r="E353" t="s">
        <v>1082</v>
      </c>
      <c r="F353" t="s">
        <v>938</v>
      </c>
      <c r="G353" t="s">
        <v>1150</v>
      </c>
      <c r="I353" t="s">
        <v>1082</v>
      </c>
      <c r="J353" t="s">
        <v>938</v>
      </c>
      <c r="K353" t="s">
        <v>1149</v>
      </c>
      <c r="O353" s="1"/>
      <c r="P353" s="1"/>
      <c r="Q353" s="1"/>
      <c r="R353" s="1"/>
    </row>
    <row r="354" spans="4:18" x14ac:dyDescent="0.35">
      <c r="D354" t="s">
        <v>1314</v>
      </c>
      <c r="E354" t="s">
        <v>1082</v>
      </c>
      <c r="F354" t="s">
        <v>938</v>
      </c>
      <c r="G354" t="s">
        <v>1150</v>
      </c>
      <c r="I354" t="s">
        <v>1082</v>
      </c>
      <c r="J354" t="s">
        <v>938</v>
      </c>
      <c r="K354" t="s">
        <v>1144</v>
      </c>
      <c r="O354" s="1"/>
      <c r="P354" s="1" t="s">
        <v>1358</v>
      </c>
      <c r="Q354" s="1"/>
      <c r="R354" s="1"/>
    </row>
    <row r="355" spans="4:18" x14ac:dyDescent="0.35">
      <c r="D355" t="s">
        <v>1314</v>
      </c>
      <c r="E355" t="s">
        <v>1082</v>
      </c>
      <c r="F355" t="s">
        <v>938</v>
      </c>
      <c r="G355" t="s">
        <v>1150</v>
      </c>
      <c r="I355" t="s">
        <v>1082</v>
      </c>
      <c r="J355" t="s">
        <v>938</v>
      </c>
      <c r="K355" t="s">
        <v>1141</v>
      </c>
      <c r="O355" s="1"/>
      <c r="P355" s="1" t="s">
        <v>1355</v>
      </c>
      <c r="Q355" s="1"/>
      <c r="R355" s="1"/>
    </row>
    <row r="356" spans="4:18" x14ac:dyDescent="0.35">
      <c r="D356" t="s">
        <v>1314</v>
      </c>
      <c r="E356" t="s">
        <v>1082</v>
      </c>
      <c r="F356" t="s">
        <v>938</v>
      </c>
      <c r="G356" t="s">
        <v>1150</v>
      </c>
      <c r="I356" t="s">
        <v>1082</v>
      </c>
      <c r="J356" t="s">
        <v>938</v>
      </c>
      <c r="K356" t="s">
        <v>1265</v>
      </c>
      <c r="O356" s="1"/>
      <c r="P356" s="1" t="s">
        <v>1356</v>
      </c>
      <c r="Q356" s="1" t="s">
        <v>1357</v>
      </c>
      <c r="R356" s="1"/>
    </row>
    <row r="357" spans="4:18" x14ac:dyDescent="0.35">
      <c r="D357" t="s">
        <v>1314</v>
      </c>
      <c r="E357" t="s">
        <v>1082</v>
      </c>
      <c r="F357" t="s">
        <v>938</v>
      </c>
      <c r="G357" t="s">
        <v>1150</v>
      </c>
      <c r="I357" t="s">
        <v>1082</v>
      </c>
      <c r="J357" t="s">
        <v>938</v>
      </c>
      <c r="K357" t="s">
        <v>1248</v>
      </c>
      <c r="O357" s="1"/>
      <c r="P357" s="1" t="s">
        <v>1356</v>
      </c>
      <c r="Q357" s="1" t="s">
        <v>1357</v>
      </c>
      <c r="R357" s="1"/>
    </row>
    <row r="358" spans="4:18" x14ac:dyDescent="0.35">
      <c r="D358" t="s">
        <v>1314</v>
      </c>
      <c r="E358" t="s">
        <v>1082</v>
      </c>
      <c r="F358" t="s">
        <v>938</v>
      </c>
      <c r="G358" t="s">
        <v>1150</v>
      </c>
      <c r="I358" t="s">
        <v>1082</v>
      </c>
      <c r="J358" t="s">
        <v>938</v>
      </c>
      <c r="K358" t="s">
        <v>1293</v>
      </c>
      <c r="O358" s="1"/>
      <c r="P358" s="1" t="s">
        <v>1356</v>
      </c>
      <c r="Q358" s="1" t="s">
        <v>1357</v>
      </c>
      <c r="R358" s="1"/>
    </row>
    <row r="359" spans="4:18" x14ac:dyDescent="0.35">
      <c r="D359" t="s">
        <v>177</v>
      </c>
      <c r="E359" t="s">
        <v>1081</v>
      </c>
      <c r="F359" t="s">
        <v>956</v>
      </c>
      <c r="G359" t="s">
        <v>1194</v>
      </c>
      <c r="I359" t="s">
        <v>1082</v>
      </c>
      <c r="J359" t="s">
        <v>938</v>
      </c>
      <c r="K359" s="12" t="s">
        <v>1151</v>
      </c>
      <c r="O359" s="1"/>
      <c r="P359" s="1"/>
      <c r="Q359" s="1"/>
      <c r="R359" s="1"/>
    </row>
    <row r="360" spans="4:18" x14ac:dyDescent="0.35">
      <c r="D360" t="s">
        <v>1315</v>
      </c>
      <c r="E360" t="s">
        <v>1082</v>
      </c>
      <c r="F360" t="s">
        <v>938</v>
      </c>
      <c r="G360" t="s">
        <v>1151</v>
      </c>
      <c r="I360" t="s">
        <v>1308</v>
      </c>
      <c r="J360" t="s">
        <v>938</v>
      </c>
      <c r="K360" t="s">
        <v>1119</v>
      </c>
      <c r="O360" s="1"/>
      <c r="P360" s="1"/>
      <c r="Q360" s="1"/>
      <c r="R360" s="1"/>
    </row>
    <row r="361" spans="4:18" x14ac:dyDescent="0.35">
      <c r="D361" t="s">
        <v>2215</v>
      </c>
      <c r="E361" t="s">
        <v>1082</v>
      </c>
      <c r="F361" t="s">
        <v>938</v>
      </c>
      <c r="G361" t="s">
        <v>1151</v>
      </c>
      <c r="I361" t="s">
        <v>1082</v>
      </c>
      <c r="J361" t="s">
        <v>938</v>
      </c>
      <c r="K361" t="s">
        <v>1150</v>
      </c>
      <c r="O361" s="1"/>
      <c r="P361" s="1"/>
      <c r="Q361" s="1"/>
      <c r="R361" s="1"/>
    </row>
    <row r="362" spans="4:18" x14ac:dyDescent="0.35">
      <c r="D362" t="s">
        <v>1314</v>
      </c>
      <c r="E362" t="s">
        <v>1082</v>
      </c>
      <c r="F362" t="s">
        <v>938</v>
      </c>
      <c r="G362" t="s">
        <v>1151</v>
      </c>
      <c r="I362" t="s">
        <v>1082</v>
      </c>
      <c r="J362" t="s">
        <v>938</v>
      </c>
      <c r="K362" t="s">
        <v>1144</v>
      </c>
      <c r="O362" s="1"/>
      <c r="P362" s="1" t="s">
        <v>1358</v>
      </c>
      <c r="Q362" s="1"/>
      <c r="R362" s="1"/>
    </row>
    <row r="363" spans="4:18" x14ac:dyDescent="0.35">
      <c r="D363" t="s">
        <v>1314</v>
      </c>
      <c r="E363" t="s">
        <v>1082</v>
      </c>
      <c r="F363" t="s">
        <v>938</v>
      </c>
      <c r="G363" t="s">
        <v>1151</v>
      </c>
      <c r="I363" t="s">
        <v>1082</v>
      </c>
      <c r="J363" t="s">
        <v>938</v>
      </c>
      <c r="K363" t="s">
        <v>1141</v>
      </c>
      <c r="O363" s="1"/>
      <c r="P363" s="1" t="s">
        <v>1355</v>
      </c>
      <c r="Q363" s="1"/>
      <c r="R363" s="1"/>
    </row>
    <row r="364" spans="4:18" x14ac:dyDescent="0.35">
      <c r="D364" t="s">
        <v>1314</v>
      </c>
      <c r="E364" t="s">
        <v>1082</v>
      </c>
      <c r="F364" t="s">
        <v>938</v>
      </c>
      <c r="G364" t="s">
        <v>1151</v>
      </c>
      <c r="I364" t="s">
        <v>1082</v>
      </c>
      <c r="J364" t="s">
        <v>938</v>
      </c>
      <c r="K364" t="s">
        <v>1265</v>
      </c>
      <c r="O364" s="1"/>
      <c r="P364" s="1" t="s">
        <v>1356</v>
      </c>
      <c r="Q364" s="1" t="s">
        <v>1357</v>
      </c>
      <c r="R364" s="1"/>
    </row>
    <row r="365" spans="4:18" x14ac:dyDescent="0.35">
      <c r="D365" t="s">
        <v>1314</v>
      </c>
      <c r="E365" t="s">
        <v>1082</v>
      </c>
      <c r="F365" t="s">
        <v>938</v>
      </c>
      <c r="G365" t="s">
        <v>1151</v>
      </c>
      <c r="I365" t="s">
        <v>1082</v>
      </c>
      <c r="J365" t="s">
        <v>938</v>
      </c>
      <c r="K365" t="s">
        <v>1248</v>
      </c>
      <c r="O365" s="1"/>
      <c r="P365" s="1" t="s">
        <v>1356</v>
      </c>
      <c r="Q365" s="1" t="s">
        <v>1357</v>
      </c>
      <c r="R365" s="1"/>
    </row>
    <row r="366" spans="4:18" x14ac:dyDescent="0.35">
      <c r="D366" t="s">
        <v>1314</v>
      </c>
      <c r="E366" t="s">
        <v>1082</v>
      </c>
      <c r="F366" t="s">
        <v>938</v>
      </c>
      <c r="G366" t="s">
        <v>1151</v>
      </c>
      <c r="I366" t="s">
        <v>1082</v>
      </c>
      <c r="J366" t="s">
        <v>938</v>
      </c>
      <c r="K366" t="s">
        <v>1293</v>
      </c>
      <c r="O366" s="1"/>
      <c r="P366" s="1" t="s">
        <v>1356</v>
      </c>
      <c r="Q366" s="1" t="s">
        <v>1357</v>
      </c>
      <c r="R366" s="1"/>
    </row>
    <row r="367" spans="4:18" x14ac:dyDescent="0.35">
      <c r="D367" t="s">
        <v>177</v>
      </c>
      <c r="E367" t="s">
        <v>1081</v>
      </c>
      <c r="F367" t="s">
        <v>956</v>
      </c>
      <c r="G367" t="s">
        <v>1194</v>
      </c>
      <c r="I367" t="s">
        <v>1082</v>
      </c>
      <c r="J367" t="s">
        <v>938</v>
      </c>
      <c r="K367" s="12" t="s">
        <v>1152</v>
      </c>
      <c r="O367" s="1"/>
      <c r="P367" s="1"/>
      <c r="Q367" s="1"/>
      <c r="R367" s="1"/>
    </row>
    <row r="368" spans="4:18" x14ac:dyDescent="0.35">
      <c r="D368" t="s">
        <v>1315</v>
      </c>
      <c r="E368" t="s">
        <v>1082</v>
      </c>
      <c r="F368" t="s">
        <v>938</v>
      </c>
      <c r="G368" t="s">
        <v>1152</v>
      </c>
      <c r="I368" t="s">
        <v>1308</v>
      </c>
      <c r="J368" t="s">
        <v>938</v>
      </c>
      <c r="K368" t="s">
        <v>1119</v>
      </c>
      <c r="O368" s="1"/>
      <c r="P368" s="1"/>
      <c r="Q368" s="1"/>
      <c r="R368" s="1"/>
    </row>
    <row r="369" spans="4:18" x14ac:dyDescent="0.35">
      <c r="D369" t="s">
        <v>2215</v>
      </c>
      <c r="E369" t="s">
        <v>1082</v>
      </c>
      <c r="F369" t="s">
        <v>938</v>
      </c>
      <c r="G369" t="s">
        <v>1152</v>
      </c>
      <c r="I369" t="s">
        <v>1082</v>
      </c>
      <c r="J369" t="s">
        <v>938</v>
      </c>
      <c r="K369" t="s">
        <v>1151</v>
      </c>
      <c r="O369" s="1"/>
      <c r="P369" s="1"/>
      <c r="Q369" s="1"/>
      <c r="R369" s="1"/>
    </row>
    <row r="370" spans="4:18" x14ac:dyDescent="0.35">
      <c r="D370" t="s">
        <v>1314</v>
      </c>
      <c r="E370" t="s">
        <v>1082</v>
      </c>
      <c r="F370" t="s">
        <v>938</v>
      </c>
      <c r="G370" t="s">
        <v>1152</v>
      </c>
      <c r="I370" t="s">
        <v>1082</v>
      </c>
      <c r="J370" t="s">
        <v>938</v>
      </c>
      <c r="K370" t="s">
        <v>1144</v>
      </c>
      <c r="O370" s="1"/>
      <c r="P370" s="1" t="s">
        <v>1358</v>
      </c>
      <c r="Q370" s="1"/>
      <c r="R370" s="1"/>
    </row>
    <row r="371" spans="4:18" x14ac:dyDescent="0.35">
      <c r="D371" t="s">
        <v>1314</v>
      </c>
      <c r="E371" t="s">
        <v>1082</v>
      </c>
      <c r="F371" t="s">
        <v>938</v>
      </c>
      <c r="G371" t="s">
        <v>1152</v>
      </c>
      <c r="I371" t="s">
        <v>1082</v>
      </c>
      <c r="J371" t="s">
        <v>938</v>
      </c>
      <c r="K371" t="s">
        <v>1141</v>
      </c>
      <c r="O371" s="1"/>
      <c r="P371" s="1" t="s">
        <v>1355</v>
      </c>
      <c r="Q371" s="1"/>
      <c r="R371" s="1"/>
    </row>
    <row r="372" spans="4:18" x14ac:dyDescent="0.35">
      <c r="D372" t="s">
        <v>1314</v>
      </c>
      <c r="E372" t="s">
        <v>1082</v>
      </c>
      <c r="F372" t="s">
        <v>938</v>
      </c>
      <c r="G372" t="s">
        <v>1152</v>
      </c>
      <c r="I372" t="s">
        <v>1082</v>
      </c>
      <c r="J372" t="s">
        <v>938</v>
      </c>
      <c r="K372" t="s">
        <v>1265</v>
      </c>
      <c r="O372" s="1"/>
      <c r="P372" s="1" t="s">
        <v>1356</v>
      </c>
      <c r="Q372" s="1" t="s">
        <v>1357</v>
      </c>
      <c r="R372" s="1"/>
    </row>
    <row r="373" spans="4:18" x14ac:dyDescent="0.35">
      <c r="D373" t="s">
        <v>1314</v>
      </c>
      <c r="E373" t="s">
        <v>1082</v>
      </c>
      <c r="F373" t="s">
        <v>938</v>
      </c>
      <c r="G373" t="s">
        <v>1152</v>
      </c>
      <c r="I373" t="s">
        <v>1082</v>
      </c>
      <c r="J373" t="s">
        <v>938</v>
      </c>
      <c r="K373" t="s">
        <v>1248</v>
      </c>
      <c r="O373" s="1"/>
      <c r="P373" s="1" t="s">
        <v>1356</v>
      </c>
      <c r="Q373" s="1" t="s">
        <v>1357</v>
      </c>
      <c r="R373" s="1"/>
    </row>
    <row r="374" spans="4:18" x14ac:dyDescent="0.35">
      <c r="D374" t="s">
        <v>1314</v>
      </c>
      <c r="E374" t="s">
        <v>1082</v>
      </c>
      <c r="F374" t="s">
        <v>938</v>
      </c>
      <c r="G374" t="s">
        <v>1152</v>
      </c>
      <c r="I374" t="s">
        <v>1082</v>
      </c>
      <c r="J374" t="s">
        <v>938</v>
      </c>
      <c r="K374" t="s">
        <v>1293</v>
      </c>
      <c r="O374" s="1"/>
      <c r="P374" s="1" t="s">
        <v>1356</v>
      </c>
      <c r="Q374" s="1" t="s">
        <v>1357</v>
      </c>
      <c r="R374" s="1"/>
    </row>
    <row r="375" spans="4:18" x14ac:dyDescent="0.35">
      <c r="D375" t="s">
        <v>181</v>
      </c>
      <c r="E375" t="s">
        <v>1308</v>
      </c>
      <c r="F375" t="s">
        <v>938</v>
      </c>
      <c r="G375" t="s">
        <v>1119</v>
      </c>
      <c r="I375" t="s">
        <v>2776</v>
      </c>
      <c r="J375" t="s">
        <v>956</v>
      </c>
      <c r="K375" t="s">
        <v>1119</v>
      </c>
      <c r="O375" s="1"/>
      <c r="P375" s="1"/>
      <c r="Q375" s="1"/>
      <c r="R375" s="1"/>
    </row>
    <row r="376" spans="4:18" x14ac:dyDescent="0.35">
      <c r="D376" t="s">
        <v>177</v>
      </c>
      <c r="E376" t="s">
        <v>1081</v>
      </c>
      <c r="F376" t="s">
        <v>956</v>
      </c>
      <c r="G376" t="s">
        <v>1227</v>
      </c>
      <c r="I376" t="s">
        <v>1082</v>
      </c>
      <c r="J376" t="s">
        <v>938</v>
      </c>
      <c r="K376" s="12" t="s">
        <v>1234</v>
      </c>
      <c r="O376" s="1"/>
      <c r="P376" s="1"/>
      <c r="Q376" s="1"/>
      <c r="R376" s="1"/>
    </row>
    <row r="377" spans="4:18" x14ac:dyDescent="0.35">
      <c r="D377" t="s">
        <v>1315</v>
      </c>
      <c r="E377" t="s">
        <v>1082</v>
      </c>
      <c r="F377" t="s">
        <v>938</v>
      </c>
      <c r="G377" t="s">
        <v>1234</v>
      </c>
      <c r="I377" t="s">
        <v>1308</v>
      </c>
      <c r="J377" t="s">
        <v>938</v>
      </c>
      <c r="K377" t="s">
        <v>1229</v>
      </c>
      <c r="O377" s="1"/>
      <c r="P377" s="1"/>
      <c r="Q377" s="1"/>
      <c r="R377" s="1"/>
    </row>
    <row r="378" spans="4:18" x14ac:dyDescent="0.35">
      <c r="D378" t="s">
        <v>177</v>
      </c>
      <c r="E378" t="s">
        <v>1081</v>
      </c>
      <c r="F378" t="s">
        <v>956</v>
      </c>
      <c r="G378" t="s">
        <v>1227</v>
      </c>
      <c r="I378" t="s">
        <v>1082</v>
      </c>
      <c r="J378" t="s">
        <v>938</v>
      </c>
      <c r="K378" s="12" t="s">
        <v>1238</v>
      </c>
      <c r="O378" s="1"/>
      <c r="P378" s="1"/>
      <c r="Q378" s="1"/>
      <c r="R378" s="1"/>
    </row>
    <row r="379" spans="4:18" x14ac:dyDescent="0.35">
      <c r="D379" t="s">
        <v>1315</v>
      </c>
      <c r="E379" t="s">
        <v>1082</v>
      </c>
      <c r="F379" t="s">
        <v>938</v>
      </c>
      <c r="G379" t="s">
        <v>1238</v>
      </c>
      <c r="I379" t="s">
        <v>1308</v>
      </c>
      <c r="J379" t="s">
        <v>938</v>
      </c>
      <c r="K379" t="s">
        <v>1229</v>
      </c>
      <c r="O379" s="1"/>
      <c r="P379" s="1"/>
      <c r="Q379" s="1"/>
      <c r="R379" s="1"/>
    </row>
    <row r="380" spans="4:18" x14ac:dyDescent="0.35">
      <c r="D380" t="s">
        <v>2215</v>
      </c>
      <c r="E380" t="s">
        <v>1082</v>
      </c>
      <c r="F380" t="s">
        <v>938</v>
      </c>
      <c r="G380" t="s">
        <v>1238</v>
      </c>
      <c r="I380" t="s">
        <v>1082</v>
      </c>
      <c r="J380" t="s">
        <v>938</v>
      </c>
      <c r="K380" t="s">
        <v>1234</v>
      </c>
      <c r="O380" s="1"/>
      <c r="P380" s="1"/>
      <c r="Q380" s="1"/>
      <c r="R380" s="1"/>
    </row>
    <row r="381" spans="4:18" x14ac:dyDescent="0.35">
      <c r="D381" t="s">
        <v>177</v>
      </c>
      <c r="E381" t="s">
        <v>1081</v>
      </c>
      <c r="F381" t="s">
        <v>956</v>
      </c>
      <c r="G381" t="s">
        <v>1227</v>
      </c>
      <c r="I381" t="s">
        <v>1082</v>
      </c>
      <c r="J381" t="s">
        <v>938</v>
      </c>
      <c r="K381" s="12" t="s">
        <v>1240</v>
      </c>
      <c r="O381" s="1"/>
      <c r="P381" s="1"/>
      <c r="Q381" s="1"/>
      <c r="R381" s="1"/>
    </row>
    <row r="382" spans="4:18" x14ac:dyDescent="0.35">
      <c r="D382" t="s">
        <v>1315</v>
      </c>
      <c r="E382" t="s">
        <v>1082</v>
      </c>
      <c r="F382" t="s">
        <v>938</v>
      </c>
      <c r="G382" t="s">
        <v>1240</v>
      </c>
      <c r="I382" t="s">
        <v>1308</v>
      </c>
      <c r="J382" t="s">
        <v>938</v>
      </c>
      <c r="K382" t="s">
        <v>1229</v>
      </c>
      <c r="O382" s="1"/>
      <c r="P382" s="1"/>
      <c r="Q382" s="1"/>
      <c r="R382" s="1"/>
    </row>
    <row r="383" spans="4:18" x14ac:dyDescent="0.35">
      <c r="D383" t="s">
        <v>2215</v>
      </c>
      <c r="E383" t="s">
        <v>1082</v>
      </c>
      <c r="F383" t="s">
        <v>938</v>
      </c>
      <c r="G383" t="s">
        <v>1240</v>
      </c>
      <c r="I383" t="s">
        <v>1082</v>
      </c>
      <c r="J383" t="s">
        <v>938</v>
      </c>
      <c r="K383" t="s">
        <v>1238</v>
      </c>
      <c r="O383" s="1"/>
      <c r="P383" s="1"/>
      <c r="Q383" s="1"/>
      <c r="R383" s="1"/>
    </row>
    <row r="384" spans="4:18" x14ac:dyDescent="0.35">
      <c r="D384" t="s">
        <v>1314</v>
      </c>
      <c r="E384" t="s">
        <v>1082</v>
      </c>
      <c r="F384" t="s">
        <v>938</v>
      </c>
      <c r="G384" t="s">
        <v>1240</v>
      </c>
      <c r="I384" t="s">
        <v>1082</v>
      </c>
      <c r="J384" t="s">
        <v>938</v>
      </c>
      <c r="K384" t="s">
        <v>1253</v>
      </c>
      <c r="O384" s="1"/>
      <c r="P384" s="1" t="s">
        <v>1378</v>
      </c>
      <c r="Q384" s="1"/>
      <c r="R384" s="1"/>
    </row>
    <row r="385" spans="4:18" x14ac:dyDescent="0.35">
      <c r="D385" t="s">
        <v>1314</v>
      </c>
      <c r="E385" t="s">
        <v>1082</v>
      </c>
      <c r="F385" t="s">
        <v>938</v>
      </c>
      <c r="G385" t="s">
        <v>1240</v>
      </c>
      <c r="I385" t="s">
        <v>1082</v>
      </c>
      <c r="J385" t="s">
        <v>938</v>
      </c>
      <c r="K385" t="s">
        <v>1274</v>
      </c>
      <c r="O385" s="1"/>
      <c r="P385" s="1" t="s">
        <v>1378</v>
      </c>
      <c r="Q385" s="1"/>
      <c r="R385" s="1"/>
    </row>
    <row r="386" spans="4:18" x14ac:dyDescent="0.35">
      <c r="D386" t="s">
        <v>177</v>
      </c>
      <c r="E386" t="s">
        <v>1081</v>
      </c>
      <c r="F386" t="s">
        <v>956</v>
      </c>
      <c r="G386" t="s">
        <v>1227</v>
      </c>
      <c r="I386" t="s">
        <v>1082</v>
      </c>
      <c r="J386" t="s">
        <v>938</v>
      </c>
      <c r="K386" s="12" t="s">
        <v>1242</v>
      </c>
      <c r="O386" s="1"/>
      <c r="P386" s="1"/>
      <c r="Q386" s="1"/>
      <c r="R386" s="1"/>
    </row>
    <row r="387" spans="4:18" x14ac:dyDescent="0.35">
      <c r="D387" t="s">
        <v>1315</v>
      </c>
      <c r="E387" t="s">
        <v>1082</v>
      </c>
      <c r="F387" t="s">
        <v>938</v>
      </c>
      <c r="G387" t="s">
        <v>1242</v>
      </c>
      <c r="I387" t="s">
        <v>1308</v>
      </c>
      <c r="J387" t="s">
        <v>938</v>
      </c>
      <c r="K387" t="s">
        <v>1229</v>
      </c>
      <c r="O387" s="1"/>
      <c r="P387" s="1"/>
      <c r="Q387" s="1"/>
      <c r="R387" s="1"/>
    </row>
    <row r="388" spans="4:18" x14ac:dyDescent="0.35">
      <c r="D388" t="s">
        <v>2215</v>
      </c>
      <c r="E388" t="s">
        <v>1082</v>
      </c>
      <c r="F388" t="s">
        <v>938</v>
      </c>
      <c r="G388" t="s">
        <v>1242</v>
      </c>
      <c r="I388" t="s">
        <v>1082</v>
      </c>
      <c r="J388" t="s">
        <v>938</v>
      </c>
      <c r="K388" t="s">
        <v>1240</v>
      </c>
      <c r="O388" s="1"/>
      <c r="P388" s="1"/>
      <c r="Q388" s="1"/>
      <c r="R388" s="1"/>
    </row>
    <row r="389" spans="4:18" x14ac:dyDescent="0.35">
      <c r="D389" t="s">
        <v>1314</v>
      </c>
      <c r="E389" t="s">
        <v>1082</v>
      </c>
      <c r="F389" t="s">
        <v>938</v>
      </c>
      <c r="G389" t="s">
        <v>1242</v>
      </c>
      <c r="I389" t="s">
        <v>1082</v>
      </c>
      <c r="J389" t="s">
        <v>938</v>
      </c>
      <c r="K389" t="s">
        <v>1244</v>
      </c>
      <c r="O389" s="1"/>
      <c r="P389" s="1" t="s">
        <v>1355</v>
      </c>
      <c r="Q389" s="1"/>
      <c r="R389" s="1"/>
    </row>
    <row r="390" spans="4:18" x14ac:dyDescent="0.35">
      <c r="D390" t="s">
        <v>1314</v>
      </c>
      <c r="E390" t="s">
        <v>1082</v>
      </c>
      <c r="F390" t="s">
        <v>938</v>
      </c>
      <c r="G390" t="s">
        <v>1242</v>
      </c>
      <c r="I390" t="s">
        <v>1082</v>
      </c>
      <c r="J390" t="s">
        <v>938</v>
      </c>
      <c r="K390" t="s">
        <v>1253</v>
      </c>
      <c r="O390" s="1"/>
      <c r="P390" s="1" t="s">
        <v>1355</v>
      </c>
      <c r="Q390" s="1"/>
      <c r="R390" s="1"/>
    </row>
    <row r="391" spans="4:18" x14ac:dyDescent="0.35">
      <c r="D391" t="s">
        <v>1314</v>
      </c>
      <c r="E391" t="s">
        <v>1082</v>
      </c>
      <c r="F391" t="s">
        <v>938</v>
      </c>
      <c r="G391" t="s">
        <v>1242</v>
      </c>
      <c r="I391" t="s">
        <v>1082</v>
      </c>
      <c r="J391" t="s">
        <v>938</v>
      </c>
      <c r="K391" t="s">
        <v>1274</v>
      </c>
      <c r="O391" s="1"/>
      <c r="P391" s="1" t="s">
        <v>1355</v>
      </c>
      <c r="Q391" s="1"/>
      <c r="R391" s="1"/>
    </row>
    <row r="392" spans="4:18" x14ac:dyDescent="0.35">
      <c r="D392" t="s">
        <v>177</v>
      </c>
      <c r="E392" t="s">
        <v>1081</v>
      </c>
      <c r="F392" t="s">
        <v>956</v>
      </c>
      <c r="G392" t="s">
        <v>1227</v>
      </c>
      <c r="I392" t="s">
        <v>1082</v>
      </c>
      <c r="J392" t="s">
        <v>938</v>
      </c>
      <c r="K392" s="12" t="s">
        <v>1244</v>
      </c>
      <c r="O392" s="1"/>
      <c r="P392" s="1"/>
      <c r="Q392" s="1"/>
      <c r="R392" s="1"/>
    </row>
    <row r="393" spans="4:18" x14ac:dyDescent="0.35">
      <c r="D393" t="s">
        <v>1315</v>
      </c>
      <c r="E393" t="s">
        <v>1082</v>
      </c>
      <c r="F393" t="s">
        <v>938</v>
      </c>
      <c r="G393" t="s">
        <v>1244</v>
      </c>
      <c r="I393" t="s">
        <v>1308</v>
      </c>
      <c r="J393" t="s">
        <v>938</v>
      </c>
      <c r="K393" t="s">
        <v>1229</v>
      </c>
      <c r="O393" s="1"/>
      <c r="P393" s="1"/>
      <c r="Q393" s="1"/>
      <c r="R393" s="1"/>
    </row>
    <row r="394" spans="4:18" x14ac:dyDescent="0.35">
      <c r="D394" t="s">
        <v>2215</v>
      </c>
      <c r="E394" t="s">
        <v>1082</v>
      </c>
      <c r="F394" t="s">
        <v>938</v>
      </c>
      <c r="G394" t="s">
        <v>1244</v>
      </c>
      <c r="I394" t="s">
        <v>1082</v>
      </c>
      <c r="J394" t="s">
        <v>938</v>
      </c>
      <c r="K394" t="s">
        <v>1242</v>
      </c>
      <c r="O394" s="1"/>
      <c r="P394" s="1"/>
      <c r="Q394" s="1"/>
      <c r="R394" s="1"/>
    </row>
    <row r="395" spans="4:18" x14ac:dyDescent="0.35">
      <c r="D395" t="s">
        <v>1314</v>
      </c>
      <c r="E395" t="s">
        <v>1082</v>
      </c>
      <c r="F395" t="s">
        <v>938</v>
      </c>
      <c r="G395" t="s">
        <v>1244</v>
      </c>
      <c r="I395" t="s">
        <v>1082</v>
      </c>
      <c r="J395" t="s">
        <v>938</v>
      </c>
      <c r="K395" t="s">
        <v>1242</v>
      </c>
      <c r="O395" s="1"/>
      <c r="P395" s="1" t="s">
        <v>1355</v>
      </c>
      <c r="Q395" s="1"/>
      <c r="R395" s="1"/>
    </row>
    <row r="396" spans="4:18" x14ac:dyDescent="0.35">
      <c r="D396" t="s">
        <v>1314</v>
      </c>
      <c r="E396" t="s">
        <v>1082</v>
      </c>
      <c r="F396" t="s">
        <v>938</v>
      </c>
      <c r="G396" t="s">
        <v>1244</v>
      </c>
      <c r="I396" t="s">
        <v>1082</v>
      </c>
      <c r="J396" t="s">
        <v>938</v>
      </c>
      <c r="K396" t="s">
        <v>1286</v>
      </c>
      <c r="O396" s="1"/>
      <c r="P396" s="1" t="s">
        <v>1375</v>
      </c>
      <c r="Q396" s="1"/>
      <c r="R396" s="1"/>
    </row>
    <row r="397" spans="4:18" x14ac:dyDescent="0.35">
      <c r="D397" t="s">
        <v>1314</v>
      </c>
      <c r="E397" t="s">
        <v>1082</v>
      </c>
      <c r="F397" t="s">
        <v>938</v>
      </c>
      <c r="G397" t="s">
        <v>1244</v>
      </c>
      <c r="I397" t="s">
        <v>1082</v>
      </c>
      <c r="J397" t="s">
        <v>938</v>
      </c>
      <c r="K397" t="s">
        <v>1255</v>
      </c>
      <c r="O397" s="1"/>
      <c r="P397" s="1" t="s">
        <v>1375</v>
      </c>
      <c r="Q397" s="1"/>
      <c r="R397" s="1"/>
    </row>
    <row r="398" spans="4:18" x14ac:dyDescent="0.35">
      <c r="D398" t="s">
        <v>177</v>
      </c>
      <c r="E398" t="s">
        <v>1081</v>
      </c>
      <c r="F398" t="s">
        <v>956</v>
      </c>
      <c r="G398" t="s">
        <v>1227</v>
      </c>
      <c r="I398" t="s">
        <v>1082</v>
      </c>
      <c r="J398" t="s">
        <v>938</v>
      </c>
      <c r="K398" s="12" t="s">
        <v>1248</v>
      </c>
      <c r="O398" s="1"/>
      <c r="P398" s="1"/>
      <c r="Q398" s="1"/>
      <c r="R398" s="1"/>
    </row>
    <row r="399" spans="4:18" x14ac:dyDescent="0.35">
      <c r="D399" t="s">
        <v>1315</v>
      </c>
      <c r="E399" t="s">
        <v>1082</v>
      </c>
      <c r="F399" t="s">
        <v>938</v>
      </c>
      <c r="G399" t="s">
        <v>1248</v>
      </c>
      <c r="I399" t="s">
        <v>1308</v>
      </c>
      <c r="J399" t="s">
        <v>938</v>
      </c>
      <c r="K399" t="s">
        <v>1229</v>
      </c>
      <c r="O399" s="1"/>
      <c r="P399" s="1"/>
      <c r="Q399" s="1"/>
      <c r="R399" s="1"/>
    </row>
    <row r="400" spans="4:18" x14ac:dyDescent="0.35">
      <c r="D400" t="s">
        <v>2215</v>
      </c>
      <c r="E400" t="s">
        <v>1082</v>
      </c>
      <c r="F400" t="s">
        <v>938</v>
      </c>
      <c r="G400" t="s">
        <v>1248</v>
      </c>
      <c r="I400" t="s">
        <v>1082</v>
      </c>
      <c r="J400" t="s">
        <v>938</v>
      </c>
      <c r="K400" t="s">
        <v>1244</v>
      </c>
      <c r="O400" s="1"/>
      <c r="P400" s="1"/>
      <c r="Q400" s="1"/>
      <c r="R400" s="1"/>
    </row>
    <row r="401" spans="4:18" x14ac:dyDescent="0.35">
      <c r="D401" t="s">
        <v>1314</v>
      </c>
      <c r="E401" t="s">
        <v>1082</v>
      </c>
      <c r="F401" t="s">
        <v>938</v>
      </c>
      <c r="G401" t="s">
        <v>1248</v>
      </c>
      <c r="I401" t="s">
        <v>1082</v>
      </c>
      <c r="J401" t="s">
        <v>938</v>
      </c>
      <c r="K401" s="1" t="s">
        <v>1144</v>
      </c>
      <c r="O401" s="1"/>
      <c r="P401" s="1" t="s">
        <v>1356</v>
      </c>
      <c r="Q401" s="1" t="s">
        <v>1357</v>
      </c>
      <c r="R401" s="1"/>
    </row>
    <row r="402" spans="4:18" x14ac:dyDescent="0.35">
      <c r="D402" t="s">
        <v>1314</v>
      </c>
      <c r="E402" t="s">
        <v>1082</v>
      </c>
      <c r="F402" t="s">
        <v>938</v>
      </c>
      <c r="G402" t="s">
        <v>1248</v>
      </c>
      <c r="I402" t="s">
        <v>1082</v>
      </c>
      <c r="J402" t="s">
        <v>938</v>
      </c>
      <c r="K402" s="1" t="s">
        <v>1146</v>
      </c>
      <c r="O402" s="1"/>
      <c r="P402" s="1" t="s">
        <v>1356</v>
      </c>
      <c r="Q402" s="1" t="s">
        <v>1357</v>
      </c>
      <c r="R402" s="1"/>
    </row>
    <row r="403" spans="4:18" x14ac:dyDescent="0.35">
      <c r="D403" t="s">
        <v>1314</v>
      </c>
      <c r="E403" t="s">
        <v>1082</v>
      </c>
      <c r="F403" t="s">
        <v>938</v>
      </c>
      <c r="G403" t="s">
        <v>1248</v>
      </c>
      <c r="I403" t="s">
        <v>1082</v>
      </c>
      <c r="J403" t="s">
        <v>938</v>
      </c>
      <c r="K403" s="1" t="s">
        <v>1147</v>
      </c>
      <c r="O403" s="1"/>
      <c r="P403" s="1" t="s">
        <v>1356</v>
      </c>
      <c r="Q403" s="1" t="s">
        <v>1357</v>
      </c>
      <c r="R403" s="1"/>
    </row>
    <row r="404" spans="4:18" x14ac:dyDescent="0.35">
      <c r="D404" t="s">
        <v>1314</v>
      </c>
      <c r="E404" t="s">
        <v>1082</v>
      </c>
      <c r="F404" t="s">
        <v>938</v>
      </c>
      <c r="G404" t="s">
        <v>1248</v>
      </c>
      <c r="I404" t="s">
        <v>1082</v>
      </c>
      <c r="J404" t="s">
        <v>938</v>
      </c>
      <c r="K404" s="1" t="s">
        <v>1148</v>
      </c>
      <c r="O404" s="1"/>
      <c r="P404" s="1" t="s">
        <v>1356</v>
      </c>
      <c r="Q404" s="1" t="s">
        <v>1357</v>
      </c>
      <c r="R404" s="1"/>
    </row>
    <row r="405" spans="4:18" x14ac:dyDescent="0.35">
      <c r="D405" t="s">
        <v>1314</v>
      </c>
      <c r="E405" t="s">
        <v>1082</v>
      </c>
      <c r="F405" t="s">
        <v>938</v>
      </c>
      <c r="G405" t="s">
        <v>1248</v>
      </c>
      <c r="I405" t="s">
        <v>1082</v>
      </c>
      <c r="J405" t="s">
        <v>938</v>
      </c>
      <c r="K405" s="1" t="s">
        <v>1149</v>
      </c>
      <c r="O405" s="1"/>
      <c r="P405" s="1" t="s">
        <v>1356</v>
      </c>
      <c r="Q405" s="1" t="s">
        <v>1357</v>
      </c>
      <c r="R405" s="1"/>
    </row>
    <row r="406" spans="4:18" x14ac:dyDescent="0.35">
      <c r="D406" t="s">
        <v>1314</v>
      </c>
      <c r="E406" t="s">
        <v>1082</v>
      </c>
      <c r="F406" t="s">
        <v>938</v>
      </c>
      <c r="G406" t="s">
        <v>1248</v>
      </c>
      <c r="I406" t="s">
        <v>1082</v>
      </c>
      <c r="J406" t="s">
        <v>938</v>
      </c>
      <c r="K406" s="1" t="s">
        <v>1150</v>
      </c>
      <c r="O406" s="1"/>
      <c r="P406" s="1" t="s">
        <v>1356</v>
      </c>
      <c r="Q406" s="1" t="s">
        <v>1357</v>
      </c>
      <c r="R406" s="1"/>
    </row>
    <row r="407" spans="4:18" x14ac:dyDescent="0.35">
      <c r="D407" t="s">
        <v>1314</v>
      </c>
      <c r="E407" t="s">
        <v>1082</v>
      </c>
      <c r="F407" t="s">
        <v>938</v>
      </c>
      <c r="G407" t="s">
        <v>1248</v>
      </c>
      <c r="I407" t="s">
        <v>1082</v>
      </c>
      <c r="J407" t="s">
        <v>938</v>
      </c>
      <c r="K407" s="1" t="s">
        <v>1151</v>
      </c>
      <c r="O407" s="1"/>
      <c r="P407" s="1" t="s">
        <v>1356</v>
      </c>
      <c r="Q407" s="1" t="s">
        <v>1357</v>
      </c>
      <c r="R407" s="1"/>
    </row>
    <row r="408" spans="4:18" x14ac:dyDescent="0.35">
      <c r="D408" t="s">
        <v>1314</v>
      </c>
      <c r="E408" t="s">
        <v>1082</v>
      </c>
      <c r="F408" t="s">
        <v>938</v>
      </c>
      <c r="G408" t="s">
        <v>1248</v>
      </c>
      <c r="I408" t="s">
        <v>1082</v>
      </c>
      <c r="J408" t="s">
        <v>938</v>
      </c>
      <c r="K408" s="1" t="s">
        <v>1152</v>
      </c>
      <c r="O408" s="1"/>
      <c r="P408" s="1" t="s">
        <v>1356</v>
      </c>
      <c r="Q408" s="1" t="s">
        <v>1357</v>
      </c>
      <c r="R408" s="1"/>
    </row>
    <row r="409" spans="4:18" x14ac:dyDescent="0.35">
      <c r="D409" t="s">
        <v>1314</v>
      </c>
      <c r="E409" t="s">
        <v>1082</v>
      </c>
      <c r="F409" t="s">
        <v>938</v>
      </c>
      <c r="G409" t="s">
        <v>1248</v>
      </c>
      <c r="I409" t="s">
        <v>1082</v>
      </c>
      <c r="J409" t="s">
        <v>938</v>
      </c>
      <c r="K409" t="s">
        <v>1265</v>
      </c>
      <c r="O409" s="1"/>
      <c r="P409" s="1" t="s">
        <v>1375</v>
      </c>
      <c r="Q409" s="1"/>
      <c r="R409" s="1"/>
    </row>
    <row r="410" spans="4:18" x14ac:dyDescent="0.35">
      <c r="D410" t="s">
        <v>1314</v>
      </c>
      <c r="E410" t="s">
        <v>1082</v>
      </c>
      <c r="F410" t="s">
        <v>938</v>
      </c>
      <c r="G410" t="s">
        <v>1248</v>
      </c>
      <c r="I410" t="s">
        <v>1082</v>
      </c>
      <c r="J410" t="s">
        <v>938</v>
      </c>
      <c r="K410" t="s">
        <v>1293</v>
      </c>
      <c r="O410" s="1"/>
      <c r="P410" s="1" t="s">
        <v>1375</v>
      </c>
      <c r="Q410" s="1"/>
      <c r="R410" s="1"/>
    </row>
    <row r="411" spans="4:18" x14ac:dyDescent="0.35">
      <c r="D411" t="s">
        <v>181</v>
      </c>
      <c r="E411" t="s">
        <v>1308</v>
      </c>
      <c r="F411" t="s">
        <v>938</v>
      </c>
      <c r="G411" t="s">
        <v>1229</v>
      </c>
      <c r="I411" t="s">
        <v>2776</v>
      </c>
      <c r="J411" t="s">
        <v>956</v>
      </c>
      <c r="K411" t="s">
        <v>2730</v>
      </c>
      <c r="O411" s="1"/>
      <c r="P411" s="1"/>
      <c r="Q411" s="1" t="s">
        <v>2777</v>
      </c>
      <c r="R411" s="1"/>
    </row>
    <row r="412" spans="4:18" x14ac:dyDescent="0.35">
      <c r="D412" t="s">
        <v>177</v>
      </c>
      <c r="E412" t="s">
        <v>1081</v>
      </c>
      <c r="F412" t="s">
        <v>956</v>
      </c>
      <c r="G412" t="s">
        <v>1318</v>
      </c>
      <c r="I412" t="s">
        <v>1082</v>
      </c>
      <c r="J412" t="s">
        <v>938</v>
      </c>
      <c r="K412" s="12" t="s">
        <v>1251</v>
      </c>
      <c r="O412" s="1"/>
      <c r="P412" s="1"/>
      <c r="Q412" s="1"/>
      <c r="R412" s="1"/>
    </row>
    <row r="413" spans="4:18" x14ac:dyDescent="0.35">
      <c r="D413" t="s">
        <v>1315</v>
      </c>
      <c r="E413" t="s">
        <v>1082</v>
      </c>
      <c r="F413" t="s">
        <v>938</v>
      </c>
      <c r="G413" t="s">
        <v>1251</v>
      </c>
      <c r="I413" t="s">
        <v>1308</v>
      </c>
      <c r="J413" t="s">
        <v>938</v>
      </c>
      <c r="K413" t="s">
        <v>1270</v>
      </c>
      <c r="O413" s="1"/>
      <c r="P413" s="1"/>
      <c r="Q413" s="1"/>
      <c r="R413" s="1"/>
    </row>
    <row r="414" spans="4:18" x14ac:dyDescent="0.35">
      <c r="D414" t="s">
        <v>177</v>
      </c>
      <c r="E414" t="s">
        <v>1081</v>
      </c>
      <c r="F414" t="s">
        <v>956</v>
      </c>
      <c r="G414" t="s">
        <v>1318</v>
      </c>
      <c r="I414" t="s">
        <v>1082</v>
      </c>
      <c r="J414" t="s">
        <v>938</v>
      </c>
      <c r="K414" s="12" t="s">
        <v>1253</v>
      </c>
      <c r="O414" s="1"/>
      <c r="P414" s="1"/>
      <c r="Q414" s="1"/>
      <c r="R414" s="1"/>
    </row>
    <row r="415" spans="4:18" x14ac:dyDescent="0.35">
      <c r="D415" t="s">
        <v>1315</v>
      </c>
      <c r="E415" t="s">
        <v>1082</v>
      </c>
      <c r="F415" t="s">
        <v>938</v>
      </c>
      <c r="G415" t="s">
        <v>1253</v>
      </c>
      <c r="I415" t="s">
        <v>1308</v>
      </c>
      <c r="J415" t="s">
        <v>938</v>
      </c>
      <c r="K415" t="s">
        <v>1270</v>
      </c>
      <c r="O415" s="1"/>
      <c r="P415" s="1"/>
      <c r="Q415" s="1"/>
      <c r="R415" s="1"/>
    </row>
    <row r="416" spans="4:18" x14ac:dyDescent="0.35">
      <c r="D416" t="s">
        <v>2215</v>
      </c>
      <c r="E416" t="s">
        <v>1082</v>
      </c>
      <c r="F416" t="s">
        <v>938</v>
      </c>
      <c r="G416" t="s">
        <v>1253</v>
      </c>
      <c r="I416" t="s">
        <v>1082</v>
      </c>
      <c r="J416" t="s">
        <v>938</v>
      </c>
      <c r="K416" t="s">
        <v>1251</v>
      </c>
      <c r="O416" s="1"/>
      <c r="P416" s="1"/>
      <c r="Q416" s="1"/>
      <c r="R416" s="1"/>
    </row>
    <row r="417" spans="4:18" x14ac:dyDescent="0.35">
      <c r="D417" t="s">
        <v>1314</v>
      </c>
      <c r="E417" t="s">
        <v>1082</v>
      </c>
      <c r="F417" t="s">
        <v>938</v>
      </c>
      <c r="G417" t="s">
        <v>1253</v>
      </c>
      <c r="I417" t="s">
        <v>1082</v>
      </c>
      <c r="J417" t="s">
        <v>938</v>
      </c>
      <c r="K417" t="s">
        <v>1242</v>
      </c>
      <c r="O417" s="1"/>
      <c r="P417" s="1" t="s">
        <v>1355</v>
      </c>
      <c r="Q417" s="1"/>
      <c r="R417" s="1"/>
    </row>
    <row r="418" spans="4:18" x14ac:dyDescent="0.35">
      <c r="D418" t="s">
        <v>1314</v>
      </c>
      <c r="E418" t="s">
        <v>1082</v>
      </c>
      <c r="F418" t="s">
        <v>938</v>
      </c>
      <c r="G418" t="s">
        <v>1253</v>
      </c>
      <c r="I418" t="s">
        <v>1082</v>
      </c>
      <c r="J418" t="s">
        <v>938</v>
      </c>
      <c r="K418" t="s">
        <v>1274</v>
      </c>
      <c r="O418" s="1"/>
      <c r="P418" s="1" t="s">
        <v>1375</v>
      </c>
      <c r="Q418" s="1"/>
      <c r="R418" s="1"/>
    </row>
    <row r="419" spans="4:18" x14ac:dyDescent="0.35">
      <c r="D419" t="s">
        <v>177</v>
      </c>
      <c r="E419" t="s">
        <v>1081</v>
      </c>
      <c r="F419" t="s">
        <v>956</v>
      </c>
      <c r="G419" t="s">
        <v>1318</v>
      </c>
      <c r="I419" t="s">
        <v>1082</v>
      </c>
      <c r="J419" t="s">
        <v>938</v>
      </c>
      <c r="K419" s="12" t="s">
        <v>1255</v>
      </c>
      <c r="O419" s="1"/>
      <c r="P419" s="1"/>
      <c r="Q419" s="1"/>
      <c r="R419" s="1"/>
    </row>
    <row r="420" spans="4:18" x14ac:dyDescent="0.35">
      <c r="D420" t="s">
        <v>1315</v>
      </c>
      <c r="E420" t="s">
        <v>1082</v>
      </c>
      <c r="F420" t="s">
        <v>938</v>
      </c>
      <c r="G420" t="s">
        <v>1255</v>
      </c>
      <c r="I420" t="s">
        <v>1308</v>
      </c>
      <c r="J420" t="s">
        <v>938</v>
      </c>
      <c r="K420" t="s">
        <v>1270</v>
      </c>
      <c r="O420" s="1"/>
      <c r="P420" s="1"/>
      <c r="Q420" s="1"/>
      <c r="R420" s="1"/>
    </row>
    <row r="421" spans="4:18" x14ac:dyDescent="0.35">
      <c r="D421" t="s">
        <v>2215</v>
      </c>
      <c r="E421" t="s">
        <v>1082</v>
      </c>
      <c r="F421" t="s">
        <v>938</v>
      </c>
      <c r="G421" t="s">
        <v>1255</v>
      </c>
      <c r="I421" t="s">
        <v>1082</v>
      </c>
      <c r="J421" t="s">
        <v>938</v>
      </c>
      <c r="K421" t="s">
        <v>1253</v>
      </c>
      <c r="O421" s="1"/>
      <c r="P421" s="1"/>
      <c r="Q421" s="1"/>
      <c r="R421" s="1"/>
    </row>
    <row r="422" spans="4:18" x14ac:dyDescent="0.35">
      <c r="D422" t="s">
        <v>1314</v>
      </c>
      <c r="E422" t="s">
        <v>1082</v>
      </c>
      <c r="F422" t="s">
        <v>938</v>
      </c>
      <c r="G422" t="s">
        <v>1255</v>
      </c>
      <c r="I422" t="s">
        <v>1082</v>
      </c>
      <c r="J422" t="s">
        <v>938</v>
      </c>
      <c r="K422" t="s">
        <v>1286</v>
      </c>
      <c r="O422" s="1"/>
      <c r="P422" s="1" t="s">
        <v>1375</v>
      </c>
      <c r="Q422" s="1"/>
      <c r="R422" s="1"/>
    </row>
    <row r="423" spans="4:18" x14ac:dyDescent="0.35">
      <c r="D423" t="s">
        <v>1314</v>
      </c>
      <c r="E423" t="s">
        <v>1082</v>
      </c>
      <c r="F423" t="s">
        <v>938</v>
      </c>
      <c r="G423" t="s">
        <v>1255</v>
      </c>
      <c r="I423" t="s">
        <v>1082</v>
      </c>
      <c r="J423" t="s">
        <v>938</v>
      </c>
      <c r="K423" t="s">
        <v>1244</v>
      </c>
      <c r="O423" s="1"/>
      <c r="P423" s="1" t="s">
        <v>1375</v>
      </c>
      <c r="Q423" s="1"/>
      <c r="R423" s="1"/>
    </row>
    <row r="424" spans="4:18" x14ac:dyDescent="0.35">
      <c r="D424" t="s">
        <v>1314</v>
      </c>
      <c r="E424" t="s">
        <v>1082</v>
      </c>
      <c r="F424" t="s">
        <v>938</v>
      </c>
      <c r="G424" t="s">
        <v>1255</v>
      </c>
      <c r="I424" t="s">
        <v>1082</v>
      </c>
      <c r="J424" t="s">
        <v>938</v>
      </c>
      <c r="K424" t="s">
        <v>1144</v>
      </c>
      <c r="O424" s="1"/>
      <c r="P424" s="1" t="s">
        <v>1378</v>
      </c>
      <c r="Q424" s="1"/>
      <c r="R424" s="1"/>
    </row>
    <row r="425" spans="4:18" x14ac:dyDescent="0.35">
      <c r="D425" t="s">
        <v>177</v>
      </c>
      <c r="E425" t="s">
        <v>1081</v>
      </c>
      <c r="F425" t="s">
        <v>956</v>
      </c>
      <c r="G425" t="s">
        <v>1217</v>
      </c>
      <c r="I425" t="s">
        <v>1082</v>
      </c>
      <c r="J425" t="s">
        <v>938</v>
      </c>
      <c r="K425" s="12" t="s">
        <v>1265</v>
      </c>
      <c r="O425" s="1"/>
      <c r="P425" s="1"/>
      <c r="Q425" s="1"/>
      <c r="R425" s="1"/>
    </row>
    <row r="426" spans="4:18" x14ac:dyDescent="0.35">
      <c r="D426" t="s">
        <v>1315</v>
      </c>
      <c r="E426" t="s">
        <v>1082</v>
      </c>
      <c r="F426" t="s">
        <v>938</v>
      </c>
      <c r="G426" t="s">
        <v>1265</v>
      </c>
      <c r="I426" t="s">
        <v>1308</v>
      </c>
      <c r="J426" t="s">
        <v>938</v>
      </c>
      <c r="K426" t="s">
        <v>1270</v>
      </c>
      <c r="O426" s="1"/>
      <c r="P426" s="1"/>
      <c r="Q426" s="1"/>
      <c r="R426" s="1"/>
    </row>
    <row r="427" spans="4:18" x14ac:dyDescent="0.35">
      <c r="D427" t="s">
        <v>2215</v>
      </c>
      <c r="E427" t="s">
        <v>1082</v>
      </c>
      <c r="F427" t="s">
        <v>938</v>
      </c>
      <c r="G427" t="s">
        <v>1265</v>
      </c>
      <c r="I427" t="s">
        <v>1082</v>
      </c>
      <c r="J427" t="s">
        <v>938</v>
      </c>
      <c r="K427" t="s">
        <v>1255</v>
      </c>
      <c r="O427" s="1"/>
      <c r="P427" s="1"/>
      <c r="Q427" s="1"/>
      <c r="R427" s="1"/>
    </row>
    <row r="428" spans="4:18" x14ac:dyDescent="0.35">
      <c r="D428" t="s">
        <v>1314</v>
      </c>
      <c r="E428" t="s">
        <v>1082</v>
      </c>
      <c r="F428" t="s">
        <v>938</v>
      </c>
      <c r="G428" t="s">
        <v>1265</v>
      </c>
      <c r="I428" t="s">
        <v>1082</v>
      </c>
      <c r="J428" t="s">
        <v>938</v>
      </c>
      <c r="K428" s="1" t="s">
        <v>1144</v>
      </c>
      <c r="O428" s="1"/>
      <c r="P428" s="1" t="s">
        <v>1356</v>
      </c>
      <c r="Q428" s="1" t="s">
        <v>1357</v>
      </c>
      <c r="R428" s="1"/>
    </row>
    <row r="429" spans="4:18" x14ac:dyDescent="0.35">
      <c r="D429" t="s">
        <v>1314</v>
      </c>
      <c r="E429" t="s">
        <v>1082</v>
      </c>
      <c r="F429" t="s">
        <v>938</v>
      </c>
      <c r="G429" t="s">
        <v>1265</v>
      </c>
      <c r="I429" t="s">
        <v>1082</v>
      </c>
      <c r="J429" t="s">
        <v>938</v>
      </c>
      <c r="K429" s="1" t="s">
        <v>1146</v>
      </c>
      <c r="O429" s="1"/>
      <c r="P429" s="1" t="s">
        <v>1356</v>
      </c>
      <c r="Q429" s="1" t="s">
        <v>1357</v>
      </c>
      <c r="R429" s="1"/>
    </row>
    <row r="430" spans="4:18" x14ac:dyDescent="0.35">
      <c r="D430" t="s">
        <v>1314</v>
      </c>
      <c r="E430" t="s">
        <v>1082</v>
      </c>
      <c r="F430" t="s">
        <v>938</v>
      </c>
      <c r="G430" t="s">
        <v>1265</v>
      </c>
      <c r="I430" t="s">
        <v>1082</v>
      </c>
      <c r="J430" t="s">
        <v>938</v>
      </c>
      <c r="K430" s="1" t="s">
        <v>1147</v>
      </c>
      <c r="O430" s="1"/>
      <c r="P430" s="1" t="s">
        <v>1356</v>
      </c>
      <c r="Q430" s="1" t="s">
        <v>1357</v>
      </c>
      <c r="R430" s="1"/>
    </row>
    <row r="431" spans="4:18" x14ac:dyDescent="0.35">
      <c r="D431" t="s">
        <v>1314</v>
      </c>
      <c r="E431" t="s">
        <v>1082</v>
      </c>
      <c r="F431" t="s">
        <v>938</v>
      </c>
      <c r="G431" t="s">
        <v>1265</v>
      </c>
      <c r="I431" t="s">
        <v>1082</v>
      </c>
      <c r="J431" t="s">
        <v>938</v>
      </c>
      <c r="K431" s="1" t="s">
        <v>1148</v>
      </c>
      <c r="O431" s="1"/>
      <c r="P431" s="1" t="s">
        <v>1356</v>
      </c>
      <c r="Q431" s="1" t="s">
        <v>1357</v>
      </c>
      <c r="R431" s="1"/>
    </row>
    <row r="432" spans="4:18" x14ac:dyDescent="0.35">
      <c r="D432" t="s">
        <v>1314</v>
      </c>
      <c r="E432" t="s">
        <v>1082</v>
      </c>
      <c r="F432" t="s">
        <v>938</v>
      </c>
      <c r="G432" t="s">
        <v>1265</v>
      </c>
      <c r="I432" t="s">
        <v>1082</v>
      </c>
      <c r="J432" t="s">
        <v>938</v>
      </c>
      <c r="K432" s="1" t="s">
        <v>1149</v>
      </c>
      <c r="O432" s="1"/>
      <c r="P432" s="1" t="s">
        <v>1356</v>
      </c>
      <c r="Q432" s="1" t="s">
        <v>1357</v>
      </c>
      <c r="R432" s="1"/>
    </row>
    <row r="433" spans="4:18" x14ac:dyDescent="0.35">
      <c r="D433" t="s">
        <v>1314</v>
      </c>
      <c r="E433" t="s">
        <v>1082</v>
      </c>
      <c r="F433" t="s">
        <v>938</v>
      </c>
      <c r="G433" t="s">
        <v>1265</v>
      </c>
      <c r="I433" t="s">
        <v>1082</v>
      </c>
      <c r="J433" t="s">
        <v>938</v>
      </c>
      <c r="K433" s="1" t="s">
        <v>1150</v>
      </c>
      <c r="O433" s="1"/>
      <c r="P433" s="1" t="s">
        <v>1356</v>
      </c>
      <c r="Q433" s="1" t="s">
        <v>1357</v>
      </c>
      <c r="R433" s="1"/>
    </row>
    <row r="434" spans="4:18" x14ac:dyDescent="0.35">
      <c r="D434" t="s">
        <v>1314</v>
      </c>
      <c r="E434" t="s">
        <v>1082</v>
      </c>
      <c r="F434" t="s">
        <v>938</v>
      </c>
      <c r="G434" t="s">
        <v>1265</v>
      </c>
      <c r="I434" t="s">
        <v>1082</v>
      </c>
      <c r="J434" t="s">
        <v>938</v>
      </c>
      <c r="K434" s="1" t="s">
        <v>1151</v>
      </c>
      <c r="O434" s="1"/>
      <c r="P434" s="1" t="s">
        <v>1356</v>
      </c>
      <c r="Q434" s="1" t="s">
        <v>1357</v>
      </c>
      <c r="R434" s="1"/>
    </row>
    <row r="435" spans="4:18" x14ac:dyDescent="0.35">
      <c r="D435" t="s">
        <v>1314</v>
      </c>
      <c r="E435" t="s">
        <v>1082</v>
      </c>
      <c r="F435" t="s">
        <v>938</v>
      </c>
      <c r="G435" t="s">
        <v>1265</v>
      </c>
      <c r="I435" t="s">
        <v>1082</v>
      </c>
      <c r="J435" t="s">
        <v>938</v>
      </c>
      <c r="K435" s="1" t="s">
        <v>1152</v>
      </c>
      <c r="O435" s="1"/>
      <c r="P435" s="1" t="s">
        <v>1356</v>
      </c>
      <c r="Q435" s="1" t="s">
        <v>1357</v>
      </c>
      <c r="R435" s="1"/>
    </row>
    <row r="436" spans="4:18" x14ac:dyDescent="0.35">
      <c r="D436" t="s">
        <v>1314</v>
      </c>
      <c r="E436" t="s">
        <v>1082</v>
      </c>
      <c r="F436" t="s">
        <v>938</v>
      </c>
      <c r="G436" t="s">
        <v>1265</v>
      </c>
      <c r="I436" t="s">
        <v>1082</v>
      </c>
      <c r="J436" t="s">
        <v>938</v>
      </c>
      <c r="K436" t="s">
        <v>1248</v>
      </c>
      <c r="O436" s="1"/>
      <c r="P436" s="1" t="s">
        <v>1375</v>
      </c>
      <c r="Q436" s="1"/>
      <c r="R436" s="1"/>
    </row>
    <row r="437" spans="4:18" x14ac:dyDescent="0.35">
      <c r="D437" t="s">
        <v>1314</v>
      </c>
      <c r="E437" t="s">
        <v>1082</v>
      </c>
      <c r="F437" t="s">
        <v>938</v>
      </c>
      <c r="G437" t="s">
        <v>1265</v>
      </c>
      <c r="I437" t="s">
        <v>1082</v>
      </c>
      <c r="J437" t="s">
        <v>938</v>
      </c>
      <c r="K437" t="s">
        <v>1293</v>
      </c>
      <c r="O437" s="1"/>
      <c r="P437" s="1" t="s">
        <v>1375</v>
      </c>
      <c r="Q437" s="1"/>
      <c r="R437" s="1"/>
    </row>
    <row r="438" spans="4:18" x14ac:dyDescent="0.35">
      <c r="D438" t="s">
        <v>181</v>
      </c>
      <c r="E438" t="s">
        <v>1308</v>
      </c>
      <c r="F438" t="s">
        <v>938</v>
      </c>
      <c r="G438" t="s">
        <v>1270</v>
      </c>
      <c r="I438" t="s">
        <v>2776</v>
      </c>
      <c r="J438" t="s">
        <v>956</v>
      </c>
      <c r="K438" t="s">
        <v>2730</v>
      </c>
      <c r="O438" s="1"/>
      <c r="P438" s="1"/>
      <c r="Q438" s="1"/>
      <c r="R438" s="1"/>
    </row>
    <row r="439" spans="4:18" x14ac:dyDescent="0.35">
      <c r="D439" t="s">
        <v>177</v>
      </c>
      <c r="E439" t="s">
        <v>1081</v>
      </c>
      <c r="F439" t="s">
        <v>956</v>
      </c>
      <c r="G439" t="s">
        <v>1342</v>
      </c>
      <c r="I439" t="s">
        <v>1082</v>
      </c>
      <c r="J439" t="s">
        <v>938</v>
      </c>
      <c r="K439" s="12" t="s">
        <v>1273</v>
      </c>
      <c r="O439" s="1"/>
      <c r="P439" s="1"/>
      <c r="Q439" s="1"/>
      <c r="R439" s="1"/>
    </row>
    <row r="440" spans="4:18" x14ac:dyDescent="0.35">
      <c r="D440" t="s">
        <v>1315</v>
      </c>
      <c r="E440" t="s">
        <v>1082</v>
      </c>
      <c r="F440" t="s">
        <v>938</v>
      </c>
      <c r="G440" t="s">
        <v>1273</v>
      </c>
      <c r="I440" t="s">
        <v>1308</v>
      </c>
      <c r="J440" t="s">
        <v>938</v>
      </c>
      <c r="K440" t="s">
        <v>3029</v>
      </c>
      <c r="O440" s="1"/>
      <c r="P440" s="1"/>
      <c r="Q440" s="1"/>
      <c r="R440" s="1"/>
    </row>
    <row r="441" spans="4:18" x14ac:dyDescent="0.35">
      <c r="D441" t="s">
        <v>177</v>
      </c>
      <c r="E441" t="s">
        <v>1081</v>
      </c>
      <c r="F441" t="s">
        <v>956</v>
      </c>
      <c r="G441" t="s">
        <v>1343</v>
      </c>
      <c r="I441" t="s">
        <v>1082</v>
      </c>
      <c r="J441" t="s">
        <v>938</v>
      </c>
      <c r="K441" s="12" t="s">
        <v>1274</v>
      </c>
      <c r="O441" s="1"/>
      <c r="P441" s="1"/>
      <c r="Q441" s="1"/>
      <c r="R441" s="1"/>
    </row>
    <row r="442" spans="4:18" x14ac:dyDescent="0.35">
      <c r="D442" t="s">
        <v>1315</v>
      </c>
      <c r="E442" t="s">
        <v>1082</v>
      </c>
      <c r="F442" t="s">
        <v>938</v>
      </c>
      <c r="G442" t="s">
        <v>1274</v>
      </c>
      <c r="I442" t="s">
        <v>1308</v>
      </c>
      <c r="J442" t="s">
        <v>938</v>
      </c>
      <c r="K442" t="s">
        <v>3029</v>
      </c>
      <c r="O442" s="1"/>
      <c r="P442" s="1"/>
      <c r="Q442" s="1"/>
      <c r="R442" s="1"/>
    </row>
    <row r="443" spans="4:18" x14ac:dyDescent="0.35">
      <c r="D443" t="s">
        <v>2215</v>
      </c>
      <c r="E443" t="s">
        <v>1082</v>
      </c>
      <c r="F443" t="s">
        <v>938</v>
      </c>
      <c r="G443" t="s">
        <v>1274</v>
      </c>
      <c r="I443" t="s">
        <v>1082</v>
      </c>
      <c r="J443" t="s">
        <v>938</v>
      </c>
      <c r="K443" t="s">
        <v>1273</v>
      </c>
      <c r="O443" s="1"/>
      <c r="P443" s="1"/>
      <c r="Q443" s="1"/>
      <c r="R443" s="1"/>
    </row>
    <row r="444" spans="4:18" x14ac:dyDescent="0.35">
      <c r="D444" t="s">
        <v>1314</v>
      </c>
      <c r="E444" t="s">
        <v>1082</v>
      </c>
      <c r="F444" t="s">
        <v>938</v>
      </c>
      <c r="G444" t="s">
        <v>1274</v>
      </c>
      <c r="I444" t="s">
        <v>1082</v>
      </c>
      <c r="J444" t="s">
        <v>938</v>
      </c>
      <c r="K444" t="s">
        <v>1242</v>
      </c>
      <c r="O444" s="1"/>
      <c r="P444" s="1" t="s">
        <v>1355</v>
      </c>
      <c r="Q444" s="1"/>
      <c r="R444" s="1"/>
    </row>
    <row r="445" spans="4:18" x14ac:dyDescent="0.35">
      <c r="D445" t="s">
        <v>1314</v>
      </c>
      <c r="E445" t="s">
        <v>1082</v>
      </c>
      <c r="F445" t="s">
        <v>938</v>
      </c>
      <c r="G445" t="s">
        <v>1274</v>
      </c>
      <c r="I445" t="s">
        <v>1082</v>
      </c>
      <c r="J445" t="s">
        <v>938</v>
      </c>
      <c r="K445" t="s">
        <v>1253</v>
      </c>
      <c r="O445" s="1"/>
      <c r="P445" s="1" t="s">
        <v>1375</v>
      </c>
      <c r="Q445" s="1"/>
      <c r="R445" s="1"/>
    </row>
    <row r="446" spans="4:18" x14ac:dyDescent="0.35">
      <c r="D446" t="s">
        <v>177</v>
      </c>
      <c r="E446" t="s">
        <v>1081</v>
      </c>
      <c r="F446" t="s">
        <v>956</v>
      </c>
      <c r="G446" t="s">
        <v>3499</v>
      </c>
      <c r="I446" t="s">
        <v>1082</v>
      </c>
      <c r="J446" t="s">
        <v>938</v>
      </c>
      <c r="K446" s="12" t="s">
        <v>1279</v>
      </c>
      <c r="O446" s="1"/>
      <c r="P446" s="1"/>
      <c r="Q446" s="1"/>
      <c r="R446" s="1"/>
    </row>
    <row r="447" spans="4:18" x14ac:dyDescent="0.35">
      <c r="D447" t="s">
        <v>1315</v>
      </c>
      <c r="E447" t="s">
        <v>1082</v>
      </c>
      <c r="F447" t="s">
        <v>938</v>
      </c>
      <c r="G447" t="s">
        <v>1279</v>
      </c>
      <c r="I447" t="s">
        <v>1308</v>
      </c>
      <c r="J447" t="s">
        <v>938</v>
      </c>
      <c r="K447" t="s">
        <v>3029</v>
      </c>
      <c r="O447" s="1"/>
      <c r="P447" s="1"/>
      <c r="Q447" s="1"/>
      <c r="R447" s="1"/>
    </row>
    <row r="448" spans="4:18" x14ac:dyDescent="0.35">
      <c r="D448" t="s">
        <v>2215</v>
      </c>
      <c r="E448" t="s">
        <v>1082</v>
      </c>
      <c r="F448" t="s">
        <v>938</v>
      </c>
      <c r="G448" t="s">
        <v>1279</v>
      </c>
      <c r="I448" t="s">
        <v>1082</v>
      </c>
      <c r="J448" t="s">
        <v>938</v>
      </c>
      <c r="K448" t="s">
        <v>1274</v>
      </c>
      <c r="O448" s="1"/>
      <c r="P448" s="1"/>
      <c r="Q448" s="1"/>
      <c r="R448" s="1"/>
    </row>
    <row r="449" spans="4:18" x14ac:dyDescent="0.35">
      <c r="D449" t="s">
        <v>1314</v>
      </c>
      <c r="E449" t="s">
        <v>1082</v>
      </c>
      <c r="F449" t="s">
        <v>938</v>
      </c>
      <c r="G449" t="s">
        <v>1279</v>
      </c>
      <c r="I449" t="s">
        <v>1082</v>
      </c>
      <c r="J449" t="s">
        <v>938</v>
      </c>
      <c r="K449" t="s">
        <v>1274</v>
      </c>
      <c r="O449" s="1"/>
      <c r="P449" s="1" t="s">
        <v>1358</v>
      </c>
      <c r="Q449" s="1"/>
      <c r="R449" s="1"/>
    </row>
    <row r="450" spans="4:18" x14ac:dyDescent="0.35">
      <c r="D450" t="s">
        <v>1314</v>
      </c>
      <c r="E450" t="s">
        <v>1082</v>
      </c>
      <c r="F450" t="s">
        <v>938</v>
      </c>
      <c r="G450" t="s">
        <v>1279</v>
      </c>
      <c r="I450" t="s">
        <v>1082</v>
      </c>
      <c r="J450" t="s">
        <v>938</v>
      </c>
      <c r="K450" t="s">
        <v>1242</v>
      </c>
      <c r="O450" s="1"/>
      <c r="P450" s="1" t="s">
        <v>1355</v>
      </c>
      <c r="Q450" s="1"/>
      <c r="R450" s="1"/>
    </row>
    <row r="451" spans="4:18" x14ac:dyDescent="0.35">
      <c r="D451" t="s">
        <v>1314</v>
      </c>
      <c r="E451" t="s">
        <v>1082</v>
      </c>
      <c r="F451" t="s">
        <v>938</v>
      </c>
      <c r="G451" t="s">
        <v>1279</v>
      </c>
      <c r="I451" t="s">
        <v>1082</v>
      </c>
      <c r="J451" t="s">
        <v>938</v>
      </c>
      <c r="K451" t="s">
        <v>1253</v>
      </c>
      <c r="O451" s="1"/>
      <c r="P451" s="1" t="s">
        <v>1375</v>
      </c>
      <c r="Q451" s="1"/>
      <c r="R451" s="1"/>
    </row>
    <row r="452" spans="4:18" x14ac:dyDescent="0.35">
      <c r="D452" t="s">
        <v>177</v>
      </c>
      <c r="E452" t="s">
        <v>1081</v>
      </c>
      <c r="F452" t="s">
        <v>956</v>
      </c>
      <c r="G452" t="s">
        <v>1344</v>
      </c>
      <c r="I452" t="s">
        <v>1082</v>
      </c>
      <c r="J452" t="s">
        <v>938</v>
      </c>
      <c r="K452" s="12" t="s">
        <v>1282</v>
      </c>
      <c r="O452" s="1"/>
      <c r="P452" s="1"/>
      <c r="Q452" s="1"/>
      <c r="R452" s="1"/>
    </row>
    <row r="453" spans="4:18" x14ac:dyDescent="0.35">
      <c r="D453" t="s">
        <v>1315</v>
      </c>
      <c r="E453" t="s">
        <v>1082</v>
      </c>
      <c r="F453" t="s">
        <v>938</v>
      </c>
      <c r="G453" t="s">
        <v>1282</v>
      </c>
      <c r="I453" t="s">
        <v>1308</v>
      </c>
      <c r="J453" t="s">
        <v>938</v>
      </c>
      <c r="K453" t="s">
        <v>3029</v>
      </c>
      <c r="O453" s="1"/>
      <c r="P453" s="1"/>
      <c r="Q453" s="1"/>
      <c r="R453" s="1"/>
    </row>
    <row r="454" spans="4:18" x14ac:dyDescent="0.35">
      <c r="D454" t="s">
        <v>2215</v>
      </c>
      <c r="E454" t="s">
        <v>1082</v>
      </c>
      <c r="F454" t="s">
        <v>938</v>
      </c>
      <c r="G454" t="s">
        <v>1282</v>
      </c>
      <c r="I454" t="s">
        <v>1082</v>
      </c>
      <c r="J454" t="s">
        <v>938</v>
      </c>
      <c r="K454" t="s">
        <v>1279</v>
      </c>
      <c r="O454" s="1"/>
      <c r="P454" s="1"/>
      <c r="Q454" s="1"/>
      <c r="R454" s="1"/>
    </row>
    <row r="455" spans="4:18" x14ac:dyDescent="0.35">
      <c r="D455" t="s">
        <v>1314</v>
      </c>
      <c r="E455" t="s">
        <v>1082</v>
      </c>
      <c r="F455" t="s">
        <v>938</v>
      </c>
      <c r="G455" t="s">
        <v>1282</v>
      </c>
      <c r="I455" t="s">
        <v>1082</v>
      </c>
      <c r="J455" t="s">
        <v>938</v>
      </c>
      <c r="K455" t="s">
        <v>1274</v>
      </c>
      <c r="O455" s="1"/>
      <c r="P455" s="1" t="s">
        <v>1358</v>
      </c>
      <c r="Q455" s="1"/>
      <c r="R455" s="1"/>
    </row>
    <row r="456" spans="4:18" x14ac:dyDescent="0.35">
      <c r="D456" t="s">
        <v>1314</v>
      </c>
      <c r="E456" t="s">
        <v>1082</v>
      </c>
      <c r="F456" t="s">
        <v>938</v>
      </c>
      <c r="G456" t="s">
        <v>1282</v>
      </c>
      <c r="I456" t="s">
        <v>1082</v>
      </c>
      <c r="J456" t="s">
        <v>938</v>
      </c>
      <c r="K456" t="s">
        <v>1242</v>
      </c>
      <c r="O456" s="1"/>
      <c r="P456" s="1" t="s">
        <v>1355</v>
      </c>
      <c r="Q456" s="1"/>
      <c r="R456" s="1"/>
    </row>
    <row r="457" spans="4:18" x14ac:dyDescent="0.35">
      <c r="D457" t="s">
        <v>1314</v>
      </c>
      <c r="E457" t="s">
        <v>1082</v>
      </c>
      <c r="F457" t="s">
        <v>938</v>
      </c>
      <c r="G457" t="s">
        <v>1282</v>
      </c>
      <c r="I457" t="s">
        <v>1082</v>
      </c>
      <c r="J457" t="s">
        <v>938</v>
      </c>
      <c r="K457" t="s">
        <v>1253</v>
      </c>
      <c r="O457" s="1"/>
      <c r="P457" s="1" t="s">
        <v>1375</v>
      </c>
      <c r="Q457" s="1"/>
      <c r="R457" s="1"/>
    </row>
    <row r="458" spans="4:18" x14ac:dyDescent="0.35">
      <c r="D458" t="s">
        <v>177</v>
      </c>
      <c r="E458" t="s">
        <v>1081</v>
      </c>
      <c r="F458" t="s">
        <v>956</v>
      </c>
      <c r="G458" t="s">
        <v>1346</v>
      </c>
      <c r="I458" t="s">
        <v>1082</v>
      </c>
      <c r="J458" t="s">
        <v>938</v>
      </c>
      <c r="K458" s="12" t="s">
        <v>1286</v>
      </c>
      <c r="O458" s="1"/>
      <c r="P458" s="1"/>
      <c r="Q458" s="1"/>
      <c r="R458" s="1"/>
    </row>
    <row r="459" spans="4:18" x14ac:dyDescent="0.35">
      <c r="D459" t="s">
        <v>1315</v>
      </c>
      <c r="E459" t="s">
        <v>1082</v>
      </c>
      <c r="F459" t="s">
        <v>938</v>
      </c>
      <c r="G459" t="s">
        <v>1286</v>
      </c>
      <c r="I459" t="s">
        <v>1308</v>
      </c>
      <c r="J459" t="s">
        <v>938</v>
      </c>
      <c r="K459" t="s">
        <v>3029</v>
      </c>
      <c r="O459" s="1"/>
      <c r="P459" s="1"/>
      <c r="Q459" s="1"/>
      <c r="R459" s="1"/>
    </row>
    <row r="460" spans="4:18" x14ac:dyDescent="0.35">
      <c r="D460" t="s">
        <v>2215</v>
      </c>
      <c r="E460" t="s">
        <v>1082</v>
      </c>
      <c r="F460" t="s">
        <v>938</v>
      </c>
      <c r="G460" t="s">
        <v>1286</v>
      </c>
      <c r="I460" t="s">
        <v>1082</v>
      </c>
      <c r="J460" t="s">
        <v>938</v>
      </c>
      <c r="K460" t="s">
        <v>1282</v>
      </c>
      <c r="O460" s="1"/>
      <c r="P460" s="1"/>
      <c r="Q460" s="1"/>
      <c r="R460" s="1"/>
    </row>
    <row r="461" spans="4:18" x14ac:dyDescent="0.35">
      <c r="D461" t="s">
        <v>1314</v>
      </c>
      <c r="E461" t="s">
        <v>1082</v>
      </c>
      <c r="F461" t="s">
        <v>938</v>
      </c>
      <c r="G461" t="s">
        <v>1286</v>
      </c>
      <c r="I461" t="s">
        <v>1082</v>
      </c>
      <c r="J461" t="s">
        <v>938</v>
      </c>
      <c r="K461" t="s">
        <v>1255</v>
      </c>
      <c r="O461" s="1"/>
      <c r="P461" s="1" t="s">
        <v>1375</v>
      </c>
      <c r="Q461" s="1"/>
      <c r="R461" s="1"/>
    </row>
    <row r="462" spans="4:18" x14ac:dyDescent="0.35">
      <c r="D462" t="s">
        <v>1314</v>
      </c>
      <c r="E462" t="s">
        <v>1082</v>
      </c>
      <c r="F462" t="s">
        <v>938</v>
      </c>
      <c r="G462" t="s">
        <v>1286</v>
      </c>
      <c r="I462" t="s">
        <v>1082</v>
      </c>
      <c r="J462" t="s">
        <v>938</v>
      </c>
      <c r="K462" t="s">
        <v>1244</v>
      </c>
      <c r="O462" s="1"/>
      <c r="P462" s="1" t="s">
        <v>1375</v>
      </c>
      <c r="Q462" s="1"/>
      <c r="R462" s="1"/>
    </row>
    <row r="463" spans="4:18" x14ac:dyDescent="0.35">
      <c r="D463" t="s">
        <v>177</v>
      </c>
      <c r="E463" t="s">
        <v>1081</v>
      </c>
      <c r="F463" t="s">
        <v>956</v>
      </c>
      <c r="G463" t="s">
        <v>1348</v>
      </c>
      <c r="I463" t="s">
        <v>1082</v>
      </c>
      <c r="J463" t="s">
        <v>938</v>
      </c>
      <c r="K463" s="12" t="s">
        <v>1288</v>
      </c>
      <c r="O463" s="1"/>
      <c r="P463" s="1"/>
      <c r="Q463" s="1"/>
      <c r="R463" s="1"/>
    </row>
    <row r="464" spans="4:18" x14ac:dyDescent="0.35">
      <c r="D464" t="s">
        <v>1315</v>
      </c>
      <c r="E464" t="s">
        <v>1082</v>
      </c>
      <c r="F464" t="s">
        <v>938</v>
      </c>
      <c r="G464" t="s">
        <v>1288</v>
      </c>
      <c r="I464" t="s">
        <v>1308</v>
      </c>
      <c r="J464" t="s">
        <v>938</v>
      </c>
      <c r="K464" t="s">
        <v>3029</v>
      </c>
      <c r="O464" s="1"/>
      <c r="P464" s="1"/>
      <c r="Q464" s="1"/>
      <c r="R464" s="1"/>
    </row>
    <row r="465" spans="4:18" x14ac:dyDescent="0.35">
      <c r="D465" t="s">
        <v>2215</v>
      </c>
      <c r="E465" t="s">
        <v>1082</v>
      </c>
      <c r="F465" t="s">
        <v>938</v>
      </c>
      <c r="G465" t="s">
        <v>1288</v>
      </c>
      <c r="I465" t="s">
        <v>1082</v>
      </c>
      <c r="J465" t="s">
        <v>938</v>
      </c>
      <c r="K465" t="s">
        <v>1286</v>
      </c>
      <c r="O465" s="1"/>
      <c r="P465" s="1"/>
      <c r="Q465" s="1"/>
      <c r="R465" s="1"/>
    </row>
    <row r="466" spans="4:18" x14ac:dyDescent="0.35">
      <c r="D466" t="s">
        <v>1314</v>
      </c>
      <c r="E466" t="s">
        <v>1082</v>
      </c>
      <c r="F466" t="s">
        <v>938</v>
      </c>
      <c r="G466" t="s">
        <v>1288</v>
      </c>
      <c r="I466" t="s">
        <v>1082</v>
      </c>
      <c r="J466" t="s">
        <v>938</v>
      </c>
      <c r="K466" t="s">
        <v>1286</v>
      </c>
      <c r="O466" s="1"/>
      <c r="P466" s="1" t="s">
        <v>1358</v>
      </c>
      <c r="Q466" s="1"/>
      <c r="R466" s="1"/>
    </row>
    <row r="467" spans="4:18" x14ac:dyDescent="0.35">
      <c r="D467" t="s">
        <v>1314</v>
      </c>
      <c r="E467" t="s">
        <v>1082</v>
      </c>
      <c r="F467" t="s">
        <v>938</v>
      </c>
      <c r="G467" t="s">
        <v>1288</v>
      </c>
      <c r="I467" t="s">
        <v>1082</v>
      </c>
      <c r="J467" t="s">
        <v>938</v>
      </c>
      <c r="K467" t="s">
        <v>1255</v>
      </c>
      <c r="O467" s="1"/>
      <c r="P467" s="1" t="s">
        <v>1375</v>
      </c>
      <c r="Q467" s="1"/>
      <c r="R467" s="1"/>
    </row>
    <row r="468" spans="4:18" x14ac:dyDescent="0.35">
      <c r="D468" t="s">
        <v>1314</v>
      </c>
      <c r="E468" t="s">
        <v>1082</v>
      </c>
      <c r="F468" t="s">
        <v>938</v>
      </c>
      <c r="G468" t="s">
        <v>1288</v>
      </c>
      <c r="I468" t="s">
        <v>1082</v>
      </c>
      <c r="J468" t="s">
        <v>938</v>
      </c>
      <c r="K468" t="s">
        <v>1244</v>
      </c>
      <c r="O468" s="1"/>
      <c r="P468" s="1" t="s">
        <v>1375</v>
      </c>
      <c r="Q468" s="1"/>
      <c r="R468" s="1"/>
    </row>
    <row r="469" spans="4:18" x14ac:dyDescent="0.35">
      <c r="D469" t="s">
        <v>177</v>
      </c>
      <c r="E469" t="s">
        <v>1081</v>
      </c>
      <c r="F469" t="s">
        <v>956</v>
      </c>
      <c r="G469" t="s">
        <v>1350</v>
      </c>
      <c r="I469" t="s">
        <v>1082</v>
      </c>
      <c r="J469" t="s">
        <v>938</v>
      </c>
      <c r="K469" s="12" t="s">
        <v>1293</v>
      </c>
      <c r="O469" s="1"/>
      <c r="P469" s="1"/>
      <c r="Q469" s="1"/>
      <c r="R469" s="1"/>
    </row>
    <row r="470" spans="4:18" x14ac:dyDescent="0.35">
      <c r="D470" t="s">
        <v>1315</v>
      </c>
      <c r="E470" t="s">
        <v>1082</v>
      </c>
      <c r="F470" t="s">
        <v>938</v>
      </c>
      <c r="G470" t="s">
        <v>1293</v>
      </c>
      <c r="I470" t="s">
        <v>1308</v>
      </c>
      <c r="J470" t="s">
        <v>938</v>
      </c>
      <c r="K470" t="s">
        <v>3029</v>
      </c>
      <c r="O470" s="1"/>
      <c r="P470" s="1"/>
      <c r="Q470" s="1"/>
      <c r="R470" s="1"/>
    </row>
    <row r="471" spans="4:18" x14ac:dyDescent="0.35">
      <c r="D471" t="s">
        <v>2215</v>
      </c>
      <c r="E471" t="s">
        <v>1082</v>
      </c>
      <c r="F471" t="s">
        <v>938</v>
      </c>
      <c r="G471" t="s">
        <v>1293</v>
      </c>
      <c r="I471" t="s">
        <v>1082</v>
      </c>
      <c r="J471" t="s">
        <v>938</v>
      </c>
      <c r="K471" t="s">
        <v>1288</v>
      </c>
      <c r="O471" s="1"/>
      <c r="P471" s="1"/>
      <c r="Q471" s="1"/>
      <c r="R471" s="1"/>
    </row>
    <row r="472" spans="4:18" x14ac:dyDescent="0.35">
      <c r="D472" t="s">
        <v>1314</v>
      </c>
      <c r="E472" t="s">
        <v>1082</v>
      </c>
      <c r="F472" t="s">
        <v>938</v>
      </c>
      <c r="G472" t="s">
        <v>1293</v>
      </c>
      <c r="I472" t="s">
        <v>1082</v>
      </c>
      <c r="J472" t="s">
        <v>938</v>
      </c>
      <c r="K472" s="1" t="s">
        <v>1144</v>
      </c>
      <c r="O472" s="1"/>
      <c r="P472" s="1" t="s">
        <v>1356</v>
      </c>
      <c r="Q472" s="1" t="s">
        <v>1357</v>
      </c>
      <c r="R472" s="1"/>
    </row>
    <row r="473" spans="4:18" x14ac:dyDescent="0.35">
      <c r="D473" t="s">
        <v>1314</v>
      </c>
      <c r="E473" t="s">
        <v>1082</v>
      </c>
      <c r="F473" t="s">
        <v>938</v>
      </c>
      <c r="G473" t="s">
        <v>1293</v>
      </c>
      <c r="I473" t="s">
        <v>1082</v>
      </c>
      <c r="J473" t="s">
        <v>938</v>
      </c>
      <c r="K473" s="1" t="s">
        <v>1146</v>
      </c>
      <c r="O473" s="1"/>
      <c r="P473" s="1" t="s">
        <v>1356</v>
      </c>
      <c r="Q473" s="1" t="s">
        <v>1357</v>
      </c>
      <c r="R473" s="1"/>
    </row>
    <row r="474" spans="4:18" x14ac:dyDescent="0.35">
      <c r="D474" t="s">
        <v>1314</v>
      </c>
      <c r="E474" t="s">
        <v>1082</v>
      </c>
      <c r="F474" t="s">
        <v>938</v>
      </c>
      <c r="G474" t="s">
        <v>1293</v>
      </c>
      <c r="I474" t="s">
        <v>1082</v>
      </c>
      <c r="J474" t="s">
        <v>938</v>
      </c>
      <c r="K474" s="1" t="s">
        <v>1147</v>
      </c>
      <c r="O474" s="1"/>
      <c r="P474" s="1" t="s">
        <v>1356</v>
      </c>
      <c r="Q474" s="1" t="s">
        <v>1357</v>
      </c>
      <c r="R474" s="1"/>
    </row>
    <row r="475" spans="4:18" x14ac:dyDescent="0.35">
      <c r="D475" t="s">
        <v>1314</v>
      </c>
      <c r="E475" t="s">
        <v>1082</v>
      </c>
      <c r="F475" t="s">
        <v>938</v>
      </c>
      <c r="G475" t="s">
        <v>1293</v>
      </c>
      <c r="I475" t="s">
        <v>1082</v>
      </c>
      <c r="J475" t="s">
        <v>938</v>
      </c>
      <c r="K475" s="1" t="s">
        <v>1148</v>
      </c>
      <c r="O475" s="1"/>
      <c r="P475" s="1" t="s">
        <v>1356</v>
      </c>
      <c r="Q475" s="1" t="s">
        <v>1357</v>
      </c>
      <c r="R475" s="1"/>
    </row>
    <row r="476" spans="4:18" x14ac:dyDescent="0.35">
      <c r="D476" t="s">
        <v>1314</v>
      </c>
      <c r="E476" t="s">
        <v>1082</v>
      </c>
      <c r="F476" t="s">
        <v>938</v>
      </c>
      <c r="G476" t="s">
        <v>1293</v>
      </c>
      <c r="I476" t="s">
        <v>1082</v>
      </c>
      <c r="J476" t="s">
        <v>938</v>
      </c>
      <c r="K476" s="1" t="s">
        <v>1149</v>
      </c>
      <c r="O476" s="1"/>
      <c r="P476" s="1" t="s">
        <v>1356</v>
      </c>
      <c r="Q476" s="1" t="s">
        <v>1357</v>
      </c>
      <c r="R476" s="1"/>
    </row>
    <row r="477" spans="4:18" x14ac:dyDescent="0.35">
      <c r="D477" t="s">
        <v>1314</v>
      </c>
      <c r="E477" t="s">
        <v>1082</v>
      </c>
      <c r="F477" t="s">
        <v>938</v>
      </c>
      <c r="G477" t="s">
        <v>1293</v>
      </c>
      <c r="I477" t="s">
        <v>1082</v>
      </c>
      <c r="J477" t="s">
        <v>938</v>
      </c>
      <c r="K477" s="1" t="s">
        <v>1150</v>
      </c>
      <c r="O477" s="1"/>
      <c r="P477" s="1" t="s">
        <v>1356</v>
      </c>
      <c r="Q477" s="1" t="s">
        <v>1357</v>
      </c>
      <c r="R477" s="1"/>
    </row>
    <row r="478" spans="4:18" x14ac:dyDescent="0.35">
      <c r="D478" t="s">
        <v>1314</v>
      </c>
      <c r="E478" t="s">
        <v>1082</v>
      </c>
      <c r="F478" t="s">
        <v>938</v>
      </c>
      <c r="G478" t="s">
        <v>1293</v>
      </c>
      <c r="I478" t="s">
        <v>1082</v>
      </c>
      <c r="J478" t="s">
        <v>938</v>
      </c>
      <c r="K478" s="1" t="s">
        <v>1151</v>
      </c>
      <c r="O478" s="1"/>
      <c r="P478" s="1" t="s">
        <v>1356</v>
      </c>
      <c r="Q478" s="1" t="s">
        <v>1357</v>
      </c>
      <c r="R478" s="1"/>
    </row>
    <row r="479" spans="4:18" x14ac:dyDescent="0.35">
      <c r="D479" t="s">
        <v>1314</v>
      </c>
      <c r="E479" t="s">
        <v>1082</v>
      </c>
      <c r="F479" t="s">
        <v>938</v>
      </c>
      <c r="G479" t="s">
        <v>1293</v>
      </c>
      <c r="I479" t="s">
        <v>1082</v>
      </c>
      <c r="J479" t="s">
        <v>938</v>
      </c>
      <c r="K479" s="1" t="s">
        <v>1152</v>
      </c>
      <c r="O479" s="1"/>
      <c r="P479" s="1" t="s">
        <v>1356</v>
      </c>
      <c r="Q479" s="1" t="s">
        <v>1357</v>
      </c>
      <c r="R479" s="1"/>
    </row>
    <row r="480" spans="4:18" x14ac:dyDescent="0.35">
      <c r="D480" t="s">
        <v>1314</v>
      </c>
      <c r="E480" t="s">
        <v>1082</v>
      </c>
      <c r="F480" t="s">
        <v>938</v>
      </c>
      <c r="G480" t="s">
        <v>1293</v>
      </c>
      <c r="I480" t="s">
        <v>1082</v>
      </c>
      <c r="J480" t="s">
        <v>938</v>
      </c>
      <c r="K480" t="s">
        <v>1248</v>
      </c>
      <c r="O480" s="1"/>
      <c r="P480" s="1" t="s">
        <v>1375</v>
      </c>
      <c r="Q480" s="1"/>
      <c r="R480" s="1"/>
    </row>
    <row r="481" spans="1:18" x14ac:dyDescent="0.35">
      <c r="D481" t="s">
        <v>1314</v>
      </c>
      <c r="E481" t="s">
        <v>1082</v>
      </c>
      <c r="F481" t="s">
        <v>938</v>
      </c>
      <c r="G481" t="s">
        <v>1293</v>
      </c>
      <c r="I481" t="s">
        <v>1082</v>
      </c>
      <c r="J481" t="s">
        <v>938</v>
      </c>
      <c r="K481" t="s">
        <v>1265</v>
      </c>
      <c r="O481" s="1"/>
      <c r="P481" s="1" t="s">
        <v>1375</v>
      </c>
      <c r="Q481" s="1"/>
      <c r="R481" s="1"/>
    </row>
    <row r="482" spans="1:18" x14ac:dyDescent="0.35">
      <c r="D482" t="s">
        <v>181</v>
      </c>
      <c r="E482" t="s">
        <v>1308</v>
      </c>
      <c r="F482" t="s">
        <v>938</v>
      </c>
      <c r="G482" t="s">
        <v>3029</v>
      </c>
      <c r="I482" t="s">
        <v>2776</v>
      </c>
      <c r="J482" t="s">
        <v>956</v>
      </c>
      <c r="K482" t="s">
        <v>2730</v>
      </c>
      <c r="O482" s="1"/>
      <c r="P482" s="1"/>
      <c r="Q482" s="1" t="s">
        <v>2778</v>
      </c>
      <c r="R482" s="1"/>
    </row>
    <row r="483" spans="1:18" x14ac:dyDescent="0.35">
      <c r="D483" t="s">
        <v>177</v>
      </c>
      <c r="E483" t="s">
        <v>1081</v>
      </c>
      <c r="F483" t="s">
        <v>956</v>
      </c>
      <c r="G483" t="s">
        <v>3</v>
      </c>
      <c r="I483" t="s">
        <v>1082</v>
      </c>
      <c r="J483" t="s">
        <v>938</v>
      </c>
      <c r="K483" s="12" t="s">
        <v>1299</v>
      </c>
      <c r="O483" s="1"/>
      <c r="P483" s="1"/>
      <c r="Q483" s="1"/>
      <c r="R483" s="1"/>
    </row>
    <row r="484" spans="1:18" x14ac:dyDescent="0.35">
      <c r="D484" t="s">
        <v>1315</v>
      </c>
      <c r="E484" t="s">
        <v>1082</v>
      </c>
      <c r="F484" t="s">
        <v>938</v>
      </c>
      <c r="G484" t="s">
        <v>1299</v>
      </c>
      <c r="I484" t="s">
        <v>1308</v>
      </c>
      <c r="J484" t="s">
        <v>938</v>
      </c>
      <c r="K484" t="s">
        <v>1296</v>
      </c>
      <c r="O484" s="1"/>
      <c r="P484" s="1"/>
      <c r="Q484" s="1"/>
      <c r="R484" s="1"/>
    </row>
    <row r="485" spans="1:18" x14ac:dyDescent="0.35">
      <c r="D485" t="s">
        <v>1314</v>
      </c>
      <c r="E485" t="s">
        <v>1082</v>
      </c>
      <c r="F485" t="s">
        <v>938</v>
      </c>
      <c r="G485" t="s">
        <v>1299</v>
      </c>
      <c r="I485" t="s">
        <v>1082</v>
      </c>
      <c r="J485" t="s">
        <v>938</v>
      </c>
      <c r="K485" t="s">
        <v>1140</v>
      </c>
      <c r="O485" s="1"/>
      <c r="P485" s="1" t="s">
        <v>1375</v>
      </c>
      <c r="Q485" s="1" t="s">
        <v>2829</v>
      </c>
      <c r="R485" s="1"/>
    </row>
    <row r="486" spans="1:18" s="21" customFormat="1" x14ac:dyDescent="0.3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 s="1"/>
      <c r="P486" s="1"/>
      <c r="Q486" s="1"/>
      <c r="R486" s="1"/>
    </row>
    <row r="487" spans="1:18" ht="28.5" x14ac:dyDescent="0.65">
      <c r="A487" s="21"/>
      <c r="B487" s="21"/>
      <c r="C487" s="27" t="s">
        <v>2849</v>
      </c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2"/>
      <c r="P487" s="22"/>
      <c r="Q487" s="22"/>
      <c r="R487" s="22"/>
    </row>
    <row r="488" spans="1:18" x14ac:dyDescent="0.35">
      <c r="F488"/>
      <c r="O488" s="1"/>
      <c r="P488" s="1"/>
      <c r="Q488" s="1"/>
      <c r="R488" s="1"/>
    </row>
    <row r="489" spans="1:18" x14ac:dyDescent="0.35">
      <c r="D489" t="s">
        <v>177</v>
      </c>
      <c r="E489" t="s">
        <v>1081</v>
      </c>
      <c r="F489" t="s">
        <v>956</v>
      </c>
      <c r="G489" t="s">
        <v>1227</v>
      </c>
      <c r="I489" t="s">
        <v>1082</v>
      </c>
      <c r="J489" t="s">
        <v>938</v>
      </c>
      <c r="K489" s="12" t="s">
        <v>2867</v>
      </c>
      <c r="O489" s="1"/>
      <c r="P489" s="1"/>
      <c r="Q489" s="1"/>
      <c r="R489" s="1"/>
    </row>
    <row r="490" spans="1:18" x14ac:dyDescent="0.35">
      <c r="D490" t="s">
        <v>1315</v>
      </c>
      <c r="E490" t="s">
        <v>1082</v>
      </c>
      <c r="F490" t="s">
        <v>938</v>
      </c>
      <c r="G490" t="s">
        <v>2867</v>
      </c>
      <c r="I490" t="s">
        <v>1308</v>
      </c>
      <c r="J490" t="s">
        <v>938</v>
      </c>
      <c r="K490" t="s">
        <v>2936</v>
      </c>
      <c r="O490" s="1"/>
      <c r="P490" s="1"/>
      <c r="Q490" s="1"/>
      <c r="R490" s="1"/>
    </row>
    <row r="491" spans="1:18" x14ac:dyDescent="0.35">
      <c r="D491" t="s">
        <v>177</v>
      </c>
      <c r="E491" t="s">
        <v>1081</v>
      </c>
      <c r="F491" t="s">
        <v>956</v>
      </c>
      <c r="G491" t="s">
        <v>1227</v>
      </c>
      <c r="I491" t="s">
        <v>1082</v>
      </c>
      <c r="J491" t="s">
        <v>938</v>
      </c>
      <c r="K491" s="12" t="s">
        <v>2868</v>
      </c>
      <c r="O491" s="1"/>
      <c r="P491" s="1"/>
      <c r="Q491" s="1"/>
      <c r="R491" s="1"/>
    </row>
    <row r="492" spans="1:18" x14ac:dyDescent="0.35">
      <c r="D492" t="s">
        <v>1315</v>
      </c>
      <c r="E492" t="s">
        <v>1082</v>
      </c>
      <c r="F492" t="s">
        <v>938</v>
      </c>
      <c r="G492" t="s">
        <v>2868</v>
      </c>
      <c r="I492" t="s">
        <v>1308</v>
      </c>
      <c r="J492" t="s">
        <v>938</v>
      </c>
      <c r="K492" t="s">
        <v>2936</v>
      </c>
      <c r="O492" s="1"/>
      <c r="P492" s="1"/>
      <c r="Q492" s="1"/>
      <c r="R492" s="1"/>
    </row>
    <row r="493" spans="1:18" x14ac:dyDescent="0.35">
      <c r="D493" t="s">
        <v>2215</v>
      </c>
      <c r="E493" t="s">
        <v>1082</v>
      </c>
      <c r="F493" t="s">
        <v>938</v>
      </c>
      <c r="G493" t="s">
        <v>2868</v>
      </c>
      <c r="I493" t="s">
        <v>1082</v>
      </c>
      <c r="J493" t="s">
        <v>938</v>
      </c>
      <c r="K493" t="s">
        <v>2867</v>
      </c>
      <c r="O493" s="1"/>
      <c r="P493" s="1"/>
      <c r="Q493" s="1"/>
      <c r="R493" s="1"/>
    </row>
    <row r="494" spans="1:18" x14ac:dyDescent="0.35">
      <c r="D494" t="s">
        <v>177</v>
      </c>
      <c r="E494" t="s">
        <v>1081</v>
      </c>
      <c r="F494" t="s">
        <v>956</v>
      </c>
      <c r="G494" t="s">
        <v>1227</v>
      </c>
      <c r="I494" t="s">
        <v>1082</v>
      </c>
      <c r="J494" t="s">
        <v>938</v>
      </c>
      <c r="K494" s="12" t="s">
        <v>2869</v>
      </c>
      <c r="O494" s="1"/>
      <c r="P494" s="1"/>
      <c r="Q494" s="1"/>
      <c r="R494" s="1"/>
    </row>
    <row r="495" spans="1:18" x14ac:dyDescent="0.35">
      <c r="D495" t="s">
        <v>1315</v>
      </c>
      <c r="E495" t="s">
        <v>1082</v>
      </c>
      <c r="F495" t="s">
        <v>938</v>
      </c>
      <c r="G495" t="s">
        <v>2869</v>
      </c>
      <c r="I495" t="s">
        <v>1308</v>
      </c>
      <c r="J495" t="s">
        <v>938</v>
      </c>
      <c r="K495" t="s">
        <v>2936</v>
      </c>
      <c r="O495" s="1"/>
      <c r="P495" s="1"/>
      <c r="Q495" s="1"/>
      <c r="R495" s="1"/>
    </row>
    <row r="496" spans="1:18" x14ac:dyDescent="0.35">
      <c r="D496" t="s">
        <v>2215</v>
      </c>
      <c r="E496" t="s">
        <v>1082</v>
      </c>
      <c r="F496" t="s">
        <v>938</v>
      </c>
      <c r="G496" t="s">
        <v>2869</v>
      </c>
      <c r="I496" t="s">
        <v>1082</v>
      </c>
      <c r="J496" t="s">
        <v>938</v>
      </c>
      <c r="K496" t="s">
        <v>2868</v>
      </c>
      <c r="O496" s="1"/>
      <c r="P496" s="1"/>
      <c r="Q496" s="1"/>
      <c r="R496" s="1"/>
    </row>
    <row r="497" spans="4:18" x14ac:dyDescent="0.35">
      <c r="D497" t="s">
        <v>177</v>
      </c>
      <c r="E497" t="s">
        <v>1081</v>
      </c>
      <c r="F497" t="s">
        <v>956</v>
      </c>
      <c r="G497" t="s">
        <v>1227</v>
      </c>
      <c r="I497" t="s">
        <v>1082</v>
      </c>
      <c r="J497" t="s">
        <v>938</v>
      </c>
      <c r="K497" s="12" t="s">
        <v>2871</v>
      </c>
      <c r="O497" s="1"/>
      <c r="P497" s="1"/>
      <c r="Q497" s="1"/>
      <c r="R497" s="1"/>
    </row>
    <row r="498" spans="4:18" x14ac:dyDescent="0.35">
      <c r="D498" t="s">
        <v>1315</v>
      </c>
      <c r="E498" t="s">
        <v>1082</v>
      </c>
      <c r="F498" t="s">
        <v>938</v>
      </c>
      <c r="G498" t="s">
        <v>2871</v>
      </c>
      <c r="I498" t="s">
        <v>1308</v>
      </c>
      <c r="J498" t="s">
        <v>938</v>
      </c>
      <c r="K498" t="s">
        <v>2936</v>
      </c>
      <c r="O498" s="1"/>
      <c r="P498" s="1"/>
      <c r="Q498" s="1"/>
      <c r="R498" s="1"/>
    </row>
    <row r="499" spans="4:18" x14ac:dyDescent="0.35">
      <c r="D499" t="s">
        <v>2215</v>
      </c>
      <c r="E499" t="s">
        <v>1082</v>
      </c>
      <c r="F499" t="s">
        <v>938</v>
      </c>
      <c r="G499" t="s">
        <v>2871</v>
      </c>
      <c r="I499" t="s">
        <v>1082</v>
      </c>
      <c r="J499" t="s">
        <v>938</v>
      </c>
      <c r="K499" t="s">
        <v>2869</v>
      </c>
      <c r="O499" s="1"/>
      <c r="P499" s="1"/>
      <c r="Q499" s="1"/>
      <c r="R499" s="1"/>
    </row>
    <row r="500" spans="4:18" x14ac:dyDescent="0.35">
      <c r="D500" t="s">
        <v>1314</v>
      </c>
      <c r="E500" t="s">
        <v>1082</v>
      </c>
      <c r="F500" t="s">
        <v>938</v>
      </c>
      <c r="G500" t="s">
        <v>2871</v>
      </c>
      <c r="I500" t="s">
        <v>1082</v>
      </c>
      <c r="J500" t="s">
        <v>938</v>
      </c>
      <c r="K500" t="s">
        <v>2852</v>
      </c>
      <c r="O500" s="1"/>
      <c r="P500" s="1" t="s">
        <v>1375</v>
      </c>
      <c r="Q500" s="1"/>
      <c r="R500" s="1"/>
    </row>
    <row r="501" spans="4:18" x14ac:dyDescent="0.35">
      <c r="D501" t="s">
        <v>177</v>
      </c>
      <c r="E501" t="s">
        <v>1081</v>
      </c>
      <c r="F501" t="s">
        <v>956</v>
      </c>
      <c r="G501" t="s">
        <v>1227</v>
      </c>
      <c r="I501" t="s">
        <v>1082</v>
      </c>
      <c r="J501" t="s">
        <v>938</v>
      </c>
      <c r="K501" s="12" t="s">
        <v>2870</v>
      </c>
      <c r="O501" s="1"/>
      <c r="P501" s="1"/>
      <c r="Q501" s="1"/>
      <c r="R501" s="1"/>
    </row>
    <row r="502" spans="4:18" x14ac:dyDescent="0.35">
      <c r="D502" t="s">
        <v>1315</v>
      </c>
      <c r="E502" t="s">
        <v>1082</v>
      </c>
      <c r="F502" t="s">
        <v>938</v>
      </c>
      <c r="G502" t="s">
        <v>2870</v>
      </c>
      <c r="I502" t="s">
        <v>1308</v>
      </c>
      <c r="J502" t="s">
        <v>938</v>
      </c>
      <c r="K502" t="s">
        <v>2936</v>
      </c>
      <c r="O502" s="1"/>
      <c r="P502" s="1"/>
      <c r="Q502" s="1"/>
      <c r="R502" s="1"/>
    </row>
    <row r="503" spans="4:18" x14ac:dyDescent="0.35">
      <c r="D503" t="s">
        <v>2215</v>
      </c>
      <c r="E503" t="s">
        <v>1082</v>
      </c>
      <c r="F503" t="s">
        <v>938</v>
      </c>
      <c r="G503" t="s">
        <v>2870</v>
      </c>
      <c r="I503" t="s">
        <v>1082</v>
      </c>
      <c r="J503" t="s">
        <v>938</v>
      </c>
      <c r="K503" t="s">
        <v>2871</v>
      </c>
      <c r="O503" s="1"/>
      <c r="P503" s="1"/>
      <c r="Q503" s="1"/>
      <c r="R503" s="1"/>
    </row>
    <row r="504" spans="4:18" x14ac:dyDescent="0.35">
      <c r="D504" t="s">
        <v>1314</v>
      </c>
      <c r="E504" t="s">
        <v>1082</v>
      </c>
      <c r="F504" t="s">
        <v>938</v>
      </c>
      <c r="G504" t="s">
        <v>2870</v>
      </c>
      <c r="I504" t="s">
        <v>1082</v>
      </c>
      <c r="J504" t="s">
        <v>938</v>
      </c>
      <c r="K504" t="s">
        <v>2853</v>
      </c>
      <c r="O504" s="1"/>
      <c r="P504" s="1" t="s">
        <v>1356</v>
      </c>
      <c r="Q504" s="1" t="s">
        <v>2938</v>
      </c>
      <c r="R504" s="1"/>
    </row>
    <row r="505" spans="4:18" x14ac:dyDescent="0.35">
      <c r="D505" t="s">
        <v>177</v>
      </c>
      <c r="E505" t="s">
        <v>1081</v>
      </c>
      <c r="F505" t="s">
        <v>956</v>
      </c>
      <c r="G505" t="s">
        <v>1227</v>
      </c>
      <c r="I505" t="s">
        <v>1082</v>
      </c>
      <c r="J505" t="s">
        <v>938</v>
      </c>
      <c r="K505" s="12" t="s">
        <v>2872</v>
      </c>
      <c r="O505" s="1"/>
      <c r="P505" s="1"/>
      <c r="Q505" s="1"/>
      <c r="R505" s="1"/>
    </row>
    <row r="506" spans="4:18" x14ac:dyDescent="0.35">
      <c r="D506" t="s">
        <v>1315</v>
      </c>
      <c r="E506" t="s">
        <v>1082</v>
      </c>
      <c r="F506" t="s">
        <v>938</v>
      </c>
      <c r="G506" t="s">
        <v>2872</v>
      </c>
      <c r="I506" t="s">
        <v>1308</v>
      </c>
      <c r="J506" t="s">
        <v>938</v>
      </c>
      <c r="K506" t="s">
        <v>2936</v>
      </c>
      <c r="O506" s="1"/>
      <c r="P506" s="1"/>
      <c r="Q506" s="1"/>
      <c r="R506" s="1"/>
    </row>
    <row r="507" spans="4:18" x14ac:dyDescent="0.35">
      <c r="D507" t="s">
        <v>2215</v>
      </c>
      <c r="E507" t="s">
        <v>1082</v>
      </c>
      <c r="F507" t="s">
        <v>938</v>
      </c>
      <c r="G507" t="s">
        <v>2872</v>
      </c>
      <c r="I507" t="s">
        <v>1082</v>
      </c>
      <c r="J507" t="s">
        <v>938</v>
      </c>
      <c r="K507" t="s">
        <v>2870</v>
      </c>
      <c r="O507" s="1"/>
      <c r="P507" s="1"/>
      <c r="Q507" s="1"/>
      <c r="R507" s="1"/>
    </row>
    <row r="508" spans="4:18" x14ac:dyDescent="0.35">
      <c r="D508" t="s">
        <v>1314</v>
      </c>
      <c r="E508" t="s">
        <v>1082</v>
      </c>
      <c r="F508" t="s">
        <v>938</v>
      </c>
      <c r="G508" t="s">
        <v>2872</v>
      </c>
      <c r="I508" t="s">
        <v>1082</v>
      </c>
      <c r="J508" t="s">
        <v>938</v>
      </c>
      <c r="K508" t="s">
        <v>2853</v>
      </c>
      <c r="O508" s="1"/>
      <c r="P508" s="1" t="s">
        <v>1375</v>
      </c>
      <c r="Q508" s="1"/>
      <c r="R508" s="1"/>
    </row>
    <row r="509" spans="4:18" x14ac:dyDescent="0.35">
      <c r="D509" t="s">
        <v>177</v>
      </c>
      <c r="E509" t="s">
        <v>1081</v>
      </c>
      <c r="F509" t="s">
        <v>956</v>
      </c>
      <c r="G509" t="s">
        <v>1318</v>
      </c>
      <c r="I509" t="s">
        <v>1082</v>
      </c>
      <c r="J509" t="s">
        <v>938</v>
      </c>
      <c r="K509" s="12" t="s">
        <v>2850</v>
      </c>
      <c r="O509" s="1"/>
      <c r="P509" s="1"/>
      <c r="Q509" s="1"/>
      <c r="R509" s="1"/>
    </row>
    <row r="510" spans="4:18" x14ac:dyDescent="0.35">
      <c r="D510" t="s">
        <v>1315</v>
      </c>
      <c r="E510" t="s">
        <v>1082</v>
      </c>
      <c r="F510" t="s">
        <v>938</v>
      </c>
      <c r="G510" t="s">
        <v>2850</v>
      </c>
      <c r="I510" t="s">
        <v>1308</v>
      </c>
      <c r="J510" t="s">
        <v>938</v>
      </c>
      <c r="K510" t="s">
        <v>2939</v>
      </c>
      <c r="O510" s="1"/>
      <c r="P510" s="1"/>
      <c r="Q510" s="1"/>
      <c r="R510" s="1"/>
    </row>
    <row r="511" spans="4:18" x14ac:dyDescent="0.35">
      <c r="D511" t="s">
        <v>177</v>
      </c>
      <c r="E511" t="s">
        <v>1081</v>
      </c>
      <c r="F511" t="s">
        <v>956</v>
      </c>
      <c r="G511" t="s">
        <v>1318</v>
      </c>
      <c r="I511" t="s">
        <v>1082</v>
      </c>
      <c r="J511" t="s">
        <v>938</v>
      </c>
      <c r="K511" s="12" t="s">
        <v>2851</v>
      </c>
      <c r="O511" s="1"/>
      <c r="P511" s="1"/>
      <c r="Q511" s="1"/>
      <c r="R511" s="1"/>
    </row>
    <row r="512" spans="4:18" x14ac:dyDescent="0.35">
      <c r="D512" t="s">
        <v>1315</v>
      </c>
      <c r="E512" t="s">
        <v>1082</v>
      </c>
      <c r="F512" t="s">
        <v>938</v>
      </c>
      <c r="G512" t="s">
        <v>2851</v>
      </c>
      <c r="I512" t="s">
        <v>1308</v>
      </c>
      <c r="J512" t="s">
        <v>938</v>
      </c>
      <c r="K512" t="s">
        <v>2939</v>
      </c>
      <c r="O512" s="1"/>
      <c r="P512" s="1"/>
      <c r="Q512" s="1"/>
      <c r="R512" s="1"/>
    </row>
    <row r="513" spans="4:18" x14ac:dyDescent="0.35">
      <c r="D513" t="s">
        <v>2215</v>
      </c>
      <c r="E513" t="s">
        <v>1082</v>
      </c>
      <c r="F513" t="s">
        <v>938</v>
      </c>
      <c r="G513" t="s">
        <v>2851</v>
      </c>
      <c r="I513" t="s">
        <v>1082</v>
      </c>
      <c r="J513" t="s">
        <v>938</v>
      </c>
      <c r="K513" t="s">
        <v>2850</v>
      </c>
      <c r="O513" s="1"/>
      <c r="P513" s="1"/>
      <c r="Q513" s="1"/>
      <c r="R513" s="1"/>
    </row>
    <row r="514" spans="4:18" x14ac:dyDescent="0.35">
      <c r="D514" t="s">
        <v>177</v>
      </c>
      <c r="E514" t="s">
        <v>1081</v>
      </c>
      <c r="F514" t="s">
        <v>956</v>
      </c>
      <c r="G514" t="s">
        <v>1318</v>
      </c>
      <c r="I514" t="s">
        <v>1082</v>
      </c>
      <c r="J514" t="s">
        <v>938</v>
      </c>
      <c r="K514" s="12" t="s">
        <v>2852</v>
      </c>
      <c r="O514" s="1"/>
      <c r="P514" s="1"/>
      <c r="Q514" s="1"/>
      <c r="R514" s="1"/>
    </row>
    <row r="515" spans="4:18" x14ac:dyDescent="0.35">
      <c r="D515" t="s">
        <v>1315</v>
      </c>
      <c r="E515" t="s">
        <v>1082</v>
      </c>
      <c r="F515" t="s">
        <v>938</v>
      </c>
      <c r="G515" t="s">
        <v>2852</v>
      </c>
      <c r="I515" t="s">
        <v>1308</v>
      </c>
      <c r="J515" t="s">
        <v>938</v>
      </c>
      <c r="K515" t="s">
        <v>2939</v>
      </c>
      <c r="O515" s="1"/>
      <c r="P515" s="1"/>
      <c r="Q515" s="1"/>
      <c r="R515" s="1"/>
    </row>
    <row r="516" spans="4:18" x14ac:dyDescent="0.35">
      <c r="D516" t="s">
        <v>2215</v>
      </c>
      <c r="E516" t="s">
        <v>1082</v>
      </c>
      <c r="F516" t="s">
        <v>938</v>
      </c>
      <c r="G516" t="s">
        <v>2852</v>
      </c>
      <c r="I516" t="s">
        <v>1082</v>
      </c>
      <c r="J516" t="s">
        <v>938</v>
      </c>
      <c r="K516" t="s">
        <v>2851</v>
      </c>
      <c r="O516" s="1"/>
      <c r="P516" s="1"/>
      <c r="Q516" s="1"/>
      <c r="R516" s="1"/>
    </row>
    <row r="517" spans="4:18" x14ac:dyDescent="0.35">
      <c r="D517" t="s">
        <v>1314</v>
      </c>
      <c r="E517" t="s">
        <v>1082</v>
      </c>
      <c r="F517" t="s">
        <v>938</v>
      </c>
      <c r="G517" t="s">
        <v>2852</v>
      </c>
      <c r="I517" t="s">
        <v>1082</v>
      </c>
      <c r="J517" t="s">
        <v>938</v>
      </c>
      <c r="K517" t="s">
        <v>2871</v>
      </c>
      <c r="O517" s="1"/>
      <c r="P517" s="1" t="s">
        <v>1375</v>
      </c>
      <c r="Q517" s="1"/>
      <c r="R517" s="1"/>
    </row>
    <row r="518" spans="4:18" x14ac:dyDescent="0.35">
      <c r="D518" t="s">
        <v>177</v>
      </c>
      <c r="E518" t="s">
        <v>1081</v>
      </c>
      <c r="F518" t="s">
        <v>956</v>
      </c>
      <c r="G518" t="s">
        <v>1217</v>
      </c>
      <c r="I518" t="s">
        <v>1082</v>
      </c>
      <c r="J518" t="s">
        <v>938</v>
      </c>
      <c r="K518" s="12" t="s">
        <v>2853</v>
      </c>
      <c r="O518" s="1"/>
      <c r="P518" s="1"/>
      <c r="Q518" s="1"/>
      <c r="R518" s="1"/>
    </row>
    <row r="519" spans="4:18" x14ac:dyDescent="0.35">
      <c r="D519" t="s">
        <v>1315</v>
      </c>
      <c r="E519" t="s">
        <v>1082</v>
      </c>
      <c r="F519" t="s">
        <v>938</v>
      </c>
      <c r="G519" t="s">
        <v>2853</v>
      </c>
      <c r="I519" t="s">
        <v>1308</v>
      </c>
      <c r="J519" t="s">
        <v>938</v>
      </c>
      <c r="K519" t="s">
        <v>2940</v>
      </c>
      <c r="O519" s="1"/>
      <c r="P519" s="1"/>
      <c r="Q519" s="1"/>
      <c r="R519" s="1"/>
    </row>
    <row r="520" spans="4:18" x14ac:dyDescent="0.35">
      <c r="D520" t="s">
        <v>2215</v>
      </c>
      <c r="E520" t="s">
        <v>1082</v>
      </c>
      <c r="F520" t="s">
        <v>938</v>
      </c>
      <c r="G520" t="s">
        <v>2853</v>
      </c>
      <c r="I520" t="s">
        <v>1082</v>
      </c>
      <c r="J520" t="s">
        <v>938</v>
      </c>
      <c r="K520" t="s">
        <v>2852</v>
      </c>
      <c r="O520" s="1"/>
      <c r="P520" s="1"/>
      <c r="Q520" s="1"/>
      <c r="R520" s="1"/>
    </row>
    <row r="521" spans="4:18" x14ac:dyDescent="0.35">
      <c r="D521" t="s">
        <v>1314</v>
      </c>
      <c r="E521" t="s">
        <v>1082</v>
      </c>
      <c r="F521" t="s">
        <v>938</v>
      </c>
      <c r="G521" t="s">
        <v>2853</v>
      </c>
      <c r="I521" t="s">
        <v>1082</v>
      </c>
      <c r="J521" t="s">
        <v>938</v>
      </c>
      <c r="K521" t="s">
        <v>2870</v>
      </c>
      <c r="O521" s="1"/>
      <c r="P521" s="1" t="s">
        <v>1356</v>
      </c>
      <c r="Q521" s="1" t="s">
        <v>2938</v>
      </c>
      <c r="R521" s="1"/>
    </row>
    <row r="522" spans="4:18" x14ac:dyDescent="0.35">
      <c r="D522" t="s">
        <v>1314</v>
      </c>
      <c r="E522" t="s">
        <v>1082</v>
      </c>
      <c r="F522" t="s">
        <v>938</v>
      </c>
      <c r="G522" t="s">
        <v>2853</v>
      </c>
      <c r="I522" t="s">
        <v>1082</v>
      </c>
      <c r="J522" t="s">
        <v>938</v>
      </c>
      <c r="K522" t="s">
        <v>2872</v>
      </c>
      <c r="O522" s="1"/>
      <c r="P522" s="1" t="s">
        <v>1375</v>
      </c>
      <c r="Q522" s="1"/>
      <c r="R522" s="1"/>
    </row>
    <row r="523" spans="4:18" x14ac:dyDescent="0.35">
      <c r="D523" t="s">
        <v>177</v>
      </c>
      <c r="E523" t="s">
        <v>1081</v>
      </c>
      <c r="F523" t="s">
        <v>956</v>
      </c>
      <c r="G523" t="s">
        <v>1217</v>
      </c>
      <c r="I523" t="s">
        <v>1082</v>
      </c>
      <c r="J523" t="s">
        <v>938</v>
      </c>
      <c r="K523" s="12" t="s">
        <v>2854</v>
      </c>
      <c r="O523" s="1"/>
      <c r="P523" s="1"/>
      <c r="Q523" s="1"/>
      <c r="R523" s="1"/>
    </row>
    <row r="524" spans="4:18" x14ac:dyDescent="0.35">
      <c r="D524" t="s">
        <v>1315</v>
      </c>
      <c r="E524" t="s">
        <v>1082</v>
      </c>
      <c r="F524" t="s">
        <v>938</v>
      </c>
      <c r="G524" t="s">
        <v>2854</v>
      </c>
      <c r="I524" t="s">
        <v>1308</v>
      </c>
      <c r="J524" t="s">
        <v>938</v>
      </c>
      <c r="K524" t="s">
        <v>2940</v>
      </c>
      <c r="O524" s="1"/>
      <c r="P524" s="1"/>
      <c r="Q524" s="1"/>
      <c r="R524" s="1"/>
    </row>
    <row r="525" spans="4:18" x14ac:dyDescent="0.35">
      <c r="D525" t="s">
        <v>149</v>
      </c>
      <c r="E525" t="s">
        <v>1082</v>
      </c>
      <c r="F525" t="s">
        <v>938</v>
      </c>
      <c r="G525" t="s">
        <v>2854</v>
      </c>
      <c r="I525" t="s">
        <v>1082</v>
      </c>
      <c r="J525" t="s">
        <v>938</v>
      </c>
      <c r="K525" t="s">
        <v>2853</v>
      </c>
      <c r="O525" s="1"/>
      <c r="P525" s="1"/>
      <c r="Q525" s="1"/>
      <c r="R525" s="1"/>
    </row>
    <row r="526" spans="4:18" x14ac:dyDescent="0.35">
      <c r="D526" t="s">
        <v>1315</v>
      </c>
      <c r="E526" t="s">
        <v>1308</v>
      </c>
      <c r="F526" t="s">
        <v>938</v>
      </c>
      <c r="G526" t="s">
        <v>2940</v>
      </c>
      <c r="I526" t="s">
        <v>1308</v>
      </c>
      <c r="J526" t="s">
        <v>938</v>
      </c>
      <c r="K526" t="s">
        <v>2939</v>
      </c>
      <c r="O526" s="1"/>
      <c r="P526" s="1"/>
      <c r="Q526" s="1"/>
      <c r="R526" s="1"/>
    </row>
    <row r="527" spans="4:18" x14ac:dyDescent="0.35">
      <c r="D527" t="s">
        <v>177</v>
      </c>
      <c r="E527" t="s">
        <v>1081</v>
      </c>
      <c r="F527" t="s">
        <v>956</v>
      </c>
      <c r="G527" t="s">
        <v>1318</v>
      </c>
      <c r="I527" t="s">
        <v>1082</v>
      </c>
      <c r="J527" t="s">
        <v>938</v>
      </c>
      <c r="K527" s="12" t="s">
        <v>2919</v>
      </c>
      <c r="O527" s="1"/>
      <c r="P527" s="1"/>
      <c r="Q527" s="1"/>
      <c r="R527" s="1"/>
    </row>
    <row r="528" spans="4:18" x14ac:dyDescent="0.35">
      <c r="D528" t="s">
        <v>1315</v>
      </c>
      <c r="E528" t="s">
        <v>1082</v>
      </c>
      <c r="F528" t="s">
        <v>938</v>
      </c>
      <c r="G528" t="s">
        <v>2919</v>
      </c>
      <c r="I528" t="s">
        <v>1308</v>
      </c>
      <c r="J528" t="s">
        <v>938</v>
      </c>
      <c r="K528" t="s">
        <v>2941</v>
      </c>
      <c r="O528" s="1"/>
      <c r="P528" s="1"/>
      <c r="Q528" s="1"/>
      <c r="R528" s="1"/>
    </row>
    <row r="529" spans="4:18" x14ac:dyDescent="0.35">
      <c r="D529" t="s">
        <v>177</v>
      </c>
      <c r="E529" t="s">
        <v>1081</v>
      </c>
      <c r="F529" t="s">
        <v>956</v>
      </c>
      <c r="G529" t="s">
        <v>1318</v>
      </c>
      <c r="I529" t="s">
        <v>1082</v>
      </c>
      <c r="J529" t="s">
        <v>938</v>
      </c>
      <c r="K529" s="12" t="s">
        <v>2920</v>
      </c>
      <c r="O529" s="1"/>
      <c r="P529" s="1"/>
      <c r="Q529" s="1"/>
      <c r="R529" s="1"/>
    </row>
    <row r="530" spans="4:18" x14ac:dyDescent="0.35">
      <c r="D530" t="s">
        <v>1315</v>
      </c>
      <c r="E530" t="s">
        <v>1082</v>
      </c>
      <c r="F530" t="s">
        <v>938</v>
      </c>
      <c r="G530" t="s">
        <v>2920</v>
      </c>
      <c r="I530" t="s">
        <v>1308</v>
      </c>
      <c r="J530" t="s">
        <v>938</v>
      </c>
      <c r="K530" t="s">
        <v>2941</v>
      </c>
      <c r="O530" s="1"/>
      <c r="P530" s="1"/>
      <c r="Q530" s="1"/>
      <c r="R530" s="1"/>
    </row>
    <row r="531" spans="4:18" x14ac:dyDescent="0.35">
      <c r="D531" t="s">
        <v>2215</v>
      </c>
      <c r="E531" t="s">
        <v>1082</v>
      </c>
      <c r="F531" t="s">
        <v>938</v>
      </c>
      <c r="G531" t="s">
        <v>2920</v>
      </c>
      <c r="I531" t="s">
        <v>1082</v>
      </c>
      <c r="J531" t="s">
        <v>938</v>
      </c>
      <c r="K531" t="s">
        <v>2919</v>
      </c>
      <c r="O531" s="1"/>
      <c r="P531" s="1"/>
      <c r="Q531" s="1"/>
      <c r="R531" s="1"/>
    </row>
    <row r="532" spans="4:18" x14ac:dyDescent="0.35">
      <c r="D532" t="s">
        <v>177</v>
      </c>
      <c r="E532" t="s">
        <v>1081</v>
      </c>
      <c r="F532" t="s">
        <v>956</v>
      </c>
      <c r="G532" t="s">
        <v>1318</v>
      </c>
      <c r="I532" t="s">
        <v>1082</v>
      </c>
      <c r="J532" t="s">
        <v>938</v>
      </c>
      <c r="K532" s="12" t="s">
        <v>2921</v>
      </c>
      <c r="O532" s="1"/>
      <c r="P532" s="1"/>
      <c r="Q532" s="1"/>
      <c r="R532" s="1"/>
    </row>
    <row r="533" spans="4:18" x14ac:dyDescent="0.35">
      <c r="D533" t="s">
        <v>1315</v>
      </c>
      <c r="E533" t="s">
        <v>1082</v>
      </c>
      <c r="F533" t="s">
        <v>938</v>
      </c>
      <c r="G533" t="s">
        <v>2921</v>
      </c>
      <c r="I533" t="s">
        <v>1308</v>
      </c>
      <c r="J533" t="s">
        <v>938</v>
      </c>
      <c r="K533" t="s">
        <v>2941</v>
      </c>
      <c r="O533" s="1"/>
      <c r="P533" s="1"/>
      <c r="Q533" s="1"/>
      <c r="R533" s="1"/>
    </row>
    <row r="534" spans="4:18" x14ac:dyDescent="0.35">
      <c r="D534" t="s">
        <v>2215</v>
      </c>
      <c r="E534" t="s">
        <v>1082</v>
      </c>
      <c r="F534" t="s">
        <v>938</v>
      </c>
      <c r="G534" t="s">
        <v>2921</v>
      </c>
      <c r="I534" t="s">
        <v>1082</v>
      </c>
      <c r="J534" t="s">
        <v>938</v>
      </c>
      <c r="K534" t="s">
        <v>2920</v>
      </c>
      <c r="O534" s="1"/>
      <c r="P534" s="1"/>
      <c r="Q534" s="1"/>
      <c r="R534" s="1"/>
    </row>
    <row r="535" spans="4:18" x14ac:dyDescent="0.35">
      <c r="D535" t="s">
        <v>177</v>
      </c>
      <c r="E535" t="s">
        <v>1081</v>
      </c>
      <c r="F535" t="s">
        <v>956</v>
      </c>
      <c r="G535" t="s">
        <v>1217</v>
      </c>
      <c r="I535" t="s">
        <v>1082</v>
      </c>
      <c r="J535" t="s">
        <v>938</v>
      </c>
      <c r="K535" s="12" t="s">
        <v>2922</v>
      </c>
      <c r="O535" s="1"/>
      <c r="P535" s="1"/>
      <c r="Q535" s="1"/>
      <c r="R535" s="1"/>
    </row>
    <row r="536" spans="4:18" x14ac:dyDescent="0.35">
      <c r="D536" t="s">
        <v>1315</v>
      </c>
      <c r="E536" t="s">
        <v>1082</v>
      </c>
      <c r="F536" t="s">
        <v>938</v>
      </c>
      <c r="G536" t="s">
        <v>2922</v>
      </c>
      <c r="I536" t="s">
        <v>1308</v>
      </c>
      <c r="J536" t="s">
        <v>938</v>
      </c>
      <c r="K536" t="s">
        <v>2941</v>
      </c>
      <c r="O536" s="1"/>
      <c r="P536" s="1"/>
      <c r="Q536" s="1"/>
      <c r="R536" s="1"/>
    </row>
    <row r="537" spans="4:18" x14ac:dyDescent="0.35">
      <c r="D537" t="s">
        <v>2215</v>
      </c>
      <c r="E537" t="s">
        <v>1082</v>
      </c>
      <c r="F537" t="s">
        <v>938</v>
      </c>
      <c r="G537" t="s">
        <v>2922</v>
      </c>
      <c r="I537" t="s">
        <v>1082</v>
      </c>
      <c r="J537" t="s">
        <v>938</v>
      </c>
      <c r="K537" t="s">
        <v>2921</v>
      </c>
      <c r="O537" s="1"/>
      <c r="P537" s="1"/>
      <c r="Q537" s="1"/>
      <c r="R537" s="1"/>
    </row>
    <row r="538" spans="4:18" x14ac:dyDescent="0.35">
      <c r="D538" t="s">
        <v>177</v>
      </c>
      <c r="E538" t="s">
        <v>1081</v>
      </c>
      <c r="F538" t="s">
        <v>956</v>
      </c>
      <c r="G538" t="s">
        <v>1217</v>
      </c>
      <c r="I538" t="s">
        <v>1082</v>
      </c>
      <c r="J538" t="s">
        <v>938</v>
      </c>
      <c r="K538" s="12" t="s">
        <v>2923</v>
      </c>
      <c r="O538" s="1"/>
      <c r="P538" s="1"/>
      <c r="Q538" s="1"/>
      <c r="R538" s="1"/>
    </row>
    <row r="539" spans="4:18" x14ac:dyDescent="0.35">
      <c r="D539" t="s">
        <v>1315</v>
      </c>
      <c r="E539" t="s">
        <v>1082</v>
      </c>
      <c r="F539" t="s">
        <v>938</v>
      </c>
      <c r="G539" t="s">
        <v>2923</v>
      </c>
      <c r="I539" t="s">
        <v>1308</v>
      </c>
      <c r="J539" t="s">
        <v>938</v>
      </c>
      <c r="K539" t="s">
        <v>2941</v>
      </c>
      <c r="O539" s="1"/>
      <c r="P539" s="1"/>
      <c r="Q539" s="1"/>
      <c r="R539" s="1"/>
    </row>
    <row r="540" spans="4:18" x14ac:dyDescent="0.35">
      <c r="D540" t="s">
        <v>2215</v>
      </c>
      <c r="E540" t="s">
        <v>1082</v>
      </c>
      <c r="F540" t="s">
        <v>938</v>
      </c>
      <c r="G540" t="s">
        <v>2923</v>
      </c>
      <c r="I540" t="s">
        <v>1082</v>
      </c>
      <c r="J540" t="s">
        <v>938</v>
      </c>
      <c r="K540" t="s">
        <v>2922</v>
      </c>
      <c r="O540" s="1"/>
      <c r="P540" s="1"/>
      <c r="Q540" s="1"/>
      <c r="R540" s="1"/>
    </row>
    <row r="541" spans="4:18" x14ac:dyDescent="0.35">
      <c r="D541" t="s">
        <v>177</v>
      </c>
      <c r="E541" t="s">
        <v>1081</v>
      </c>
      <c r="F541" t="s">
        <v>956</v>
      </c>
      <c r="G541" t="s">
        <v>1227</v>
      </c>
      <c r="I541" t="s">
        <v>1082</v>
      </c>
      <c r="J541" t="s">
        <v>938</v>
      </c>
      <c r="K541" s="12" t="s">
        <v>2908</v>
      </c>
      <c r="O541" s="1"/>
      <c r="P541" s="1"/>
      <c r="Q541" s="1"/>
      <c r="R541" s="1"/>
    </row>
    <row r="542" spans="4:18" x14ac:dyDescent="0.35">
      <c r="D542" t="s">
        <v>1315</v>
      </c>
      <c r="E542" t="s">
        <v>1082</v>
      </c>
      <c r="F542" t="s">
        <v>938</v>
      </c>
      <c r="G542" t="s">
        <v>2908</v>
      </c>
      <c r="I542" t="s">
        <v>1308</v>
      </c>
      <c r="J542" t="s">
        <v>938</v>
      </c>
      <c r="K542" t="s">
        <v>2942</v>
      </c>
      <c r="O542" s="1"/>
      <c r="P542" s="1"/>
      <c r="Q542" s="1"/>
      <c r="R542" s="1"/>
    </row>
    <row r="543" spans="4:18" x14ac:dyDescent="0.35">
      <c r="D543" t="s">
        <v>177</v>
      </c>
      <c r="E543" t="s">
        <v>1081</v>
      </c>
      <c r="F543" t="s">
        <v>956</v>
      </c>
      <c r="G543" t="s">
        <v>1227</v>
      </c>
      <c r="I543" t="s">
        <v>1082</v>
      </c>
      <c r="J543" t="s">
        <v>938</v>
      </c>
      <c r="K543" s="12" t="s">
        <v>2907</v>
      </c>
      <c r="O543" s="1"/>
      <c r="P543" s="1"/>
      <c r="Q543" s="1"/>
      <c r="R543" s="1"/>
    </row>
    <row r="544" spans="4:18" x14ac:dyDescent="0.35">
      <c r="D544" t="s">
        <v>1315</v>
      </c>
      <c r="E544" t="s">
        <v>1082</v>
      </c>
      <c r="F544" t="s">
        <v>938</v>
      </c>
      <c r="G544" t="s">
        <v>2907</v>
      </c>
      <c r="I544" t="s">
        <v>1308</v>
      </c>
      <c r="J544" t="s">
        <v>938</v>
      </c>
      <c r="K544" t="s">
        <v>2942</v>
      </c>
      <c r="O544" s="1"/>
      <c r="P544" s="1"/>
      <c r="Q544" s="1"/>
      <c r="R544" s="1"/>
    </row>
    <row r="545" spans="4:18" x14ac:dyDescent="0.35">
      <c r="D545" t="s">
        <v>2215</v>
      </c>
      <c r="E545" t="s">
        <v>1082</v>
      </c>
      <c r="F545" t="s">
        <v>938</v>
      </c>
      <c r="G545" t="s">
        <v>2907</v>
      </c>
      <c r="I545" t="s">
        <v>1082</v>
      </c>
      <c r="J545" t="s">
        <v>938</v>
      </c>
      <c r="K545" t="s">
        <v>2908</v>
      </c>
      <c r="O545" s="1"/>
      <c r="P545" s="1"/>
      <c r="Q545" s="1"/>
      <c r="R545" s="1"/>
    </row>
    <row r="546" spans="4:18" x14ac:dyDescent="0.35">
      <c r="D546" t="s">
        <v>1314</v>
      </c>
      <c r="E546" t="s">
        <v>1082</v>
      </c>
      <c r="F546" t="s">
        <v>938</v>
      </c>
      <c r="G546" t="s">
        <v>2907</v>
      </c>
      <c r="I546" t="s">
        <v>1082</v>
      </c>
      <c r="J546" t="s">
        <v>938</v>
      </c>
      <c r="K546" t="s">
        <v>2895</v>
      </c>
      <c r="O546" s="1"/>
      <c r="P546" s="1" t="s">
        <v>1355</v>
      </c>
      <c r="Q546" s="1"/>
      <c r="R546" s="1"/>
    </row>
    <row r="547" spans="4:18" x14ac:dyDescent="0.35">
      <c r="D547" t="s">
        <v>177</v>
      </c>
      <c r="E547" t="s">
        <v>1081</v>
      </c>
      <c r="F547" t="s">
        <v>956</v>
      </c>
      <c r="G547" t="s">
        <v>1227</v>
      </c>
      <c r="I547" t="s">
        <v>1082</v>
      </c>
      <c r="J547" t="s">
        <v>938</v>
      </c>
      <c r="K547" s="12" t="s">
        <v>2909</v>
      </c>
      <c r="O547" s="1"/>
      <c r="P547" s="1"/>
      <c r="Q547" s="1"/>
      <c r="R547" s="1"/>
    </row>
    <row r="548" spans="4:18" x14ac:dyDescent="0.35">
      <c r="D548" t="s">
        <v>1315</v>
      </c>
      <c r="E548" t="s">
        <v>1082</v>
      </c>
      <c r="F548" t="s">
        <v>938</v>
      </c>
      <c r="G548" t="s">
        <v>2909</v>
      </c>
      <c r="I548" t="s">
        <v>1308</v>
      </c>
      <c r="J548" t="s">
        <v>938</v>
      </c>
      <c r="K548" t="s">
        <v>2942</v>
      </c>
      <c r="O548" s="1"/>
      <c r="P548" s="1"/>
      <c r="Q548" s="1"/>
      <c r="R548" s="1"/>
    </row>
    <row r="549" spans="4:18" x14ac:dyDescent="0.35">
      <c r="D549" t="s">
        <v>2215</v>
      </c>
      <c r="E549" t="s">
        <v>1082</v>
      </c>
      <c r="F549" t="s">
        <v>938</v>
      </c>
      <c r="G549" t="s">
        <v>2909</v>
      </c>
      <c r="I549" t="s">
        <v>1082</v>
      </c>
      <c r="J549" t="s">
        <v>938</v>
      </c>
      <c r="K549" t="s">
        <v>2907</v>
      </c>
      <c r="O549" s="1"/>
      <c r="P549" s="1"/>
      <c r="Q549" s="1"/>
      <c r="R549" s="1"/>
    </row>
    <row r="550" spans="4:18" x14ac:dyDescent="0.35">
      <c r="D550" t="s">
        <v>1314</v>
      </c>
      <c r="E550" t="s">
        <v>1082</v>
      </c>
      <c r="F550" t="s">
        <v>938</v>
      </c>
      <c r="G550" t="s">
        <v>2909</v>
      </c>
      <c r="I550" t="s">
        <v>1082</v>
      </c>
      <c r="J550" t="s">
        <v>938</v>
      </c>
      <c r="K550" t="s">
        <v>2896</v>
      </c>
      <c r="O550" s="1"/>
      <c r="P550" s="1" t="s">
        <v>1355</v>
      </c>
      <c r="Q550" s="1"/>
      <c r="R550" s="1"/>
    </row>
    <row r="551" spans="4:18" x14ac:dyDescent="0.35">
      <c r="D551" t="s">
        <v>177</v>
      </c>
      <c r="E551" t="s">
        <v>1081</v>
      </c>
      <c r="F551" t="s">
        <v>956</v>
      </c>
      <c r="G551" t="s">
        <v>1318</v>
      </c>
      <c r="I551" t="s">
        <v>1082</v>
      </c>
      <c r="J551" t="s">
        <v>938</v>
      </c>
      <c r="K551" s="12" t="s">
        <v>2893</v>
      </c>
      <c r="O551" s="1"/>
      <c r="P551" s="1"/>
      <c r="Q551" s="1"/>
      <c r="R551" s="1"/>
    </row>
    <row r="552" spans="4:18" x14ac:dyDescent="0.35">
      <c r="D552" t="s">
        <v>1315</v>
      </c>
      <c r="E552" t="s">
        <v>1082</v>
      </c>
      <c r="F552" t="s">
        <v>938</v>
      </c>
      <c r="G552" t="s">
        <v>2893</v>
      </c>
      <c r="I552" t="s">
        <v>1308</v>
      </c>
      <c r="J552" t="s">
        <v>938</v>
      </c>
      <c r="K552" t="s">
        <v>2944</v>
      </c>
      <c r="O552" s="1"/>
      <c r="P552" s="1"/>
      <c r="Q552" s="1"/>
      <c r="R552" s="1"/>
    </row>
    <row r="553" spans="4:18" x14ac:dyDescent="0.35">
      <c r="D553" t="s">
        <v>177</v>
      </c>
      <c r="E553" t="s">
        <v>1081</v>
      </c>
      <c r="F553" t="s">
        <v>956</v>
      </c>
      <c r="G553" t="s">
        <v>1318</v>
      </c>
      <c r="I553" t="s">
        <v>1082</v>
      </c>
      <c r="J553" t="s">
        <v>938</v>
      </c>
      <c r="K553" s="12" t="s">
        <v>2894</v>
      </c>
      <c r="O553" s="1"/>
      <c r="P553" s="1"/>
      <c r="Q553" s="1"/>
      <c r="R553" s="1"/>
    </row>
    <row r="554" spans="4:18" x14ac:dyDescent="0.35">
      <c r="D554" t="s">
        <v>1315</v>
      </c>
      <c r="E554" t="s">
        <v>1082</v>
      </c>
      <c r="F554" t="s">
        <v>938</v>
      </c>
      <c r="G554" t="s">
        <v>2894</v>
      </c>
      <c r="I554" t="s">
        <v>1308</v>
      </c>
      <c r="J554" t="s">
        <v>938</v>
      </c>
      <c r="K554" t="s">
        <v>2944</v>
      </c>
      <c r="O554" s="1"/>
      <c r="P554" s="1"/>
      <c r="Q554" s="1"/>
      <c r="R554" s="1"/>
    </row>
    <row r="555" spans="4:18" x14ac:dyDescent="0.35">
      <c r="D555" t="s">
        <v>149</v>
      </c>
      <c r="E555" t="s">
        <v>1082</v>
      </c>
      <c r="F555" t="s">
        <v>938</v>
      </c>
      <c r="G555" t="s">
        <v>2894</v>
      </c>
      <c r="I555" t="s">
        <v>1082</v>
      </c>
      <c r="J555" t="s">
        <v>938</v>
      </c>
      <c r="K555" t="s">
        <v>2893</v>
      </c>
      <c r="O555" s="1"/>
      <c r="P555" s="1"/>
      <c r="Q555" s="1"/>
      <c r="R555" s="1"/>
    </row>
    <row r="556" spans="4:18" x14ac:dyDescent="0.35">
      <c r="D556" t="s">
        <v>1315</v>
      </c>
      <c r="E556" t="s">
        <v>1308</v>
      </c>
      <c r="F556" t="s">
        <v>938</v>
      </c>
      <c r="G556" t="s">
        <v>2944</v>
      </c>
      <c r="I556" t="s">
        <v>1308</v>
      </c>
      <c r="J556" t="s">
        <v>938</v>
      </c>
      <c r="K556" t="s">
        <v>2889</v>
      </c>
      <c r="O556" s="1"/>
      <c r="P556" s="1"/>
      <c r="Q556" s="1"/>
      <c r="R556" s="1"/>
    </row>
    <row r="557" spans="4:18" x14ac:dyDescent="0.35">
      <c r="D557" t="s">
        <v>177</v>
      </c>
      <c r="E557" t="s">
        <v>1081</v>
      </c>
      <c r="F557" t="s">
        <v>956</v>
      </c>
      <c r="G557" t="s">
        <v>1318</v>
      </c>
      <c r="I557" t="s">
        <v>1082</v>
      </c>
      <c r="J557" t="s">
        <v>938</v>
      </c>
      <c r="K557" s="12" t="s">
        <v>2895</v>
      </c>
      <c r="O557" s="1"/>
      <c r="P557" s="1"/>
      <c r="Q557" s="1"/>
      <c r="R557" s="1"/>
    </row>
    <row r="558" spans="4:18" x14ac:dyDescent="0.35">
      <c r="D558" t="s">
        <v>1315</v>
      </c>
      <c r="E558" t="s">
        <v>1082</v>
      </c>
      <c r="F558" t="s">
        <v>938</v>
      </c>
      <c r="G558" t="s">
        <v>2895</v>
      </c>
      <c r="I558" t="s">
        <v>1308</v>
      </c>
      <c r="J558" t="s">
        <v>938</v>
      </c>
      <c r="K558" t="s">
        <v>2889</v>
      </c>
      <c r="O558" s="1"/>
      <c r="P558" s="1"/>
      <c r="Q558" s="1"/>
      <c r="R558" s="1"/>
    </row>
    <row r="559" spans="4:18" x14ac:dyDescent="0.35">
      <c r="D559" t="s">
        <v>2215</v>
      </c>
      <c r="E559" t="s">
        <v>1082</v>
      </c>
      <c r="F559" t="s">
        <v>938</v>
      </c>
      <c r="G559" t="s">
        <v>2895</v>
      </c>
      <c r="I559" t="s">
        <v>1082</v>
      </c>
      <c r="J559" t="s">
        <v>938</v>
      </c>
      <c r="K559" t="s">
        <v>2893</v>
      </c>
      <c r="O559" s="1"/>
      <c r="P559" s="1"/>
      <c r="Q559" s="1"/>
      <c r="R559" s="1"/>
    </row>
    <row r="560" spans="4:18" x14ac:dyDescent="0.35">
      <c r="D560" t="s">
        <v>1314</v>
      </c>
      <c r="E560" t="s">
        <v>1082</v>
      </c>
      <c r="F560" t="s">
        <v>938</v>
      </c>
      <c r="G560" t="s">
        <v>2895</v>
      </c>
      <c r="I560" t="s">
        <v>1082</v>
      </c>
      <c r="J560" t="s">
        <v>938</v>
      </c>
      <c r="K560" t="s">
        <v>2907</v>
      </c>
      <c r="O560" s="1"/>
      <c r="P560" s="1" t="s">
        <v>1355</v>
      </c>
      <c r="Q560" s="1"/>
      <c r="R560" s="1"/>
    </row>
    <row r="561" spans="4:18" x14ac:dyDescent="0.35">
      <c r="D561" t="s">
        <v>177</v>
      </c>
      <c r="E561" t="s">
        <v>1081</v>
      </c>
      <c r="F561" t="s">
        <v>956</v>
      </c>
      <c r="G561" t="s">
        <v>1217</v>
      </c>
      <c r="I561" t="s">
        <v>1082</v>
      </c>
      <c r="J561" t="s">
        <v>938</v>
      </c>
      <c r="K561" s="12" t="s">
        <v>2896</v>
      </c>
      <c r="O561" s="1"/>
      <c r="P561" s="1"/>
      <c r="Q561" s="1"/>
      <c r="R561" s="1"/>
    </row>
    <row r="562" spans="4:18" x14ac:dyDescent="0.35">
      <c r="D562" t="s">
        <v>1315</v>
      </c>
      <c r="E562" t="s">
        <v>1082</v>
      </c>
      <c r="F562" t="s">
        <v>938</v>
      </c>
      <c r="G562" t="s">
        <v>2896</v>
      </c>
      <c r="I562" t="s">
        <v>1308</v>
      </c>
      <c r="J562" t="s">
        <v>938</v>
      </c>
      <c r="K562" t="s">
        <v>2889</v>
      </c>
      <c r="O562" s="1"/>
      <c r="P562" s="1"/>
      <c r="Q562" s="1"/>
      <c r="R562" s="1"/>
    </row>
    <row r="563" spans="4:18" x14ac:dyDescent="0.35">
      <c r="D563" t="s">
        <v>2215</v>
      </c>
      <c r="E563" t="s">
        <v>1082</v>
      </c>
      <c r="F563" t="s">
        <v>938</v>
      </c>
      <c r="G563" t="s">
        <v>2896</v>
      </c>
      <c r="I563" t="s">
        <v>1082</v>
      </c>
      <c r="J563" t="s">
        <v>938</v>
      </c>
      <c r="K563" t="s">
        <v>2895</v>
      </c>
      <c r="O563" s="1"/>
      <c r="P563" s="1"/>
      <c r="Q563" s="1"/>
      <c r="R563" s="1"/>
    </row>
    <row r="564" spans="4:18" x14ac:dyDescent="0.35">
      <c r="D564" t="s">
        <v>1314</v>
      </c>
      <c r="E564" t="s">
        <v>1082</v>
      </c>
      <c r="F564" t="s">
        <v>938</v>
      </c>
      <c r="G564" t="s">
        <v>2896</v>
      </c>
      <c r="I564" t="s">
        <v>1082</v>
      </c>
      <c r="J564" t="s">
        <v>938</v>
      </c>
      <c r="K564" t="s">
        <v>2909</v>
      </c>
      <c r="O564" s="1"/>
      <c r="P564" s="1" t="s">
        <v>1355</v>
      </c>
      <c r="Q564" s="1"/>
      <c r="R564" s="1"/>
    </row>
    <row r="565" spans="4:18" x14ac:dyDescent="0.35">
      <c r="D565" t="s">
        <v>177</v>
      </c>
      <c r="E565" t="s">
        <v>1081</v>
      </c>
      <c r="F565" t="s">
        <v>956</v>
      </c>
      <c r="G565" t="s">
        <v>1227</v>
      </c>
      <c r="I565" t="s">
        <v>1082</v>
      </c>
      <c r="J565" t="s">
        <v>938</v>
      </c>
      <c r="K565" s="12" t="s">
        <v>2945</v>
      </c>
      <c r="O565" s="1"/>
      <c r="P565" s="1"/>
      <c r="Q565" s="1"/>
      <c r="R565" s="1"/>
    </row>
    <row r="566" spans="4:18" x14ac:dyDescent="0.35">
      <c r="D566" t="s">
        <v>1315</v>
      </c>
      <c r="E566" t="s">
        <v>1082</v>
      </c>
      <c r="F566" t="s">
        <v>938</v>
      </c>
      <c r="G566" t="s">
        <v>2945</v>
      </c>
      <c r="I566" t="s">
        <v>1308</v>
      </c>
      <c r="J566" t="s">
        <v>938</v>
      </c>
      <c r="K566" t="s">
        <v>2951</v>
      </c>
      <c r="O566" s="1"/>
      <c r="P566" s="1"/>
      <c r="Q566" s="1"/>
      <c r="R566" s="1"/>
    </row>
    <row r="567" spans="4:18" x14ac:dyDescent="0.35">
      <c r="D567" t="s">
        <v>177</v>
      </c>
      <c r="E567" t="s">
        <v>1081</v>
      </c>
      <c r="F567" t="s">
        <v>956</v>
      </c>
      <c r="G567" t="s">
        <v>1227</v>
      </c>
      <c r="I567" t="s">
        <v>1082</v>
      </c>
      <c r="J567" t="s">
        <v>938</v>
      </c>
      <c r="K567" s="12" t="s">
        <v>2947</v>
      </c>
      <c r="O567" s="1"/>
      <c r="P567" s="1"/>
      <c r="Q567" s="1"/>
      <c r="R567" s="1"/>
    </row>
    <row r="568" spans="4:18" x14ac:dyDescent="0.35">
      <c r="D568" t="s">
        <v>1315</v>
      </c>
      <c r="E568" t="s">
        <v>1082</v>
      </c>
      <c r="F568" t="s">
        <v>938</v>
      </c>
      <c r="G568" t="s">
        <v>2947</v>
      </c>
      <c r="I568" t="s">
        <v>1308</v>
      </c>
      <c r="J568" t="s">
        <v>938</v>
      </c>
      <c r="K568" t="s">
        <v>2951</v>
      </c>
      <c r="O568" s="1"/>
      <c r="P568" s="1"/>
      <c r="Q568" s="1"/>
      <c r="R568" s="1"/>
    </row>
    <row r="569" spans="4:18" x14ac:dyDescent="0.35">
      <c r="D569" t="s">
        <v>2215</v>
      </c>
      <c r="E569" t="s">
        <v>1082</v>
      </c>
      <c r="F569" t="s">
        <v>938</v>
      </c>
      <c r="G569" t="s">
        <v>2947</v>
      </c>
      <c r="I569" t="s">
        <v>1082</v>
      </c>
      <c r="J569" t="s">
        <v>938</v>
      </c>
      <c r="K569" t="s">
        <v>2945</v>
      </c>
      <c r="O569" s="1"/>
      <c r="P569" s="1"/>
      <c r="Q569" s="1"/>
      <c r="R569" s="1"/>
    </row>
    <row r="570" spans="4:18" x14ac:dyDescent="0.35">
      <c r="D570" t="s">
        <v>177</v>
      </c>
      <c r="E570" t="s">
        <v>1081</v>
      </c>
      <c r="F570" t="s">
        <v>956</v>
      </c>
      <c r="G570" t="s">
        <v>1227</v>
      </c>
      <c r="I570" t="s">
        <v>1082</v>
      </c>
      <c r="J570" t="s">
        <v>938</v>
      </c>
      <c r="K570" s="12" t="s">
        <v>2948</v>
      </c>
      <c r="O570" s="1"/>
      <c r="P570" s="1"/>
      <c r="Q570" s="1"/>
      <c r="R570" s="1"/>
    </row>
    <row r="571" spans="4:18" x14ac:dyDescent="0.35">
      <c r="D571" t="s">
        <v>1315</v>
      </c>
      <c r="E571" t="s">
        <v>1082</v>
      </c>
      <c r="F571" t="s">
        <v>938</v>
      </c>
      <c r="G571" t="s">
        <v>2948</v>
      </c>
      <c r="I571" t="s">
        <v>1308</v>
      </c>
      <c r="J571" t="s">
        <v>938</v>
      </c>
      <c r="K571" t="s">
        <v>2951</v>
      </c>
      <c r="O571" s="1"/>
      <c r="P571" s="1"/>
      <c r="Q571" s="1"/>
      <c r="R571" s="1"/>
    </row>
    <row r="572" spans="4:18" x14ac:dyDescent="0.35">
      <c r="D572" t="s">
        <v>2215</v>
      </c>
      <c r="E572" t="s">
        <v>1082</v>
      </c>
      <c r="F572" t="s">
        <v>938</v>
      </c>
      <c r="G572" t="s">
        <v>2948</v>
      </c>
      <c r="I572" t="s">
        <v>1082</v>
      </c>
      <c r="J572" t="s">
        <v>938</v>
      </c>
      <c r="K572" t="s">
        <v>2947</v>
      </c>
      <c r="O572" s="1"/>
      <c r="P572" s="1"/>
      <c r="Q572" s="1"/>
      <c r="R572" s="1"/>
    </row>
    <row r="573" spans="4:18" x14ac:dyDescent="0.35">
      <c r="D573" t="s">
        <v>1314</v>
      </c>
      <c r="E573" t="s">
        <v>1082</v>
      </c>
      <c r="F573" t="s">
        <v>938</v>
      </c>
      <c r="G573" t="s">
        <v>2948</v>
      </c>
      <c r="I573" t="s">
        <v>1082</v>
      </c>
      <c r="J573" t="s">
        <v>938</v>
      </c>
      <c r="K573" t="s">
        <v>2953</v>
      </c>
      <c r="O573" s="1"/>
      <c r="P573" s="1" t="s">
        <v>1355</v>
      </c>
      <c r="Q573" s="1"/>
      <c r="R573" s="1"/>
    </row>
    <row r="574" spans="4:18" x14ac:dyDescent="0.35">
      <c r="D574" t="s">
        <v>177</v>
      </c>
      <c r="E574" t="s">
        <v>1081</v>
      </c>
      <c r="F574" t="s">
        <v>956</v>
      </c>
      <c r="G574" t="s">
        <v>1227</v>
      </c>
      <c r="I574" t="s">
        <v>1082</v>
      </c>
      <c r="J574" t="s">
        <v>938</v>
      </c>
      <c r="K574" s="12" t="s">
        <v>2949</v>
      </c>
      <c r="O574" s="1"/>
      <c r="P574" s="1"/>
      <c r="Q574" s="1"/>
      <c r="R574" s="1"/>
    </row>
    <row r="575" spans="4:18" x14ac:dyDescent="0.35">
      <c r="D575" t="s">
        <v>1315</v>
      </c>
      <c r="E575" t="s">
        <v>1082</v>
      </c>
      <c r="F575" t="s">
        <v>938</v>
      </c>
      <c r="G575" t="s">
        <v>2949</v>
      </c>
      <c r="I575" t="s">
        <v>1308</v>
      </c>
      <c r="J575" t="s">
        <v>938</v>
      </c>
      <c r="K575" t="s">
        <v>2951</v>
      </c>
      <c r="O575" s="1"/>
      <c r="P575" s="1"/>
      <c r="Q575" s="1"/>
      <c r="R575" s="1"/>
    </row>
    <row r="576" spans="4:18" x14ac:dyDescent="0.35">
      <c r="D576" t="s">
        <v>2215</v>
      </c>
      <c r="E576" t="s">
        <v>1082</v>
      </c>
      <c r="F576" t="s">
        <v>938</v>
      </c>
      <c r="G576" t="s">
        <v>2949</v>
      </c>
      <c r="I576" t="s">
        <v>1082</v>
      </c>
      <c r="J576" t="s">
        <v>938</v>
      </c>
      <c r="K576" t="s">
        <v>2948</v>
      </c>
      <c r="O576" s="1"/>
      <c r="P576" s="1"/>
      <c r="Q576" s="1"/>
      <c r="R576" s="1"/>
    </row>
    <row r="577" spans="4:18" x14ac:dyDescent="0.35">
      <c r="D577" t="s">
        <v>1314</v>
      </c>
      <c r="E577" t="s">
        <v>1082</v>
      </c>
      <c r="F577" t="s">
        <v>938</v>
      </c>
      <c r="G577" t="s">
        <v>2949</v>
      </c>
      <c r="I577" t="s">
        <v>1082</v>
      </c>
      <c r="J577" t="s">
        <v>938</v>
      </c>
      <c r="K577" t="s">
        <v>2954</v>
      </c>
      <c r="O577" s="1"/>
      <c r="P577" s="1" t="s">
        <v>1355</v>
      </c>
      <c r="Q577" s="1"/>
      <c r="R577" s="1"/>
    </row>
    <row r="578" spans="4:18" x14ac:dyDescent="0.35">
      <c r="D578" t="s">
        <v>177</v>
      </c>
      <c r="E578" t="s">
        <v>1081</v>
      </c>
      <c r="F578" t="s">
        <v>956</v>
      </c>
      <c r="G578" t="s">
        <v>1227</v>
      </c>
      <c r="I578" t="s">
        <v>1082</v>
      </c>
      <c r="J578" t="s">
        <v>938</v>
      </c>
      <c r="K578" s="12" t="s">
        <v>2946</v>
      </c>
      <c r="O578" s="1"/>
      <c r="P578" s="1"/>
      <c r="Q578" s="1"/>
      <c r="R578" s="1"/>
    </row>
    <row r="579" spans="4:18" x14ac:dyDescent="0.35">
      <c r="D579" t="s">
        <v>1315</v>
      </c>
      <c r="E579" t="s">
        <v>1082</v>
      </c>
      <c r="F579" t="s">
        <v>938</v>
      </c>
      <c r="G579" t="s">
        <v>2946</v>
      </c>
      <c r="I579" t="s">
        <v>1308</v>
      </c>
      <c r="J579" t="s">
        <v>938</v>
      </c>
      <c r="K579" t="s">
        <v>2951</v>
      </c>
      <c r="O579" s="1"/>
      <c r="P579" s="1"/>
      <c r="Q579" s="1"/>
      <c r="R579" s="1"/>
    </row>
    <row r="580" spans="4:18" x14ac:dyDescent="0.35">
      <c r="D580" t="s">
        <v>2215</v>
      </c>
      <c r="E580" t="s">
        <v>1082</v>
      </c>
      <c r="F580" t="s">
        <v>938</v>
      </c>
      <c r="G580" t="s">
        <v>2946</v>
      </c>
      <c r="I580" t="s">
        <v>1082</v>
      </c>
      <c r="J580" t="s">
        <v>938</v>
      </c>
      <c r="K580" t="s">
        <v>2949</v>
      </c>
      <c r="O580" s="1"/>
      <c r="P580" s="1"/>
      <c r="Q580" s="1"/>
      <c r="R580" s="1"/>
    </row>
    <row r="581" spans="4:18" x14ac:dyDescent="0.35">
      <c r="D581" t="s">
        <v>1314</v>
      </c>
      <c r="E581" t="s">
        <v>1082</v>
      </c>
      <c r="F581" t="s">
        <v>938</v>
      </c>
      <c r="G581" t="s">
        <v>2946</v>
      </c>
      <c r="I581" t="s">
        <v>1082</v>
      </c>
      <c r="J581" t="s">
        <v>938</v>
      </c>
      <c r="K581" t="s">
        <v>2955</v>
      </c>
      <c r="O581" s="1"/>
      <c r="P581" s="1" t="s">
        <v>1355</v>
      </c>
      <c r="Q581" s="1"/>
      <c r="R581" s="1"/>
    </row>
    <row r="582" spans="4:18" x14ac:dyDescent="0.35">
      <c r="D582" t="s">
        <v>177</v>
      </c>
      <c r="E582" t="s">
        <v>1081</v>
      </c>
      <c r="F582" t="s">
        <v>956</v>
      </c>
      <c r="G582" t="s">
        <v>1318</v>
      </c>
      <c r="I582" t="s">
        <v>1082</v>
      </c>
      <c r="J582" t="s">
        <v>938</v>
      </c>
      <c r="K582" s="12" t="s">
        <v>2953</v>
      </c>
      <c r="O582" s="1"/>
      <c r="P582" s="1"/>
      <c r="Q582" s="1"/>
      <c r="R582" s="1"/>
    </row>
    <row r="583" spans="4:18" x14ac:dyDescent="0.35">
      <c r="D583" t="s">
        <v>1315</v>
      </c>
      <c r="E583" t="s">
        <v>1082</v>
      </c>
      <c r="F583" t="s">
        <v>938</v>
      </c>
      <c r="G583" t="s">
        <v>2953</v>
      </c>
      <c r="I583" t="s">
        <v>1308</v>
      </c>
      <c r="J583" t="s">
        <v>938</v>
      </c>
      <c r="K583" t="s">
        <v>2890</v>
      </c>
      <c r="O583" s="1"/>
      <c r="P583" s="1"/>
      <c r="Q583" s="1"/>
      <c r="R583" s="1"/>
    </row>
    <row r="584" spans="4:18" x14ac:dyDescent="0.35">
      <c r="D584" t="s">
        <v>1314</v>
      </c>
      <c r="E584" t="s">
        <v>1082</v>
      </c>
      <c r="F584" t="s">
        <v>938</v>
      </c>
      <c r="G584" t="s">
        <v>2953</v>
      </c>
      <c r="I584" t="s">
        <v>1082</v>
      </c>
      <c r="J584" t="s">
        <v>938</v>
      </c>
      <c r="K584" t="s">
        <v>2948</v>
      </c>
      <c r="O584" s="1"/>
      <c r="P584" s="1" t="s">
        <v>1355</v>
      </c>
      <c r="Q584" s="1"/>
      <c r="R584" s="1"/>
    </row>
    <row r="585" spans="4:18" x14ac:dyDescent="0.35">
      <c r="D585" t="s">
        <v>177</v>
      </c>
      <c r="E585" t="s">
        <v>1081</v>
      </c>
      <c r="F585" t="s">
        <v>956</v>
      </c>
      <c r="G585" t="s">
        <v>1217</v>
      </c>
      <c r="I585" t="s">
        <v>1082</v>
      </c>
      <c r="J585" t="s">
        <v>938</v>
      </c>
      <c r="K585" s="12" t="s">
        <v>2954</v>
      </c>
      <c r="O585" s="1"/>
      <c r="P585" s="1"/>
      <c r="Q585" s="1"/>
      <c r="R585" s="1"/>
    </row>
    <row r="586" spans="4:18" x14ac:dyDescent="0.35">
      <c r="D586" t="s">
        <v>1315</v>
      </c>
      <c r="E586" t="s">
        <v>1082</v>
      </c>
      <c r="F586" t="s">
        <v>938</v>
      </c>
      <c r="G586" t="s">
        <v>2954</v>
      </c>
      <c r="I586" t="s">
        <v>1308</v>
      </c>
      <c r="J586" t="s">
        <v>938</v>
      </c>
      <c r="K586" t="s">
        <v>2890</v>
      </c>
      <c r="O586" s="1"/>
      <c r="P586" s="1"/>
      <c r="Q586" s="1"/>
      <c r="R586" s="1"/>
    </row>
    <row r="587" spans="4:18" x14ac:dyDescent="0.35">
      <c r="D587" t="s">
        <v>2215</v>
      </c>
      <c r="E587" t="s">
        <v>1082</v>
      </c>
      <c r="F587" t="s">
        <v>938</v>
      </c>
      <c r="G587" t="s">
        <v>2954</v>
      </c>
      <c r="I587" t="s">
        <v>1082</v>
      </c>
      <c r="J587" t="s">
        <v>938</v>
      </c>
      <c r="K587" t="s">
        <v>2953</v>
      </c>
      <c r="O587" s="1"/>
      <c r="P587" s="1"/>
      <c r="Q587" s="1"/>
      <c r="R587" s="1"/>
    </row>
    <row r="588" spans="4:18" x14ac:dyDescent="0.35">
      <c r="D588" t="s">
        <v>1314</v>
      </c>
      <c r="E588" t="s">
        <v>1082</v>
      </c>
      <c r="F588" t="s">
        <v>938</v>
      </c>
      <c r="G588" t="s">
        <v>2954</v>
      </c>
      <c r="I588" t="s">
        <v>1082</v>
      </c>
      <c r="J588" t="s">
        <v>938</v>
      </c>
      <c r="K588" t="s">
        <v>2949</v>
      </c>
      <c r="O588" s="1"/>
      <c r="P588" s="1" t="s">
        <v>1355</v>
      </c>
      <c r="Q588" s="1"/>
      <c r="R588" s="1"/>
    </row>
    <row r="589" spans="4:18" x14ac:dyDescent="0.35">
      <c r="D589" t="s">
        <v>177</v>
      </c>
      <c r="E589" t="s">
        <v>1081</v>
      </c>
      <c r="F589" t="s">
        <v>956</v>
      </c>
      <c r="G589" t="s">
        <v>1217</v>
      </c>
      <c r="I589" t="s">
        <v>1082</v>
      </c>
      <c r="J589" t="s">
        <v>938</v>
      </c>
      <c r="K589" s="12" t="s">
        <v>2955</v>
      </c>
      <c r="O589" s="1"/>
      <c r="P589" s="1"/>
      <c r="Q589" s="1"/>
      <c r="R589" s="1"/>
    </row>
    <row r="590" spans="4:18" x14ac:dyDescent="0.35">
      <c r="D590" t="s">
        <v>1315</v>
      </c>
      <c r="E590" t="s">
        <v>1082</v>
      </c>
      <c r="F590" t="s">
        <v>938</v>
      </c>
      <c r="G590" t="s">
        <v>2955</v>
      </c>
      <c r="I590" t="s">
        <v>1308</v>
      </c>
      <c r="J590" t="s">
        <v>938</v>
      </c>
      <c r="K590" t="s">
        <v>2890</v>
      </c>
      <c r="O590" s="1"/>
      <c r="P590" s="1"/>
      <c r="Q590" s="1"/>
      <c r="R590" s="1"/>
    </row>
    <row r="591" spans="4:18" x14ac:dyDescent="0.35">
      <c r="D591" t="s">
        <v>2215</v>
      </c>
      <c r="E591" t="s">
        <v>1082</v>
      </c>
      <c r="F591" t="s">
        <v>938</v>
      </c>
      <c r="G591" t="s">
        <v>2955</v>
      </c>
      <c r="I591" t="s">
        <v>1082</v>
      </c>
      <c r="J591" t="s">
        <v>938</v>
      </c>
      <c r="K591" t="s">
        <v>2954</v>
      </c>
      <c r="O591" s="1"/>
      <c r="P591" s="1"/>
      <c r="Q591" s="1"/>
      <c r="R591" s="1"/>
    </row>
    <row r="592" spans="4:18" x14ac:dyDescent="0.35">
      <c r="D592" t="s">
        <v>1314</v>
      </c>
      <c r="E592" t="s">
        <v>1082</v>
      </c>
      <c r="F592" t="s">
        <v>938</v>
      </c>
      <c r="G592" t="s">
        <v>2955</v>
      </c>
      <c r="I592" t="s">
        <v>1082</v>
      </c>
      <c r="J592" t="s">
        <v>938</v>
      </c>
      <c r="K592" t="s">
        <v>2946</v>
      </c>
      <c r="O592" s="1"/>
      <c r="P592" s="1" t="s">
        <v>1355</v>
      </c>
      <c r="Q592" s="1"/>
      <c r="R592" s="1"/>
    </row>
    <row r="593" spans="4:18" x14ac:dyDescent="0.35">
      <c r="D593" t="s">
        <v>177</v>
      </c>
      <c r="E593" t="s">
        <v>1081</v>
      </c>
      <c r="F593" t="s">
        <v>956</v>
      </c>
      <c r="G593" t="s">
        <v>1318</v>
      </c>
      <c r="I593" t="s">
        <v>1082</v>
      </c>
      <c r="J593" t="s">
        <v>938</v>
      </c>
      <c r="K593" s="12" t="s">
        <v>2992</v>
      </c>
      <c r="O593" s="1"/>
      <c r="P593" s="1"/>
      <c r="Q593" s="1"/>
      <c r="R593" s="1"/>
    </row>
    <row r="594" spans="4:18" x14ac:dyDescent="0.35">
      <c r="D594" t="s">
        <v>1315</v>
      </c>
      <c r="E594" t="s">
        <v>1082</v>
      </c>
      <c r="F594" t="s">
        <v>938</v>
      </c>
      <c r="G594" t="s">
        <v>2992</v>
      </c>
      <c r="I594" t="s">
        <v>1308</v>
      </c>
      <c r="J594" t="s">
        <v>938</v>
      </c>
      <c r="K594" t="s">
        <v>2891</v>
      </c>
      <c r="O594" s="1"/>
      <c r="P594" s="1"/>
      <c r="Q594" s="1"/>
      <c r="R594" s="1"/>
    </row>
    <row r="595" spans="4:18" x14ac:dyDescent="0.35">
      <c r="D595" t="s">
        <v>177</v>
      </c>
      <c r="E595" t="s">
        <v>1081</v>
      </c>
      <c r="F595" t="s">
        <v>956</v>
      </c>
      <c r="G595" t="s">
        <v>1318</v>
      </c>
      <c r="I595" t="s">
        <v>1082</v>
      </c>
      <c r="J595" t="s">
        <v>938</v>
      </c>
      <c r="K595" s="12" t="s">
        <v>2993</v>
      </c>
      <c r="O595" s="1"/>
      <c r="P595" s="1"/>
      <c r="Q595" s="1"/>
      <c r="R595" s="1"/>
    </row>
    <row r="596" spans="4:18" x14ac:dyDescent="0.35">
      <c r="D596" t="s">
        <v>1315</v>
      </c>
      <c r="E596" t="s">
        <v>1082</v>
      </c>
      <c r="F596" t="s">
        <v>938</v>
      </c>
      <c r="G596" t="s">
        <v>2993</v>
      </c>
      <c r="I596" t="s">
        <v>1308</v>
      </c>
      <c r="J596" t="s">
        <v>938</v>
      </c>
      <c r="K596" t="s">
        <v>3011</v>
      </c>
      <c r="O596" s="1"/>
      <c r="P596" s="1"/>
      <c r="Q596" s="1"/>
      <c r="R596" s="1"/>
    </row>
    <row r="597" spans="4:18" x14ac:dyDescent="0.35">
      <c r="D597" t="s">
        <v>177</v>
      </c>
      <c r="E597" t="s">
        <v>1081</v>
      </c>
      <c r="F597" t="s">
        <v>956</v>
      </c>
      <c r="G597" t="s">
        <v>1217</v>
      </c>
      <c r="I597" t="s">
        <v>1082</v>
      </c>
      <c r="J597" t="s">
        <v>938</v>
      </c>
      <c r="K597" s="12" t="s">
        <v>2994</v>
      </c>
      <c r="O597" s="1"/>
      <c r="P597" s="1"/>
      <c r="Q597" s="1"/>
      <c r="R597" s="1"/>
    </row>
    <row r="598" spans="4:18" x14ac:dyDescent="0.35">
      <c r="D598" t="s">
        <v>1315</v>
      </c>
      <c r="E598" t="s">
        <v>1082</v>
      </c>
      <c r="F598" t="s">
        <v>938</v>
      </c>
      <c r="G598" t="s">
        <v>2994</v>
      </c>
      <c r="I598" t="s">
        <v>1308</v>
      </c>
      <c r="J598" t="s">
        <v>938</v>
      </c>
      <c r="K598" t="s">
        <v>3011</v>
      </c>
      <c r="O598" s="1"/>
      <c r="P598" s="1"/>
      <c r="Q598" s="1"/>
      <c r="R598" s="1"/>
    </row>
    <row r="599" spans="4:18" x14ac:dyDescent="0.35">
      <c r="D599" t="s">
        <v>149</v>
      </c>
      <c r="E599" t="s">
        <v>1082</v>
      </c>
      <c r="F599" t="s">
        <v>938</v>
      </c>
      <c r="G599" t="s">
        <v>2994</v>
      </c>
      <c r="I599" t="s">
        <v>1082</v>
      </c>
      <c r="J599" t="s">
        <v>938</v>
      </c>
      <c r="K599" t="s">
        <v>2993</v>
      </c>
      <c r="O599" s="1"/>
      <c r="P599" s="1"/>
      <c r="Q599" s="1"/>
      <c r="R599" s="1"/>
    </row>
    <row r="600" spans="4:18" x14ac:dyDescent="0.35">
      <c r="D600" t="s">
        <v>1315</v>
      </c>
      <c r="E600" t="s">
        <v>1308</v>
      </c>
      <c r="F600" t="s">
        <v>938</v>
      </c>
      <c r="G600" t="s">
        <v>3011</v>
      </c>
      <c r="I600" t="s">
        <v>1308</v>
      </c>
      <c r="J600" t="s">
        <v>938</v>
      </c>
      <c r="K600" t="s">
        <v>2891</v>
      </c>
      <c r="O600" s="1"/>
      <c r="P600" s="1"/>
      <c r="Q600" s="1"/>
      <c r="R600" s="1"/>
    </row>
    <row r="601" spans="4:18" x14ac:dyDescent="0.35">
      <c r="D601" t="s">
        <v>177</v>
      </c>
      <c r="E601" t="s">
        <v>1081</v>
      </c>
      <c r="F601" t="s">
        <v>956</v>
      </c>
      <c r="G601" t="s">
        <v>1217</v>
      </c>
      <c r="I601" t="s">
        <v>1082</v>
      </c>
      <c r="J601" t="s">
        <v>938</v>
      </c>
      <c r="K601" s="12" t="s">
        <v>2996</v>
      </c>
      <c r="O601" s="1"/>
      <c r="P601" s="1"/>
      <c r="Q601" s="1"/>
      <c r="R601" s="1"/>
    </row>
    <row r="602" spans="4:18" x14ac:dyDescent="0.35">
      <c r="D602" t="s">
        <v>1315</v>
      </c>
      <c r="E602" t="s">
        <v>1082</v>
      </c>
      <c r="F602" t="s">
        <v>938</v>
      </c>
      <c r="G602" t="s">
        <v>2996</v>
      </c>
      <c r="I602" t="s">
        <v>1308</v>
      </c>
      <c r="J602" t="s">
        <v>938</v>
      </c>
      <c r="K602" t="s">
        <v>2891</v>
      </c>
      <c r="O602" s="1"/>
      <c r="P602" s="1"/>
      <c r="Q602" s="1"/>
      <c r="R602" s="1"/>
    </row>
    <row r="603" spans="4:18" x14ac:dyDescent="0.35">
      <c r="D603" t="s">
        <v>2215</v>
      </c>
      <c r="E603" t="s">
        <v>1082</v>
      </c>
      <c r="F603" t="s">
        <v>938</v>
      </c>
      <c r="G603" t="s">
        <v>2996</v>
      </c>
      <c r="I603" t="s">
        <v>1082</v>
      </c>
      <c r="J603" t="s">
        <v>938</v>
      </c>
      <c r="K603" t="s">
        <v>2992</v>
      </c>
      <c r="O603" s="1"/>
      <c r="P603" s="1"/>
      <c r="Q603" s="1"/>
      <c r="R603" s="1"/>
    </row>
    <row r="604" spans="4:18" x14ac:dyDescent="0.35">
      <c r="D604" t="s">
        <v>2215</v>
      </c>
      <c r="E604" t="s">
        <v>1082</v>
      </c>
      <c r="F604" t="s">
        <v>938</v>
      </c>
      <c r="G604" t="s">
        <v>2996</v>
      </c>
      <c r="I604" t="s">
        <v>1308</v>
      </c>
      <c r="J604" t="s">
        <v>938</v>
      </c>
      <c r="K604" t="s">
        <v>3011</v>
      </c>
      <c r="O604" s="1"/>
      <c r="P604" s="1"/>
      <c r="Q604" s="1"/>
      <c r="R604" s="1"/>
    </row>
    <row r="605" spans="4:18" x14ac:dyDescent="0.35">
      <c r="D605" t="s">
        <v>177</v>
      </c>
      <c r="E605" t="s">
        <v>1081</v>
      </c>
      <c r="F605" t="s">
        <v>956</v>
      </c>
      <c r="G605" t="s">
        <v>1217</v>
      </c>
      <c r="I605" t="s">
        <v>1082</v>
      </c>
      <c r="J605" t="s">
        <v>938</v>
      </c>
      <c r="K605" s="12" t="s">
        <v>2998</v>
      </c>
      <c r="O605" s="1"/>
      <c r="P605" s="1"/>
      <c r="Q605" s="1"/>
      <c r="R605" s="1"/>
    </row>
    <row r="606" spans="4:18" x14ac:dyDescent="0.35">
      <c r="D606" t="s">
        <v>1315</v>
      </c>
      <c r="E606" t="s">
        <v>1082</v>
      </c>
      <c r="F606" t="s">
        <v>938</v>
      </c>
      <c r="G606" t="s">
        <v>2998</v>
      </c>
      <c r="I606" t="s">
        <v>1308</v>
      </c>
      <c r="J606" t="s">
        <v>938</v>
      </c>
      <c r="K606" t="s">
        <v>2891</v>
      </c>
      <c r="O606" s="1"/>
      <c r="P606" s="1"/>
      <c r="Q606" s="1"/>
      <c r="R606" s="1"/>
    </row>
    <row r="607" spans="4:18" x14ac:dyDescent="0.35">
      <c r="D607" t="s">
        <v>2215</v>
      </c>
      <c r="E607" t="s">
        <v>1082</v>
      </c>
      <c r="F607" t="s">
        <v>938</v>
      </c>
      <c r="G607" t="s">
        <v>2998</v>
      </c>
      <c r="I607" t="s">
        <v>1082</v>
      </c>
      <c r="J607" t="s">
        <v>938</v>
      </c>
      <c r="K607" t="s">
        <v>2996</v>
      </c>
      <c r="O607" s="1"/>
      <c r="P607" s="1"/>
      <c r="Q607" s="1"/>
      <c r="R607" s="1"/>
    </row>
    <row r="608" spans="4:18" x14ac:dyDescent="0.35">
      <c r="D608" t="s">
        <v>1314</v>
      </c>
      <c r="E608" t="s">
        <v>1308</v>
      </c>
      <c r="F608" t="s">
        <v>938</v>
      </c>
      <c r="G608" t="s">
        <v>2891</v>
      </c>
      <c r="I608" t="s">
        <v>1308</v>
      </c>
      <c r="J608" t="s">
        <v>938</v>
      </c>
      <c r="K608" t="s">
        <v>3028</v>
      </c>
      <c r="O608" s="1"/>
      <c r="P608" s="1" t="s">
        <v>1356</v>
      </c>
      <c r="Q608" s="1"/>
      <c r="R608" s="1"/>
    </row>
    <row r="609" spans="4:18" x14ac:dyDescent="0.35">
      <c r="D609" t="s">
        <v>177</v>
      </c>
      <c r="E609" t="s">
        <v>1081</v>
      </c>
      <c r="F609" t="s">
        <v>956</v>
      </c>
      <c r="G609" t="s">
        <v>1346</v>
      </c>
      <c r="I609" t="s">
        <v>1082</v>
      </c>
      <c r="J609" t="s">
        <v>938</v>
      </c>
      <c r="K609" s="12" t="s">
        <v>3012</v>
      </c>
      <c r="O609" s="1"/>
      <c r="P609" s="1"/>
      <c r="Q609" s="1"/>
      <c r="R609" s="1"/>
    </row>
    <row r="610" spans="4:18" x14ac:dyDescent="0.35">
      <c r="D610" t="s">
        <v>1315</v>
      </c>
      <c r="E610" t="s">
        <v>1082</v>
      </c>
      <c r="F610" t="s">
        <v>938</v>
      </c>
      <c r="G610" t="s">
        <v>3012</v>
      </c>
      <c r="I610" t="s">
        <v>1308</v>
      </c>
      <c r="J610" t="s">
        <v>938</v>
      </c>
      <c r="K610" t="s">
        <v>3028</v>
      </c>
      <c r="O610" s="1"/>
      <c r="P610" s="1"/>
      <c r="Q610" s="1"/>
      <c r="R610" s="1"/>
    </row>
    <row r="611" spans="4:18" x14ac:dyDescent="0.35">
      <c r="D611" t="s">
        <v>177</v>
      </c>
      <c r="E611" t="s">
        <v>1081</v>
      </c>
      <c r="F611" t="s">
        <v>956</v>
      </c>
      <c r="G611" t="s">
        <v>1348</v>
      </c>
      <c r="I611" t="s">
        <v>1082</v>
      </c>
      <c r="J611" t="s">
        <v>938</v>
      </c>
      <c r="K611" s="12" t="s">
        <v>3014</v>
      </c>
      <c r="O611" s="1"/>
      <c r="P611" s="1"/>
      <c r="Q611" s="1"/>
      <c r="R611" s="1"/>
    </row>
    <row r="612" spans="4:18" x14ac:dyDescent="0.35">
      <c r="D612" t="s">
        <v>1315</v>
      </c>
      <c r="E612" t="s">
        <v>1082</v>
      </c>
      <c r="F612" t="s">
        <v>938</v>
      </c>
      <c r="G612" t="s">
        <v>3014</v>
      </c>
      <c r="I612" t="s">
        <v>1308</v>
      </c>
      <c r="J612" t="s">
        <v>938</v>
      </c>
      <c r="K612" t="s">
        <v>3028</v>
      </c>
      <c r="O612" s="1"/>
      <c r="P612" s="1"/>
      <c r="Q612" s="1"/>
      <c r="R612" s="1"/>
    </row>
    <row r="613" spans="4:18" x14ac:dyDescent="0.35">
      <c r="D613" t="s">
        <v>2215</v>
      </c>
      <c r="E613" t="s">
        <v>1082</v>
      </c>
      <c r="F613" t="s">
        <v>938</v>
      </c>
      <c r="G613" t="s">
        <v>3014</v>
      </c>
      <c r="I613" t="s">
        <v>1082</v>
      </c>
      <c r="J613" t="s">
        <v>938</v>
      </c>
      <c r="K613" t="s">
        <v>3012</v>
      </c>
      <c r="O613" s="1"/>
      <c r="P613" s="1"/>
      <c r="Q613" s="1"/>
      <c r="R613" s="1"/>
    </row>
    <row r="614" spans="4:18" x14ac:dyDescent="0.35">
      <c r="D614" t="s">
        <v>177</v>
      </c>
      <c r="E614" t="s">
        <v>1081</v>
      </c>
      <c r="F614" t="s">
        <v>956</v>
      </c>
      <c r="G614" t="s">
        <v>1350</v>
      </c>
      <c r="I614" t="s">
        <v>1082</v>
      </c>
      <c r="J614" t="s">
        <v>938</v>
      </c>
      <c r="K614" s="12" t="s">
        <v>3021</v>
      </c>
      <c r="O614" s="1"/>
      <c r="P614" s="1"/>
      <c r="Q614" s="1"/>
      <c r="R614" s="1"/>
    </row>
    <row r="615" spans="4:18" x14ac:dyDescent="0.35">
      <c r="D615" t="s">
        <v>1315</v>
      </c>
      <c r="E615" t="s">
        <v>1082</v>
      </c>
      <c r="F615" t="s">
        <v>938</v>
      </c>
      <c r="G615" t="s">
        <v>3021</v>
      </c>
      <c r="I615" t="s">
        <v>1308</v>
      </c>
      <c r="J615" t="s">
        <v>938</v>
      </c>
      <c r="K615" t="s">
        <v>3027</v>
      </c>
      <c r="O615" s="1"/>
      <c r="P615" s="1"/>
      <c r="Q615" s="1"/>
      <c r="R615" s="1"/>
    </row>
    <row r="616" spans="4:18" x14ac:dyDescent="0.35">
      <c r="D616" t="s">
        <v>2215</v>
      </c>
      <c r="E616" t="s">
        <v>1082</v>
      </c>
      <c r="F616" t="s">
        <v>938</v>
      </c>
      <c r="G616" t="s">
        <v>3021</v>
      </c>
      <c r="I616" t="s">
        <v>1082</v>
      </c>
      <c r="J616" t="s">
        <v>938</v>
      </c>
      <c r="K616" t="s">
        <v>3014</v>
      </c>
      <c r="O616" s="1"/>
      <c r="P616" s="1"/>
      <c r="Q616" s="1"/>
      <c r="R616" s="1"/>
    </row>
    <row r="617" spans="4:18" x14ac:dyDescent="0.35">
      <c r="D617" t="s">
        <v>177</v>
      </c>
      <c r="E617" t="s">
        <v>1081</v>
      </c>
      <c r="F617" t="s">
        <v>956</v>
      </c>
      <c r="G617" t="s">
        <v>3030</v>
      </c>
      <c r="I617" t="s">
        <v>1082</v>
      </c>
      <c r="J617" t="s">
        <v>938</v>
      </c>
      <c r="K617" s="12" t="s">
        <v>3020</v>
      </c>
      <c r="O617" s="1"/>
      <c r="P617" s="1"/>
      <c r="Q617" s="1"/>
      <c r="R617" s="1"/>
    </row>
    <row r="618" spans="4:18" x14ac:dyDescent="0.35">
      <c r="D618" t="s">
        <v>1315</v>
      </c>
      <c r="E618" t="s">
        <v>1082</v>
      </c>
      <c r="F618" t="s">
        <v>938</v>
      </c>
      <c r="G618" t="s">
        <v>3020</v>
      </c>
      <c r="I618" t="s">
        <v>1308</v>
      </c>
      <c r="J618" t="s">
        <v>938</v>
      </c>
      <c r="K618" t="s">
        <v>3027</v>
      </c>
      <c r="O618" s="1"/>
      <c r="P618" s="1"/>
      <c r="Q618" s="1"/>
      <c r="R618" s="1"/>
    </row>
    <row r="619" spans="4:18" x14ac:dyDescent="0.35">
      <c r="D619" t="s">
        <v>149</v>
      </c>
      <c r="E619" t="s">
        <v>1082</v>
      </c>
      <c r="F619" t="s">
        <v>938</v>
      </c>
      <c r="G619" t="s">
        <v>3020</v>
      </c>
      <c r="I619" t="s">
        <v>1082</v>
      </c>
      <c r="J619" t="s">
        <v>938</v>
      </c>
      <c r="K619" t="s">
        <v>3021</v>
      </c>
      <c r="O619" s="1"/>
      <c r="P619" s="1"/>
      <c r="Q619" s="1"/>
      <c r="R619" s="1"/>
    </row>
    <row r="620" spans="4:18" x14ac:dyDescent="0.35">
      <c r="D620" t="s">
        <v>1315</v>
      </c>
      <c r="E620" t="s">
        <v>1308</v>
      </c>
      <c r="F620" t="s">
        <v>938</v>
      </c>
      <c r="G620" t="s">
        <v>3027</v>
      </c>
      <c r="I620" t="s">
        <v>1308</v>
      </c>
      <c r="J620" t="s">
        <v>938</v>
      </c>
      <c r="K620" t="s">
        <v>3028</v>
      </c>
      <c r="O620" s="1"/>
      <c r="P620" s="1"/>
      <c r="Q620" s="1"/>
      <c r="R620" s="1"/>
    </row>
    <row r="621" spans="4:18" x14ac:dyDescent="0.35">
      <c r="D621" t="s">
        <v>1314</v>
      </c>
      <c r="E621" t="s">
        <v>1308</v>
      </c>
      <c r="F621" t="s">
        <v>938</v>
      </c>
      <c r="G621" t="s">
        <v>3028</v>
      </c>
      <c r="I621" t="s">
        <v>1308</v>
      </c>
      <c r="J621" t="s">
        <v>938</v>
      </c>
      <c r="K621" t="s">
        <v>2891</v>
      </c>
      <c r="O621" s="1"/>
      <c r="P621" s="1" t="s">
        <v>1356</v>
      </c>
      <c r="Q621" s="1"/>
      <c r="R621" s="1"/>
    </row>
    <row r="622" spans="4:18" x14ac:dyDescent="0.35">
      <c r="D622" t="s">
        <v>177</v>
      </c>
      <c r="E622" t="s">
        <v>1081</v>
      </c>
      <c r="F622" t="s">
        <v>956</v>
      </c>
      <c r="G622" t="s">
        <v>1217</v>
      </c>
      <c r="I622" t="s">
        <v>1082</v>
      </c>
      <c r="J622" t="s">
        <v>938</v>
      </c>
      <c r="K622" s="12" t="s">
        <v>3031</v>
      </c>
      <c r="O622" s="1"/>
      <c r="P622" s="1"/>
      <c r="Q622" s="1"/>
      <c r="R622" s="1"/>
    </row>
    <row r="623" spans="4:18" x14ac:dyDescent="0.35">
      <c r="D623" t="s">
        <v>1315</v>
      </c>
      <c r="E623" t="s">
        <v>1082</v>
      </c>
      <c r="F623" t="s">
        <v>938</v>
      </c>
      <c r="G623" t="s">
        <v>3031</v>
      </c>
      <c r="I623" t="s">
        <v>1308</v>
      </c>
      <c r="J623" t="s">
        <v>938</v>
      </c>
      <c r="K623" t="s">
        <v>2892</v>
      </c>
      <c r="O623" s="1"/>
      <c r="P623" s="1"/>
      <c r="Q623" s="1"/>
      <c r="R623" s="1"/>
    </row>
    <row r="624" spans="4:18" x14ac:dyDescent="0.35">
      <c r="D624" t="s">
        <v>177</v>
      </c>
      <c r="E624" t="s">
        <v>1081</v>
      </c>
      <c r="F624" t="s">
        <v>956</v>
      </c>
      <c r="G624" t="s">
        <v>1217</v>
      </c>
      <c r="I624" t="s">
        <v>1082</v>
      </c>
      <c r="J624" t="s">
        <v>938</v>
      </c>
      <c r="K624" s="12" t="s">
        <v>3032</v>
      </c>
      <c r="O624" s="1"/>
      <c r="P624" s="1"/>
      <c r="Q624" s="1"/>
      <c r="R624" s="1"/>
    </row>
    <row r="625" spans="4:18" x14ac:dyDescent="0.35">
      <c r="D625" t="s">
        <v>1315</v>
      </c>
      <c r="E625" t="s">
        <v>1082</v>
      </c>
      <c r="F625" t="s">
        <v>938</v>
      </c>
      <c r="G625" t="s">
        <v>3032</v>
      </c>
      <c r="I625" t="s">
        <v>1308</v>
      </c>
      <c r="J625" t="s">
        <v>938</v>
      </c>
      <c r="K625" t="s">
        <v>2892</v>
      </c>
      <c r="O625" s="1"/>
      <c r="P625" s="1"/>
      <c r="Q625" s="1"/>
      <c r="R625" s="1"/>
    </row>
    <row r="626" spans="4:18" x14ac:dyDescent="0.35">
      <c r="D626" t="s">
        <v>2215</v>
      </c>
      <c r="E626" t="s">
        <v>1082</v>
      </c>
      <c r="F626" t="s">
        <v>938</v>
      </c>
      <c r="G626" t="s">
        <v>3032</v>
      </c>
      <c r="I626" t="s">
        <v>1082</v>
      </c>
      <c r="J626" t="s">
        <v>938</v>
      </c>
      <c r="K626" t="s">
        <v>3031</v>
      </c>
      <c r="O626" s="1"/>
      <c r="P626" s="1"/>
      <c r="Q626" s="1"/>
      <c r="R626" s="1"/>
    </row>
    <row r="627" spans="4:18" x14ac:dyDescent="0.35">
      <c r="D627" t="s">
        <v>177</v>
      </c>
      <c r="E627" t="s">
        <v>1081</v>
      </c>
      <c r="F627" t="s">
        <v>956</v>
      </c>
      <c r="G627" t="s">
        <v>1217</v>
      </c>
      <c r="I627" t="s">
        <v>1082</v>
      </c>
      <c r="J627" t="s">
        <v>938</v>
      </c>
      <c r="K627" s="12" t="s">
        <v>3033</v>
      </c>
      <c r="O627" s="1"/>
      <c r="P627" s="1"/>
      <c r="Q627" s="1"/>
      <c r="R627" s="1"/>
    </row>
    <row r="628" spans="4:18" x14ac:dyDescent="0.35">
      <c r="D628" t="s">
        <v>1315</v>
      </c>
      <c r="E628" t="s">
        <v>1082</v>
      </c>
      <c r="F628" t="s">
        <v>938</v>
      </c>
      <c r="G628" t="s">
        <v>3033</v>
      </c>
      <c r="I628" t="s">
        <v>1308</v>
      </c>
      <c r="J628" t="s">
        <v>938</v>
      </c>
      <c r="K628" t="s">
        <v>2892</v>
      </c>
      <c r="O628" s="1"/>
      <c r="P628" s="1"/>
      <c r="Q628" s="1"/>
      <c r="R628" s="1"/>
    </row>
    <row r="629" spans="4:18" x14ac:dyDescent="0.35">
      <c r="D629" t="s">
        <v>177</v>
      </c>
      <c r="E629" t="s">
        <v>1081</v>
      </c>
      <c r="F629" t="s">
        <v>956</v>
      </c>
      <c r="G629" t="s">
        <v>1217</v>
      </c>
      <c r="I629" t="s">
        <v>1082</v>
      </c>
      <c r="J629" t="s">
        <v>938</v>
      </c>
      <c r="K629" s="12" t="s">
        <v>3034</v>
      </c>
      <c r="O629" s="1"/>
      <c r="P629" s="1"/>
      <c r="Q629" s="1"/>
      <c r="R629" s="1"/>
    </row>
    <row r="630" spans="4:18" x14ac:dyDescent="0.35">
      <c r="D630" t="s">
        <v>1315</v>
      </c>
      <c r="E630" t="s">
        <v>1082</v>
      </c>
      <c r="F630" t="s">
        <v>938</v>
      </c>
      <c r="G630" t="s">
        <v>3034</v>
      </c>
      <c r="I630" t="s">
        <v>1308</v>
      </c>
      <c r="J630" t="s">
        <v>938</v>
      </c>
      <c r="K630" t="s">
        <v>2892</v>
      </c>
      <c r="O630" s="1"/>
      <c r="P630" s="1"/>
      <c r="Q630" s="1"/>
      <c r="R630" s="1"/>
    </row>
    <row r="631" spans="4:18" x14ac:dyDescent="0.35">
      <c r="D631" t="s">
        <v>2215</v>
      </c>
      <c r="E631" t="s">
        <v>1082</v>
      </c>
      <c r="F631" t="s">
        <v>938</v>
      </c>
      <c r="G631" t="s">
        <v>3034</v>
      </c>
      <c r="I631" t="s">
        <v>1082</v>
      </c>
      <c r="J631" t="s">
        <v>938</v>
      </c>
      <c r="K631" t="s">
        <v>3033</v>
      </c>
      <c r="O631" s="1"/>
      <c r="P631" s="1"/>
      <c r="Q631" s="1"/>
      <c r="R631" s="1"/>
    </row>
    <row r="632" spans="4:18" x14ac:dyDescent="0.35">
      <c r="D632" t="s">
        <v>177</v>
      </c>
      <c r="E632" t="s">
        <v>1081</v>
      </c>
      <c r="F632" t="s">
        <v>956</v>
      </c>
      <c r="G632" t="s">
        <v>1217</v>
      </c>
      <c r="I632" t="s">
        <v>1082</v>
      </c>
      <c r="J632" t="s">
        <v>938</v>
      </c>
      <c r="K632" s="12" t="s">
        <v>3035</v>
      </c>
      <c r="O632" s="1"/>
      <c r="P632" s="1"/>
      <c r="Q632" s="1"/>
      <c r="R632" s="1"/>
    </row>
    <row r="633" spans="4:18" x14ac:dyDescent="0.35">
      <c r="D633" t="s">
        <v>1315</v>
      </c>
      <c r="E633" t="s">
        <v>1082</v>
      </c>
      <c r="F633" t="s">
        <v>938</v>
      </c>
      <c r="G633" t="s">
        <v>3035</v>
      </c>
      <c r="I633" t="s">
        <v>1308</v>
      </c>
      <c r="J633" t="s">
        <v>938</v>
      </c>
      <c r="K633" t="s">
        <v>2892</v>
      </c>
      <c r="O633" s="1"/>
      <c r="P633" s="1"/>
      <c r="Q633" s="1"/>
      <c r="R633" s="1"/>
    </row>
    <row r="634" spans="4:18" x14ac:dyDescent="0.35">
      <c r="D634" t="s">
        <v>177</v>
      </c>
      <c r="E634" t="s">
        <v>1081</v>
      </c>
      <c r="F634" t="s">
        <v>956</v>
      </c>
      <c r="G634" t="s">
        <v>1217</v>
      </c>
      <c r="I634" t="s">
        <v>1082</v>
      </c>
      <c r="J634" t="s">
        <v>938</v>
      </c>
      <c r="K634" s="12" t="s">
        <v>3036</v>
      </c>
      <c r="O634" s="1"/>
      <c r="P634" s="1"/>
      <c r="Q634" s="1"/>
      <c r="R634" s="1"/>
    </row>
    <row r="635" spans="4:18" x14ac:dyDescent="0.35">
      <c r="D635" t="s">
        <v>1315</v>
      </c>
      <c r="E635" t="s">
        <v>1082</v>
      </c>
      <c r="F635" t="s">
        <v>938</v>
      </c>
      <c r="G635" t="s">
        <v>3036</v>
      </c>
      <c r="I635" t="s">
        <v>1308</v>
      </c>
      <c r="J635" t="s">
        <v>938</v>
      </c>
      <c r="K635" t="s">
        <v>2892</v>
      </c>
      <c r="O635" s="1"/>
      <c r="P635" s="1"/>
      <c r="Q635" s="1"/>
      <c r="R635" s="1"/>
    </row>
    <row r="636" spans="4:18" x14ac:dyDescent="0.35">
      <c r="D636" t="s">
        <v>2215</v>
      </c>
      <c r="E636" t="s">
        <v>1082</v>
      </c>
      <c r="F636" t="s">
        <v>938</v>
      </c>
      <c r="G636" t="s">
        <v>3036</v>
      </c>
      <c r="I636" t="s">
        <v>1082</v>
      </c>
      <c r="J636" t="s">
        <v>938</v>
      </c>
      <c r="K636" t="s">
        <v>3035</v>
      </c>
      <c r="O636" s="1"/>
      <c r="P636" s="1"/>
      <c r="Q636" s="1"/>
      <c r="R636" s="1"/>
    </row>
    <row r="637" spans="4:18" x14ac:dyDescent="0.35">
      <c r="D637" t="s">
        <v>177</v>
      </c>
      <c r="E637" t="s">
        <v>1081</v>
      </c>
      <c r="F637" t="s">
        <v>956</v>
      </c>
      <c r="G637" t="s">
        <v>1217</v>
      </c>
      <c r="I637" t="s">
        <v>1082</v>
      </c>
      <c r="J637" t="s">
        <v>938</v>
      </c>
      <c r="K637" s="12" t="s">
        <v>3037</v>
      </c>
      <c r="O637" s="1"/>
      <c r="P637" s="1"/>
      <c r="Q637" s="1"/>
      <c r="R637" s="1"/>
    </row>
    <row r="638" spans="4:18" x14ac:dyDescent="0.35">
      <c r="D638" t="s">
        <v>1315</v>
      </c>
      <c r="E638" t="s">
        <v>1082</v>
      </c>
      <c r="F638" t="s">
        <v>938</v>
      </c>
      <c r="G638" t="s">
        <v>3037</v>
      </c>
      <c r="I638" t="s">
        <v>1308</v>
      </c>
      <c r="J638" t="s">
        <v>938</v>
      </c>
      <c r="K638" t="s">
        <v>2892</v>
      </c>
      <c r="O638" s="1"/>
      <c r="P638" s="1"/>
      <c r="Q638" s="1"/>
      <c r="R638" s="1"/>
    </row>
    <row r="639" spans="4:18" x14ac:dyDescent="0.35">
      <c r="D639" t="s">
        <v>177</v>
      </c>
      <c r="E639" t="s">
        <v>1081</v>
      </c>
      <c r="F639" t="s">
        <v>956</v>
      </c>
      <c r="G639" t="s">
        <v>1217</v>
      </c>
      <c r="I639" t="s">
        <v>1082</v>
      </c>
      <c r="J639" t="s">
        <v>938</v>
      </c>
      <c r="K639" s="12" t="s">
        <v>3038</v>
      </c>
      <c r="O639" s="1"/>
      <c r="P639" s="1"/>
      <c r="Q639" s="1"/>
      <c r="R639" s="1"/>
    </row>
    <row r="640" spans="4:18" x14ac:dyDescent="0.35">
      <c r="D640" t="s">
        <v>1315</v>
      </c>
      <c r="E640" t="s">
        <v>1082</v>
      </c>
      <c r="F640" t="s">
        <v>938</v>
      </c>
      <c r="G640" t="s">
        <v>3038</v>
      </c>
      <c r="I640" t="s">
        <v>1308</v>
      </c>
      <c r="J640" t="s">
        <v>938</v>
      </c>
      <c r="K640" t="s">
        <v>2892</v>
      </c>
      <c r="O640" s="1"/>
      <c r="P640" s="1"/>
      <c r="Q640" s="1"/>
      <c r="R640" s="1"/>
    </row>
    <row r="641" spans="4:18" x14ac:dyDescent="0.35">
      <c r="D641" t="s">
        <v>2215</v>
      </c>
      <c r="E641" t="s">
        <v>1082</v>
      </c>
      <c r="F641" t="s">
        <v>938</v>
      </c>
      <c r="G641" t="s">
        <v>3038</v>
      </c>
      <c r="I641" t="s">
        <v>1082</v>
      </c>
      <c r="J641" t="s">
        <v>938</v>
      </c>
      <c r="K641" t="s">
        <v>3037</v>
      </c>
      <c r="O641" s="1"/>
      <c r="P641" s="1"/>
      <c r="Q641" s="1"/>
      <c r="R641" s="1"/>
    </row>
    <row r="642" spans="4:18" x14ac:dyDescent="0.35">
      <c r="D642" t="s">
        <v>177</v>
      </c>
      <c r="E642" t="s">
        <v>1081</v>
      </c>
      <c r="F642" t="s">
        <v>956</v>
      </c>
      <c r="G642" t="s">
        <v>1217</v>
      </c>
      <c r="I642" t="s">
        <v>1082</v>
      </c>
      <c r="J642" t="s">
        <v>938</v>
      </c>
      <c r="K642" s="12" t="s">
        <v>3039</v>
      </c>
      <c r="O642" s="1"/>
      <c r="P642" s="1"/>
      <c r="Q642" s="1"/>
      <c r="R642" s="1"/>
    </row>
    <row r="643" spans="4:18" x14ac:dyDescent="0.35">
      <c r="D643" t="s">
        <v>1315</v>
      </c>
      <c r="E643" t="s">
        <v>1082</v>
      </c>
      <c r="F643" t="s">
        <v>938</v>
      </c>
      <c r="G643" t="s">
        <v>3039</v>
      </c>
      <c r="I643" t="s">
        <v>1308</v>
      </c>
      <c r="J643" t="s">
        <v>938</v>
      </c>
      <c r="K643" t="s">
        <v>2892</v>
      </c>
      <c r="O643" s="1"/>
      <c r="P643" s="1"/>
      <c r="Q643" s="1"/>
      <c r="R643" s="1"/>
    </row>
    <row r="644" spans="4:18" x14ac:dyDescent="0.35">
      <c r="D644" t="s">
        <v>177</v>
      </c>
      <c r="E644" t="s">
        <v>1081</v>
      </c>
      <c r="F644" t="s">
        <v>956</v>
      </c>
      <c r="G644" t="s">
        <v>1217</v>
      </c>
      <c r="I644" t="s">
        <v>1082</v>
      </c>
      <c r="J644" t="s">
        <v>938</v>
      </c>
      <c r="K644" s="12" t="s">
        <v>3040</v>
      </c>
      <c r="O644" s="1"/>
      <c r="P644" s="1"/>
      <c r="Q644" s="1"/>
      <c r="R644" s="1"/>
    </row>
    <row r="645" spans="4:18" x14ac:dyDescent="0.35">
      <c r="D645" t="s">
        <v>1315</v>
      </c>
      <c r="E645" t="s">
        <v>1082</v>
      </c>
      <c r="F645" t="s">
        <v>938</v>
      </c>
      <c r="G645" t="s">
        <v>3040</v>
      </c>
      <c r="I645" t="s">
        <v>1308</v>
      </c>
      <c r="J645" t="s">
        <v>938</v>
      </c>
      <c r="K645" t="s">
        <v>2892</v>
      </c>
      <c r="O645" s="1"/>
      <c r="P645" s="1"/>
      <c r="Q645" s="1"/>
      <c r="R645" s="1"/>
    </row>
    <row r="646" spans="4:18" x14ac:dyDescent="0.35">
      <c r="D646" t="s">
        <v>2215</v>
      </c>
      <c r="E646" t="s">
        <v>1082</v>
      </c>
      <c r="F646" t="s">
        <v>938</v>
      </c>
      <c r="G646" t="s">
        <v>3040</v>
      </c>
      <c r="I646" t="s">
        <v>1082</v>
      </c>
      <c r="J646" t="s">
        <v>938</v>
      </c>
      <c r="K646" t="s">
        <v>3039</v>
      </c>
      <c r="O646" s="1"/>
      <c r="P646" s="1"/>
      <c r="Q646" s="1"/>
      <c r="R646" s="1"/>
    </row>
    <row r="647" spans="4:18" x14ac:dyDescent="0.35">
      <c r="D647" t="s">
        <v>177</v>
      </c>
      <c r="E647" t="s">
        <v>1081</v>
      </c>
      <c r="F647" t="s">
        <v>956</v>
      </c>
      <c r="G647" t="s">
        <v>1217</v>
      </c>
      <c r="I647" t="s">
        <v>1082</v>
      </c>
      <c r="J647" t="s">
        <v>938</v>
      </c>
      <c r="K647" s="12" t="s">
        <v>3041</v>
      </c>
      <c r="O647" s="1"/>
      <c r="P647" s="1"/>
      <c r="Q647" s="1"/>
      <c r="R647" s="1"/>
    </row>
    <row r="648" spans="4:18" x14ac:dyDescent="0.35">
      <c r="D648" t="s">
        <v>1315</v>
      </c>
      <c r="E648" t="s">
        <v>1082</v>
      </c>
      <c r="F648" t="s">
        <v>938</v>
      </c>
      <c r="G648" t="s">
        <v>3041</v>
      </c>
      <c r="I648" t="s">
        <v>1308</v>
      </c>
      <c r="J648" t="s">
        <v>938</v>
      </c>
      <c r="K648" t="s">
        <v>2892</v>
      </c>
      <c r="O648" s="1"/>
      <c r="P648" s="1"/>
      <c r="Q648" s="1"/>
      <c r="R648" s="1"/>
    </row>
    <row r="649" spans="4:18" x14ac:dyDescent="0.35">
      <c r="D649" t="s">
        <v>177</v>
      </c>
      <c r="E649" t="s">
        <v>1081</v>
      </c>
      <c r="F649" t="s">
        <v>956</v>
      </c>
      <c r="G649" t="s">
        <v>1217</v>
      </c>
      <c r="I649" t="s">
        <v>1082</v>
      </c>
      <c r="J649" t="s">
        <v>938</v>
      </c>
      <c r="K649" s="12" t="s">
        <v>3042</v>
      </c>
      <c r="O649" s="1"/>
      <c r="P649" s="1"/>
      <c r="Q649" s="1"/>
      <c r="R649" s="1"/>
    </row>
    <row r="650" spans="4:18" x14ac:dyDescent="0.35">
      <c r="D650" t="s">
        <v>1315</v>
      </c>
      <c r="E650" t="s">
        <v>1082</v>
      </c>
      <c r="F650" t="s">
        <v>938</v>
      </c>
      <c r="G650" t="s">
        <v>3042</v>
      </c>
      <c r="I650" t="s">
        <v>1308</v>
      </c>
      <c r="J650" t="s">
        <v>938</v>
      </c>
      <c r="K650" t="s">
        <v>2892</v>
      </c>
      <c r="O650" s="1"/>
      <c r="P650" s="1"/>
      <c r="Q650" s="1"/>
      <c r="R650" s="1"/>
    </row>
    <row r="651" spans="4:18" x14ac:dyDescent="0.35">
      <c r="D651" t="s">
        <v>2215</v>
      </c>
      <c r="E651" t="s">
        <v>1082</v>
      </c>
      <c r="F651" t="s">
        <v>938</v>
      </c>
      <c r="G651" t="s">
        <v>3042</v>
      </c>
      <c r="I651" t="s">
        <v>1082</v>
      </c>
      <c r="J651" t="s">
        <v>938</v>
      </c>
      <c r="K651" t="s">
        <v>3041</v>
      </c>
      <c r="O651" s="1"/>
      <c r="P651" s="1"/>
      <c r="Q651" s="1"/>
      <c r="R651" s="1"/>
    </row>
    <row r="652" spans="4:18" x14ac:dyDescent="0.35">
      <c r="D652" t="s">
        <v>177</v>
      </c>
      <c r="E652" t="s">
        <v>1081</v>
      </c>
      <c r="F652" t="s">
        <v>956</v>
      </c>
      <c r="G652" t="s">
        <v>1217</v>
      </c>
      <c r="I652" t="s">
        <v>1082</v>
      </c>
      <c r="J652" t="s">
        <v>938</v>
      </c>
      <c r="K652" s="12" t="s">
        <v>3043</v>
      </c>
      <c r="O652" s="1"/>
      <c r="P652" s="1"/>
      <c r="Q652" s="1"/>
      <c r="R652" s="1"/>
    </row>
    <row r="653" spans="4:18" x14ac:dyDescent="0.35">
      <c r="D653" t="s">
        <v>1315</v>
      </c>
      <c r="E653" t="s">
        <v>1082</v>
      </c>
      <c r="F653" t="s">
        <v>938</v>
      </c>
      <c r="G653" t="s">
        <v>3043</v>
      </c>
      <c r="I653" t="s">
        <v>1308</v>
      </c>
      <c r="J653" t="s">
        <v>938</v>
      </c>
      <c r="K653" t="s">
        <v>2892</v>
      </c>
      <c r="O653" s="1"/>
      <c r="P653" s="1"/>
      <c r="Q653" s="1"/>
      <c r="R653" s="1"/>
    </row>
    <row r="654" spans="4:18" x14ac:dyDescent="0.35">
      <c r="D654" t="s">
        <v>177</v>
      </c>
      <c r="E654" t="s">
        <v>1081</v>
      </c>
      <c r="F654" t="s">
        <v>956</v>
      </c>
      <c r="G654" t="s">
        <v>1217</v>
      </c>
      <c r="I654" t="s">
        <v>1082</v>
      </c>
      <c r="J654" t="s">
        <v>938</v>
      </c>
      <c r="K654" s="12" t="s">
        <v>3044</v>
      </c>
      <c r="O654" s="1"/>
      <c r="P654" s="1"/>
      <c r="Q654" s="1"/>
      <c r="R654" s="1"/>
    </row>
    <row r="655" spans="4:18" x14ac:dyDescent="0.35">
      <c r="D655" t="s">
        <v>1315</v>
      </c>
      <c r="E655" t="s">
        <v>1082</v>
      </c>
      <c r="F655" t="s">
        <v>938</v>
      </c>
      <c r="G655" t="s">
        <v>3044</v>
      </c>
      <c r="I655" t="s">
        <v>1308</v>
      </c>
      <c r="J655" t="s">
        <v>938</v>
      </c>
      <c r="K655" t="s">
        <v>2892</v>
      </c>
      <c r="O655" s="1"/>
      <c r="P655" s="1"/>
      <c r="Q655" s="1"/>
      <c r="R655" s="1"/>
    </row>
    <row r="656" spans="4:18" x14ac:dyDescent="0.35">
      <c r="D656" t="s">
        <v>2215</v>
      </c>
      <c r="E656" t="s">
        <v>1082</v>
      </c>
      <c r="F656" t="s">
        <v>938</v>
      </c>
      <c r="G656" t="s">
        <v>3044</v>
      </c>
      <c r="I656" t="s">
        <v>1082</v>
      </c>
      <c r="J656" t="s">
        <v>938</v>
      </c>
      <c r="K656" t="s">
        <v>3043</v>
      </c>
      <c r="O656" s="1"/>
      <c r="P656" s="1"/>
      <c r="Q656" s="1"/>
      <c r="R656" s="1"/>
    </row>
    <row r="657" spans="4:18" x14ac:dyDescent="0.35">
      <c r="D657" t="s">
        <v>177</v>
      </c>
      <c r="E657" t="s">
        <v>1081</v>
      </c>
      <c r="F657" t="s">
        <v>956</v>
      </c>
      <c r="G657" t="s">
        <v>1217</v>
      </c>
      <c r="I657" t="s">
        <v>1082</v>
      </c>
      <c r="J657" t="s">
        <v>938</v>
      </c>
      <c r="K657" s="12" t="s">
        <v>3045</v>
      </c>
      <c r="O657" s="1"/>
      <c r="P657" s="1"/>
      <c r="Q657" s="1"/>
      <c r="R657" s="1"/>
    </row>
    <row r="658" spans="4:18" x14ac:dyDescent="0.35">
      <c r="D658" t="s">
        <v>1315</v>
      </c>
      <c r="E658" t="s">
        <v>1082</v>
      </c>
      <c r="F658" t="s">
        <v>938</v>
      </c>
      <c r="G658" t="s">
        <v>3045</v>
      </c>
      <c r="I658" t="s">
        <v>1308</v>
      </c>
      <c r="J658" t="s">
        <v>938</v>
      </c>
      <c r="K658" t="s">
        <v>2892</v>
      </c>
      <c r="O658" s="1"/>
      <c r="P658" s="1"/>
      <c r="Q658" s="1"/>
      <c r="R658" s="1"/>
    </row>
    <row r="659" spans="4:18" x14ac:dyDescent="0.35">
      <c r="D659" t="s">
        <v>177</v>
      </c>
      <c r="E659" t="s">
        <v>1081</v>
      </c>
      <c r="F659" t="s">
        <v>956</v>
      </c>
      <c r="G659" t="s">
        <v>1217</v>
      </c>
      <c r="I659" t="s">
        <v>1082</v>
      </c>
      <c r="J659" t="s">
        <v>938</v>
      </c>
      <c r="K659" s="12" t="s">
        <v>3046</v>
      </c>
      <c r="O659" s="1"/>
      <c r="P659" s="1"/>
      <c r="Q659" s="1"/>
      <c r="R659" s="1"/>
    </row>
    <row r="660" spans="4:18" x14ac:dyDescent="0.35">
      <c r="D660" t="s">
        <v>1315</v>
      </c>
      <c r="E660" t="s">
        <v>1082</v>
      </c>
      <c r="F660" t="s">
        <v>938</v>
      </c>
      <c r="G660" t="s">
        <v>3046</v>
      </c>
      <c r="I660" t="s">
        <v>1308</v>
      </c>
      <c r="J660" t="s">
        <v>938</v>
      </c>
      <c r="K660" t="s">
        <v>2892</v>
      </c>
      <c r="O660" s="1"/>
      <c r="P660" s="1"/>
      <c r="Q660" s="1"/>
      <c r="R660" s="1"/>
    </row>
    <row r="661" spans="4:18" x14ac:dyDescent="0.35">
      <c r="D661" t="s">
        <v>2215</v>
      </c>
      <c r="E661" t="s">
        <v>1082</v>
      </c>
      <c r="F661" t="s">
        <v>938</v>
      </c>
      <c r="G661" t="s">
        <v>3046</v>
      </c>
      <c r="I661" t="s">
        <v>1082</v>
      </c>
      <c r="J661" t="s">
        <v>938</v>
      </c>
      <c r="K661" t="s">
        <v>3045</v>
      </c>
      <c r="O661" s="1"/>
      <c r="P661" s="1"/>
      <c r="Q661" s="1"/>
      <c r="R661" s="1"/>
    </row>
    <row r="662" spans="4:18" x14ac:dyDescent="0.35">
      <c r="D662" t="s">
        <v>177</v>
      </c>
      <c r="E662" t="s">
        <v>1081</v>
      </c>
      <c r="F662" t="s">
        <v>956</v>
      </c>
      <c r="G662" t="s">
        <v>1217</v>
      </c>
      <c r="I662" t="s">
        <v>1082</v>
      </c>
      <c r="J662" t="s">
        <v>938</v>
      </c>
      <c r="K662" s="12" t="s">
        <v>3047</v>
      </c>
      <c r="O662" s="1"/>
      <c r="P662" s="1"/>
      <c r="Q662" s="1"/>
      <c r="R662" s="1"/>
    </row>
    <row r="663" spans="4:18" x14ac:dyDescent="0.35">
      <c r="D663" t="s">
        <v>1315</v>
      </c>
      <c r="E663" t="s">
        <v>1082</v>
      </c>
      <c r="F663" t="s">
        <v>938</v>
      </c>
      <c r="G663" t="s">
        <v>3047</v>
      </c>
      <c r="I663" t="s">
        <v>1308</v>
      </c>
      <c r="J663" t="s">
        <v>938</v>
      </c>
      <c r="K663" t="s">
        <v>2892</v>
      </c>
      <c r="O663" s="1"/>
      <c r="P663" s="1"/>
      <c r="Q663" s="1"/>
      <c r="R663" s="1"/>
    </row>
    <row r="664" spans="4:18" x14ac:dyDescent="0.35">
      <c r="D664" t="s">
        <v>177</v>
      </c>
      <c r="E664" t="s">
        <v>1081</v>
      </c>
      <c r="F664" t="s">
        <v>956</v>
      </c>
      <c r="G664" t="s">
        <v>1217</v>
      </c>
      <c r="I664" t="s">
        <v>1082</v>
      </c>
      <c r="J664" t="s">
        <v>938</v>
      </c>
      <c r="K664" s="12" t="s">
        <v>3048</v>
      </c>
      <c r="O664" s="1"/>
      <c r="P664" s="1"/>
      <c r="Q664" s="1"/>
      <c r="R664" s="1"/>
    </row>
    <row r="665" spans="4:18" x14ac:dyDescent="0.35">
      <c r="D665" t="s">
        <v>1315</v>
      </c>
      <c r="E665" t="s">
        <v>1082</v>
      </c>
      <c r="F665" t="s">
        <v>938</v>
      </c>
      <c r="G665" t="s">
        <v>3048</v>
      </c>
      <c r="I665" t="s">
        <v>1308</v>
      </c>
      <c r="J665" t="s">
        <v>938</v>
      </c>
      <c r="K665" t="s">
        <v>2892</v>
      </c>
      <c r="O665" s="1"/>
      <c r="P665" s="1"/>
      <c r="Q665" s="1"/>
      <c r="R665" s="1"/>
    </row>
    <row r="666" spans="4:18" x14ac:dyDescent="0.35">
      <c r="D666" t="s">
        <v>2215</v>
      </c>
      <c r="E666" t="s">
        <v>1082</v>
      </c>
      <c r="F666" t="s">
        <v>938</v>
      </c>
      <c r="G666" t="s">
        <v>3048</v>
      </c>
      <c r="I666" t="s">
        <v>1082</v>
      </c>
      <c r="J666" t="s">
        <v>938</v>
      </c>
      <c r="K666" t="s">
        <v>3047</v>
      </c>
      <c r="O666" s="1"/>
      <c r="P666" s="1"/>
      <c r="Q666" s="1"/>
      <c r="R666" s="1"/>
    </row>
    <row r="667" spans="4:18" x14ac:dyDescent="0.35">
      <c r="D667" t="s">
        <v>177</v>
      </c>
      <c r="E667" t="s">
        <v>1081</v>
      </c>
      <c r="F667" t="s">
        <v>956</v>
      </c>
      <c r="G667" t="s">
        <v>1217</v>
      </c>
      <c r="I667" t="s">
        <v>1082</v>
      </c>
      <c r="J667" t="s">
        <v>938</v>
      </c>
      <c r="K667" s="12" t="s">
        <v>3049</v>
      </c>
      <c r="O667" s="1"/>
      <c r="P667" s="1"/>
      <c r="Q667" s="1"/>
      <c r="R667" s="1"/>
    </row>
    <row r="668" spans="4:18" x14ac:dyDescent="0.35">
      <c r="D668" t="s">
        <v>1315</v>
      </c>
      <c r="E668" t="s">
        <v>1082</v>
      </c>
      <c r="F668" t="s">
        <v>938</v>
      </c>
      <c r="G668" t="s">
        <v>3049</v>
      </c>
      <c r="I668" t="s">
        <v>1308</v>
      </c>
      <c r="J668" t="s">
        <v>938</v>
      </c>
      <c r="K668" t="s">
        <v>2892</v>
      </c>
      <c r="O668" s="1"/>
      <c r="P668" s="1"/>
      <c r="Q668" s="1"/>
      <c r="R668" s="1"/>
    </row>
    <row r="669" spans="4:18" x14ac:dyDescent="0.35">
      <c r="D669" t="s">
        <v>177</v>
      </c>
      <c r="E669" t="s">
        <v>1081</v>
      </c>
      <c r="F669" t="s">
        <v>956</v>
      </c>
      <c r="G669" t="s">
        <v>1217</v>
      </c>
      <c r="I669" t="s">
        <v>1082</v>
      </c>
      <c r="J669" t="s">
        <v>938</v>
      </c>
      <c r="K669" s="12" t="s">
        <v>3050</v>
      </c>
      <c r="O669" s="1"/>
      <c r="P669" s="1"/>
      <c r="Q669" s="1"/>
      <c r="R669" s="1"/>
    </row>
    <row r="670" spans="4:18" x14ac:dyDescent="0.35">
      <c r="D670" t="s">
        <v>1315</v>
      </c>
      <c r="E670" t="s">
        <v>1082</v>
      </c>
      <c r="F670" t="s">
        <v>938</v>
      </c>
      <c r="G670" t="s">
        <v>3050</v>
      </c>
      <c r="I670" t="s">
        <v>1308</v>
      </c>
      <c r="J670" t="s">
        <v>938</v>
      </c>
      <c r="K670" t="s">
        <v>2892</v>
      </c>
      <c r="O670" s="1"/>
      <c r="P670" s="1"/>
      <c r="Q670" s="1"/>
      <c r="R670" s="1"/>
    </row>
    <row r="671" spans="4:18" x14ac:dyDescent="0.35">
      <c r="D671" t="s">
        <v>2215</v>
      </c>
      <c r="E671" t="s">
        <v>1082</v>
      </c>
      <c r="F671" t="s">
        <v>938</v>
      </c>
      <c r="G671" t="s">
        <v>3050</v>
      </c>
      <c r="I671" t="s">
        <v>1082</v>
      </c>
      <c r="J671" t="s">
        <v>938</v>
      </c>
      <c r="K671" t="s">
        <v>3049</v>
      </c>
      <c r="O671" s="1"/>
      <c r="P671" s="1"/>
      <c r="Q671" s="1"/>
      <c r="R671" s="1"/>
    </row>
    <row r="672" spans="4:18" x14ac:dyDescent="0.35">
      <c r="D672" t="s">
        <v>177</v>
      </c>
      <c r="E672" t="s">
        <v>1081</v>
      </c>
      <c r="F672" t="s">
        <v>956</v>
      </c>
      <c r="G672" t="s">
        <v>1217</v>
      </c>
      <c r="I672" t="s">
        <v>1082</v>
      </c>
      <c r="J672" t="s">
        <v>938</v>
      </c>
      <c r="K672" s="12" t="s">
        <v>3051</v>
      </c>
      <c r="O672" s="1"/>
      <c r="P672" s="1"/>
      <c r="Q672" s="1"/>
      <c r="R672" s="1"/>
    </row>
    <row r="673" spans="4:18" x14ac:dyDescent="0.35">
      <c r="D673" t="s">
        <v>1315</v>
      </c>
      <c r="E673" t="s">
        <v>1082</v>
      </c>
      <c r="F673" t="s">
        <v>938</v>
      </c>
      <c r="G673" t="s">
        <v>3051</v>
      </c>
      <c r="I673" t="s">
        <v>1308</v>
      </c>
      <c r="J673" t="s">
        <v>938</v>
      </c>
      <c r="K673" t="s">
        <v>2892</v>
      </c>
      <c r="O673" s="1"/>
      <c r="P673" s="1"/>
      <c r="Q673" s="1"/>
      <c r="R673" s="1"/>
    </row>
    <row r="674" spans="4:18" x14ac:dyDescent="0.35">
      <c r="D674" t="s">
        <v>177</v>
      </c>
      <c r="E674" t="s">
        <v>1081</v>
      </c>
      <c r="F674" t="s">
        <v>956</v>
      </c>
      <c r="G674" t="s">
        <v>1217</v>
      </c>
      <c r="I674" t="s">
        <v>1082</v>
      </c>
      <c r="J674" t="s">
        <v>938</v>
      </c>
      <c r="K674" s="12" t="s">
        <v>3052</v>
      </c>
      <c r="O674" s="1"/>
      <c r="P674" s="1"/>
      <c r="Q674" s="1"/>
      <c r="R674" s="1"/>
    </row>
    <row r="675" spans="4:18" x14ac:dyDescent="0.35">
      <c r="D675" t="s">
        <v>1315</v>
      </c>
      <c r="E675" t="s">
        <v>1082</v>
      </c>
      <c r="F675" t="s">
        <v>938</v>
      </c>
      <c r="G675" t="s">
        <v>3052</v>
      </c>
      <c r="I675" t="s">
        <v>1308</v>
      </c>
      <c r="J675" t="s">
        <v>938</v>
      </c>
      <c r="K675" t="s">
        <v>2892</v>
      </c>
      <c r="O675" s="1"/>
      <c r="P675" s="1"/>
      <c r="Q675" s="1"/>
      <c r="R675" s="1"/>
    </row>
    <row r="676" spans="4:18" x14ac:dyDescent="0.35">
      <c r="D676" t="s">
        <v>177</v>
      </c>
      <c r="E676" t="s">
        <v>1081</v>
      </c>
      <c r="F676" t="s">
        <v>956</v>
      </c>
      <c r="G676" t="s">
        <v>1217</v>
      </c>
      <c r="I676" t="s">
        <v>1082</v>
      </c>
      <c r="J676" t="s">
        <v>938</v>
      </c>
      <c r="K676" s="12" t="s">
        <v>3053</v>
      </c>
      <c r="O676" s="1"/>
      <c r="P676" s="1"/>
      <c r="Q676" s="1"/>
      <c r="R676" s="1"/>
    </row>
    <row r="677" spans="4:18" x14ac:dyDescent="0.35">
      <c r="D677" t="s">
        <v>1315</v>
      </c>
      <c r="E677" t="s">
        <v>1082</v>
      </c>
      <c r="F677" t="s">
        <v>938</v>
      </c>
      <c r="G677" t="s">
        <v>3053</v>
      </c>
      <c r="I677" t="s">
        <v>1308</v>
      </c>
      <c r="J677" t="s">
        <v>938</v>
      </c>
      <c r="K677" t="s">
        <v>2892</v>
      </c>
      <c r="O677" s="1"/>
      <c r="P677" s="1"/>
      <c r="Q677" s="1"/>
      <c r="R677" s="1"/>
    </row>
    <row r="678" spans="4:18" x14ac:dyDescent="0.35">
      <c r="D678" t="s">
        <v>177</v>
      </c>
      <c r="E678" t="s">
        <v>1081</v>
      </c>
      <c r="F678" t="s">
        <v>956</v>
      </c>
      <c r="G678" t="s">
        <v>1217</v>
      </c>
      <c r="I678" t="s">
        <v>1082</v>
      </c>
      <c r="J678" t="s">
        <v>938</v>
      </c>
      <c r="K678" s="12" t="s">
        <v>3054</v>
      </c>
      <c r="O678" s="1"/>
      <c r="P678" s="1"/>
      <c r="Q678" s="1"/>
      <c r="R678" s="1"/>
    </row>
    <row r="679" spans="4:18" x14ac:dyDescent="0.35">
      <c r="D679" t="s">
        <v>1315</v>
      </c>
      <c r="E679" t="s">
        <v>1082</v>
      </c>
      <c r="F679" t="s">
        <v>938</v>
      </c>
      <c r="G679" t="s">
        <v>3054</v>
      </c>
      <c r="I679" t="s">
        <v>1308</v>
      </c>
      <c r="J679" t="s">
        <v>938</v>
      </c>
      <c r="K679" t="s">
        <v>2892</v>
      </c>
      <c r="O679" s="1"/>
      <c r="P679" s="1"/>
      <c r="Q679" s="1"/>
      <c r="R679" s="1"/>
    </row>
    <row r="680" spans="4:18" x14ac:dyDescent="0.35">
      <c r="D680" t="s">
        <v>177</v>
      </c>
      <c r="E680" t="s">
        <v>1081</v>
      </c>
      <c r="F680" t="s">
        <v>956</v>
      </c>
      <c r="G680" t="s">
        <v>1217</v>
      </c>
      <c r="I680" t="s">
        <v>1082</v>
      </c>
      <c r="J680" t="s">
        <v>938</v>
      </c>
      <c r="K680" s="12" t="s">
        <v>3055</v>
      </c>
      <c r="O680" s="1"/>
      <c r="P680" s="1"/>
      <c r="Q680" s="1"/>
      <c r="R680" s="1"/>
    </row>
    <row r="681" spans="4:18" x14ac:dyDescent="0.35">
      <c r="D681" t="s">
        <v>1315</v>
      </c>
      <c r="E681" t="s">
        <v>1082</v>
      </c>
      <c r="F681" t="s">
        <v>938</v>
      </c>
      <c r="G681" t="s">
        <v>3055</v>
      </c>
      <c r="I681" t="s">
        <v>1308</v>
      </c>
      <c r="J681" t="s">
        <v>938</v>
      </c>
      <c r="K681" t="s">
        <v>2892</v>
      </c>
      <c r="O681" s="1"/>
      <c r="P681" s="1"/>
      <c r="Q681" s="1"/>
      <c r="R681" s="1"/>
    </row>
    <row r="682" spans="4:18" x14ac:dyDescent="0.35">
      <c r="D682" t="s">
        <v>177</v>
      </c>
      <c r="E682" t="s">
        <v>1081</v>
      </c>
      <c r="F682" t="s">
        <v>956</v>
      </c>
      <c r="G682" t="s">
        <v>1217</v>
      </c>
      <c r="I682" t="s">
        <v>1082</v>
      </c>
      <c r="J682" t="s">
        <v>938</v>
      </c>
      <c r="K682" s="12" t="s">
        <v>3109</v>
      </c>
      <c r="O682" s="1"/>
      <c r="P682" s="1"/>
      <c r="Q682" s="1"/>
      <c r="R682" s="1"/>
    </row>
    <row r="683" spans="4:18" x14ac:dyDescent="0.35">
      <c r="D683" t="s">
        <v>1315</v>
      </c>
      <c r="E683" t="s">
        <v>1082</v>
      </c>
      <c r="F683" t="s">
        <v>938</v>
      </c>
      <c r="G683" t="s">
        <v>3109</v>
      </c>
      <c r="I683" t="s">
        <v>1308</v>
      </c>
      <c r="J683" t="s">
        <v>938</v>
      </c>
      <c r="K683" t="s">
        <v>3117</v>
      </c>
      <c r="O683" s="1"/>
      <c r="P683" s="1"/>
      <c r="Q683" s="1"/>
      <c r="R683" s="1"/>
    </row>
    <row r="684" spans="4:18" x14ac:dyDescent="0.35">
      <c r="D684" t="s">
        <v>177</v>
      </c>
      <c r="E684" t="s">
        <v>1081</v>
      </c>
      <c r="F684" t="s">
        <v>956</v>
      </c>
      <c r="G684" t="s">
        <v>1217</v>
      </c>
      <c r="I684" t="s">
        <v>1082</v>
      </c>
      <c r="J684" t="s">
        <v>938</v>
      </c>
      <c r="K684" s="12" t="s">
        <v>3110</v>
      </c>
      <c r="O684" s="1"/>
      <c r="P684" s="1"/>
      <c r="Q684" s="1"/>
      <c r="R684" s="1"/>
    </row>
    <row r="685" spans="4:18" x14ac:dyDescent="0.35">
      <c r="D685" t="s">
        <v>1315</v>
      </c>
      <c r="E685" t="s">
        <v>1082</v>
      </c>
      <c r="F685" t="s">
        <v>938</v>
      </c>
      <c r="G685" t="s">
        <v>3110</v>
      </c>
      <c r="I685" t="s">
        <v>1308</v>
      </c>
      <c r="J685" t="s">
        <v>938</v>
      </c>
      <c r="K685" t="s">
        <v>3117</v>
      </c>
      <c r="O685" s="1"/>
      <c r="P685" s="1"/>
      <c r="Q685" s="1"/>
      <c r="R685" s="1"/>
    </row>
    <row r="686" spans="4:18" x14ac:dyDescent="0.35">
      <c r="D686" t="s">
        <v>149</v>
      </c>
      <c r="E686" t="s">
        <v>1082</v>
      </c>
      <c r="F686" t="s">
        <v>938</v>
      </c>
      <c r="G686" t="s">
        <v>3110</v>
      </c>
      <c r="I686" t="s">
        <v>1082</v>
      </c>
      <c r="J686" t="s">
        <v>938</v>
      </c>
      <c r="K686" t="s">
        <v>3109</v>
      </c>
      <c r="O686" s="1"/>
      <c r="P686" s="1"/>
      <c r="Q686" s="1"/>
      <c r="R686" s="1"/>
    </row>
    <row r="687" spans="4:18" x14ac:dyDescent="0.35">
      <c r="D687" t="s">
        <v>177</v>
      </c>
      <c r="E687" t="s">
        <v>1081</v>
      </c>
      <c r="F687" t="s">
        <v>956</v>
      </c>
      <c r="G687" t="s">
        <v>3118</v>
      </c>
      <c r="I687" t="s">
        <v>1082</v>
      </c>
      <c r="J687" t="s">
        <v>938</v>
      </c>
      <c r="K687" s="12" t="s">
        <v>2977</v>
      </c>
      <c r="O687" s="1"/>
      <c r="P687" s="1"/>
      <c r="Q687" s="1"/>
      <c r="R687" s="1"/>
    </row>
    <row r="688" spans="4:18" x14ac:dyDescent="0.35">
      <c r="D688" t="s">
        <v>1315</v>
      </c>
      <c r="E688" t="s">
        <v>1082</v>
      </c>
      <c r="F688" t="s">
        <v>938</v>
      </c>
      <c r="G688" t="s">
        <v>2977</v>
      </c>
      <c r="I688" t="s">
        <v>1308</v>
      </c>
      <c r="J688" t="s">
        <v>938</v>
      </c>
      <c r="K688" t="s">
        <v>3119</v>
      </c>
      <c r="O688" s="1"/>
      <c r="P688" s="1"/>
      <c r="Q688" s="1"/>
      <c r="R688" s="1"/>
    </row>
    <row r="689" spans="1:18" x14ac:dyDescent="0.35">
      <c r="D689" t="s">
        <v>177</v>
      </c>
      <c r="E689" t="s">
        <v>1081</v>
      </c>
      <c r="F689" t="s">
        <v>956</v>
      </c>
      <c r="G689" t="s">
        <v>1346</v>
      </c>
      <c r="I689" t="s">
        <v>1082</v>
      </c>
      <c r="J689" t="s">
        <v>938</v>
      </c>
      <c r="K689" s="12" t="s">
        <v>2981</v>
      </c>
      <c r="O689" s="1"/>
      <c r="P689" s="1"/>
      <c r="Q689" s="1"/>
      <c r="R689" s="1"/>
    </row>
    <row r="690" spans="1:18" x14ac:dyDescent="0.35">
      <c r="D690" t="s">
        <v>1315</v>
      </c>
      <c r="E690" t="s">
        <v>1082</v>
      </c>
      <c r="F690" t="s">
        <v>938</v>
      </c>
      <c r="G690" t="s">
        <v>2981</v>
      </c>
      <c r="I690" t="s">
        <v>1308</v>
      </c>
      <c r="J690" t="s">
        <v>938</v>
      </c>
      <c r="K690" t="s">
        <v>3119</v>
      </c>
      <c r="O690" s="1"/>
      <c r="P690" s="1"/>
      <c r="Q690" s="1"/>
      <c r="R690" s="1"/>
    </row>
    <row r="691" spans="1:18" x14ac:dyDescent="0.35">
      <c r="D691" t="s">
        <v>2215</v>
      </c>
      <c r="E691" t="s">
        <v>1082</v>
      </c>
      <c r="F691" t="s">
        <v>938</v>
      </c>
      <c r="G691" t="s">
        <v>2981</v>
      </c>
      <c r="I691" t="s">
        <v>1082</v>
      </c>
      <c r="J691" t="s">
        <v>938</v>
      </c>
      <c r="K691" t="s">
        <v>2977</v>
      </c>
      <c r="O691" s="1"/>
      <c r="P691" s="1"/>
      <c r="Q691" s="1"/>
      <c r="R691" s="1"/>
    </row>
    <row r="692" spans="1:18" x14ac:dyDescent="0.35">
      <c r="D692" t="s">
        <v>177</v>
      </c>
      <c r="E692" t="s">
        <v>1081</v>
      </c>
      <c r="F692" t="s">
        <v>956</v>
      </c>
      <c r="G692" t="s">
        <v>1348</v>
      </c>
      <c r="I692" t="s">
        <v>1082</v>
      </c>
      <c r="J692" t="s">
        <v>938</v>
      </c>
      <c r="K692" s="12" t="s">
        <v>2984</v>
      </c>
      <c r="O692" s="1"/>
      <c r="P692" s="1"/>
      <c r="Q692" s="1"/>
      <c r="R692" s="1"/>
    </row>
    <row r="693" spans="1:18" x14ac:dyDescent="0.35">
      <c r="D693" t="s">
        <v>1315</v>
      </c>
      <c r="E693" t="s">
        <v>1082</v>
      </c>
      <c r="F693" t="s">
        <v>938</v>
      </c>
      <c r="G693" t="s">
        <v>2984</v>
      </c>
      <c r="I693" t="s">
        <v>1308</v>
      </c>
      <c r="J693" t="s">
        <v>938</v>
      </c>
      <c r="K693" t="s">
        <v>3119</v>
      </c>
      <c r="O693" s="1"/>
      <c r="P693" s="1"/>
      <c r="Q693" s="1"/>
      <c r="R693" s="1"/>
    </row>
    <row r="694" spans="1:18" x14ac:dyDescent="0.35">
      <c r="D694" t="s">
        <v>2215</v>
      </c>
      <c r="E694" t="s">
        <v>1082</v>
      </c>
      <c r="F694" t="s">
        <v>938</v>
      </c>
      <c r="G694" t="s">
        <v>2984</v>
      </c>
      <c r="I694" t="s">
        <v>1082</v>
      </c>
      <c r="J694" t="s">
        <v>938</v>
      </c>
      <c r="K694" t="s">
        <v>2981</v>
      </c>
      <c r="O694" s="1"/>
      <c r="P694" s="1"/>
      <c r="Q694" s="1"/>
      <c r="R694" s="1"/>
    </row>
    <row r="695" spans="1:18" x14ac:dyDescent="0.35">
      <c r="D695" t="s">
        <v>177</v>
      </c>
      <c r="E695" t="s">
        <v>1081</v>
      </c>
      <c r="F695" t="s">
        <v>956</v>
      </c>
      <c r="G695" t="s">
        <v>3030</v>
      </c>
      <c r="I695" t="s">
        <v>1082</v>
      </c>
      <c r="J695" t="s">
        <v>938</v>
      </c>
      <c r="K695" s="12" t="s">
        <v>2988</v>
      </c>
      <c r="O695" s="1"/>
      <c r="P695" s="1"/>
      <c r="Q695" s="1"/>
      <c r="R695" s="1"/>
    </row>
    <row r="696" spans="1:18" x14ac:dyDescent="0.35">
      <c r="D696" t="s">
        <v>1315</v>
      </c>
      <c r="E696" t="s">
        <v>1082</v>
      </c>
      <c r="F696" t="s">
        <v>938</v>
      </c>
      <c r="G696" t="s">
        <v>2988</v>
      </c>
      <c r="I696" t="s">
        <v>1308</v>
      </c>
      <c r="J696" t="s">
        <v>938</v>
      </c>
      <c r="K696" t="s">
        <v>3119</v>
      </c>
      <c r="O696" s="1"/>
      <c r="P696" s="1"/>
      <c r="Q696" s="1"/>
      <c r="R696" s="1"/>
    </row>
    <row r="697" spans="1:18" x14ac:dyDescent="0.35">
      <c r="D697" t="s">
        <v>2215</v>
      </c>
      <c r="E697" t="s">
        <v>1082</v>
      </c>
      <c r="F697" t="s">
        <v>938</v>
      </c>
      <c r="G697" t="s">
        <v>2988</v>
      </c>
      <c r="I697" t="s">
        <v>1082</v>
      </c>
      <c r="J697" t="s">
        <v>938</v>
      </c>
      <c r="K697" t="s">
        <v>2984</v>
      </c>
      <c r="O697" s="1"/>
      <c r="P697" s="1"/>
      <c r="Q697" s="1"/>
      <c r="R697" s="1"/>
    </row>
    <row r="698" spans="1:18" s="21" customFormat="1" x14ac:dyDescent="0.3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 s="1"/>
      <c r="P698" s="1"/>
      <c r="Q698" s="1"/>
      <c r="R698" s="1"/>
    </row>
    <row r="699" spans="1:18" ht="28.5" x14ac:dyDescent="0.65">
      <c r="A699" s="21"/>
      <c r="B699" s="21"/>
      <c r="C699" s="27" t="s">
        <v>2808</v>
      </c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2"/>
      <c r="P699" s="22"/>
      <c r="Q699" s="22"/>
      <c r="R699" s="22"/>
    </row>
    <row r="700" spans="1:18" x14ac:dyDescent="0.35">
      <c r="F700"/>
      <c r="O700" s="1"/>
      <c r="P700" s="1"/>
      <c r="Q700" s="1"/>
      <c r="R700" s="1"/>
    </row>
    <row r="701" spans="1:18" x14ac:dyDescent="0.35">
      <c r="D701" t="s">
        <v>177</v>
      </c>
      <c r="E701" t="s">
        <v>1081</v>
      </c>
      <c r="F701" t="s">
        <v>956</v>
      </c>
      <c r="G701" t="s">
        <v>1380</v>
      </c>
      <c r="I701" t="s">
        <v>1082</v>
      </c>
      <c r="J701" t="s">
        <v>938</v>
      </c>
      <c r="K701" s="12" t="s">
        <v>1670</v>
      </c>
      <c r="O701" s="1"/>
      <c r="P701" s="1"/>
      <c r="Q701" s="1"/>
      <c r="R701" s="1"/>
    </row>
    <row r="702" spans="1:18" x14ac:dyDescent="0.35">
      <c r="D702" t="s">
        <v>1315</v>
      </c>
      <c r="E702" t="s">
        <v>1082</v>
      </c>
      <c r="F702" t="s">
        <v>938</v>
      </c>
      <c r="G702" t="s">
        <v>1670</v>
      </c>
      <c r="I702" t="s">
        <v>1308</v>
      </c>
      <c r="J702" t="s">
        <v>938</v>
      </c>
      <c r="K702" t="s">
        <v>1380</v>
      </c>
      <c r="O702" s="1"/>
      <c r="P702" s="1"/>
      <c r="Q702" s="1"/>
      <c r="R702" s="1"/>
    </row>
    <row r="703" spans="1:18" x14ac:dyDescent="0.35">
      <c r="D703" t="s">
        <v>1314</v>
      </c>
      <c r="E703" t="s">
        <v>1082</v>
      </c>
      <c r="F703" t="s">
        <v>938</v>
      </c>
      <c r="G703" t="s">
        <v>1670</v>
      </c>
      <c r="I703" t="s">
        <v>1082</v>
      </c>
      <c r="J703" t="s">
        <v>938</v>
      </c>
      <c r="K703" t="s">
        <v>1517</v>
      </c>
      <c r="O703" s="1"/>
      <c r="P703" s="1"/>
      <c r="Q703" s="1"/>
      <c r="R703" s="1"/>
    </row>
    <row r="704" spans="1:18" x14ac:dyDescent="0.35">
      <c r="D704" t="s">
        <v>177</v>
      </c>
      <c r="E704" t="s">
        <v>1081</v>
      </c>
      <c r="F704" t="s">
        <v>956</v>
      </c>
      <c r="G704" t="s">
        <v>1380</v>
      </c>
      <c r="I704" t="s">
        <v>1082</v>
      </c>
      <c r="J704" t="s">
        <v>938</v>
      </c>
      <c r="K704" s="12" t="s">
        <v>1407</v>
      </c>
      <c r="O704" s="1"/>
      <c r="P704" s="1"/>
      <c r="Q704" s="1"/>
      <c r="R704" s="1"/>
    </row>
    <row r="705" spans="4:18" x14ac:dyDescent="0.35">
      <c r="D705" t="s">
        <v>1315</v>
      </c>
      <c r="E705" t="s">
        <v>1082</v>
      </c>
      <c r="F705" t="s">
        <v>938</v>
      </c>
      <c r="G705" t="s">
        <v>1407</v>
      </c>
      <c r="I705" t="s">
        <v>1308</v>
      </c>
      <c r="J705" t="s">
        <v>938</v>
      </c>
      <c r="K705" t="s">
        <v>1380</v>
      </c>
      <c r="O705" s="1"/>
      <c r="P705" s="1"/>
      <c r="Q705" s="1"/>
      <c r="R705" s="1"/>
    </row>
    <row r="706" spans="4:18" x14ac:dyDescent="0.35">
      <c r="D706" t="s">
        <v>149</v>
      </c>
      <c r="E706" t="s">
        <v>1082</v>
      </c>
      <c r="F706" t="s">
        <v>938</v>
      </c>
      <c r="G706" t="s">
        <v>1407</v>
      </c>
      <c r="I706" t="s">
        <v>1082</v>
      </c>
      <c r="J706" t="s">
        <v>938</v>
      </c>
      <c r="K706" t="s">
        <v>1670</v>
      </c>
      <c r="O706" s="1"/>
      <c r="P706" s="1"/>
      <c r="Q706" s="1"/>
      <c r="R706" s="1"/>
    </row>
    <row r="707" spans="4:18" x14ac:dyDescent="0.35">
      <c r="D707" t="s">
        <v>1314</v>
      </c>
      <c r="E707" t="s">
        <v>1082</v>
      </c>
      <c r="F707" t="s">
        <v>938</v>
      </c>
      <c r="G707" t="s">
        <v>1407</v>
      </c>
      <c r="I707" t="s">
        <v>1082</v>
      </c>
      <c r="J707" t="s">
        <v>938</v>
      </c>
      <c r="K707" t="s">
        <v>1517</v>
      </c>
      <c r="O707" s="1"/>
      <c r="P707" s="1" t="s">
        <v>1356</v>
      </c>
      <c r="Q707" s="1" t="s">
        <v>1673</v>
      </c>
      <c r="R707" s="1"/>
    </row>
    <row r="708" spans="4:18" x14ac:dyDescent="0.35">
      <c r="D708" t="s">
        <v>177</v>
      </c>
      <c r="E708" t="s">
        <v>1081</v>
      </c>
      <c r="F708" t="s">
        <v>956</v>
      </c>
      <c r="G708" t="s">
        <v>1380</v>
      </c>
      <c r="I708" t="s">
        <v>1082</v>
      </c>
      <c r="J708" t="s">
        <v>938</v>
      </c>
      <c r="K708" s="12" t="s">
        <v>1408</v>
      </c>
      <c r="O708" s="1"/>
      <c r="P708" s="1"/>
      <c r="Q708" s="1"/>
      <c r="R708" s="1"/>
    </row>
    <row r="709" spans="4:18" x14ac:dyDescent="0.35">
      <c r="D709" t="s">
        <v>1315</v>
      </c>
      <c r="E709" t="s">
        <v>1082</v>
      </c>
      <c r="F709" t="s">
        <v>938</v>
      </c>
      <c r="G709" t="s">
        <v>1408</v>
      </c>
      <c r="I709" t="s">
        <v>1308</v>
      </c>
      <c r="J709" t="s">
        <v>938</v>
      </c>
      <c r="K709" t="s">
        <v>1380</v>
      </c>
      <c r="O709" s="1"/>
      <c r="P709" s="1"/>
      <c r="Q709" s="1"/>
      <c r="R709" s="1"/>
    </row>
    <row r="710" spans="4:18" x14ac:dyDescent="0.35">
      <c r="D710" t="s">
        <v>2215</v>
      </c>
      <c r="E710" t="s">
        <v>1082</v>
      </c>
      <c r="F710" t="s">
        <v>938</v>
      </c>
      <c r="G710" t="s">
        <v>1408</v>
      </c>
      <c r="I710" t="s">
        <v>1082</v>
      </c>
      <c r="J710" t="s">
        <v>938</v>
      </c>
      <c r="K710" t="s">
        <v>1407</v>
      </c>
      <c r="O710" s="1"/>
      <c r="P710" s="1"/>
      <c r="Q710" s="1"/>
      <c r="R710" s="1"/>
    </row>
    <row r="711" spans="4:18" x14ac:dyDescent="0.35">
      <c r="D711" t="s">
        <v>2215</v>
      </c>
      <c r="E711" t="s">
        <v>1082</v>
      </c>
      <c r="F711" t="s">
        <v>938</v>
      </c>
      <c r="G711" t="s">
        <v>1408</v>
      </c>
      <c r="I711" t="s">
        <v>1082</v>
      </c>
      <c r="J711" t="s">
        <v>938</v>
      </c>
      <c r="K711" t="s">
        <v>1670</v>
      </c>
      <c r="O711" s="1"/>
      <c r="P711" s="1"/>
      <c r="Q711" s="1"/>
      <c r="R711" s="1"/>
    </row>
    <row r="712" spans="4:18" x14ac:dyDescent="0.35">
      <c r="D712" t="s">
        <v>1314</v>
      </c>
      <c r="E712" t="s">
        <v>1082</v>
      </c>
      <c r="F712" t="s">
        <v>938</v>
      </c>
      <c r="G712" t="s">
        <v>1408</v>
      </c>
      <c r="I712" t="s">
        <v>1082</v>
      </c>
      <c r="J712" t="s">
        <v>938</v>
      </c>
      <c r="K712" t="s">
        <v>1517</v>
      </c>
      <c r="O712" s="1"/>
      <c r="P712" s="1" t="s">
        <v>1356</v>
      </c>
      <c r="Q712" s="1" t="s">
        <v>1674</v>
      </c>
      <c r="R712" s="1"/>
    </row>
    <row r="713" spans="4:18" x14ac:dyDescent="0.35">
      <c r="D713" t="s">
        <v>177</v>
      </c>
      <c r="E713" t="s">
        <v>1081</v>
      </c>
      <c r="F713" t="s">
        <v>956</v>
      </c>
      <c r="G713" t="s">
        <v>1380</v>
      </c>
      <c r="I713" t="s">
        <v>1082</v>
      </c>
      <c r="J713" t="s">
        <v>938</v>
      </c>
      <c r="K713" s="12" t="s">
        <v>1409</v>
      </c>
      <c r="O713" s="1"/>
      <c r="P713" s="1"/>
      <c r="Q713" s="1"/>
      <c r="R713" s="1"/>
    </row>
    <row r="714" spans="4:18" x14ac:dyDescent="0.35">
      <c r="D714" t="s">
        <v>1315</v>
      </c>
      <c r="E714" t="s">
        <v>1082</v>
      </c>
      <c r="F714" t="s">
        <v>938</v>
      </c>
      <c r="G714" t="s">
        <v>1409</v>
      </c>
      <c r="I714" t="s">
        <v>1308</v>
      </c>
      <c r="J714" t="s">
        <v>938</v>
      </c>
      <c r="K714" t="s">
        <v>1380</v>
      </c>
      <c r="O714" s="1"/>
      <c r="P714" s="1"/>
      <c r="Q714" s="1"/>
      <c r="R714" s="1"/>
    </row>
    <row r="715" spans="4:18" x14ac:dyDescent="0.35">
      <c r="D715" t="s">
        <v>2215</v>
      </c>
      <c r="E715" t="s">
        <v>1082</v>
      </c>
      <c r="F715" t="s">
        <v>938</v>
      </c>
      <c r="G715" t="s">
        <v>1409</v>
      </c>
      <c r="I715" t="s">
        <v>1082</v>
      </c>
      <c r="J715" t="s">
        <v>938</v>
      </c>
      <c r="K715" t="s">
        <v>1408</v>
      </c>
      <c r="O715" s="1"/>
      <c r="P715" s="1"/>
      <c r="Q715" s="1"/>
      <c r="R715" s="1"/>
    </row>
    <row r="716" spans="4:18" x14ac:dyDescent="0.35">
      <c r="D716" t="s">
        <v>2215</v>
      </c>
      <c r="E716" t="s">
        <v>1082</v>
      </c>
      <c r="F716" t="s">
        <v>938</v>
      </c>
      <c r="G716" t="s">
        <v>1409</v>
      </c>
      <c r="I716" t="s">
        <v>1082</v>
      </c>
      <c r="J716" t="s">
        <v>938</v>
      </c>
      <c r="K716" t="s">
        <v>2848</v>
      </c>
      <c r="O716" s="1"/>
      <c r="P716" s="1"/>
      <c r="Q716" s="1"/>
      <c r="R716" s="1"/>
    </row>
    <row r="717" spans="4:18" x14ac:dyDescent="0.35">
      <c r="D717" t="s">
        <v>1314</v>
      </c>
      <c r="E717" t="s">
        <v>1082</v>
      </c>
      <c r="F717" t="s">
        <v>938</v>
      </c>
      <c r="G717" t="s">
        <v>1409</v>
      </c>
      <c r="I717" t="s">
        <v>1308</v>
      </c>
      <c r="J717" t="s">
        <v>938</v>
      </c>
      <c r="K717" t="s">
        <v>1675</v>
      </c>
      <c r="O717" s="1"/>
      <c r="P717" s="1" t="s">
        <v>1356</v>
      </c>
      <c r="Q717" s="1" t="s">
        <v>1678</v>
      </c>
      <c r="R717" s="1"/>
    </row>
    <row r="718" spans="4:18" x14ac:dyDescent="0.35">
      <c r="D718" t="s">
        <v>177</v>
      </c>
      <c r="E718" t="s">
        <v>1081</v>
      </c>
      <c r="F718" t="s">
        <v>956</v>
      </c>
      <c r="G718" t="s">
        <v>1380</v>
      </c>
      <c r="I718" t="s">
        <v>1082</v>
      </c>
      <c r="J718" t="s">
        <v>938</v>
      </c>
      <c r="K718" s="12" t="s">
        <v>1410</v>
      </c>
      <c r="O718" s="1"/>
      <c r="P718" s="1"/>
      <c r="Q718" s="1"/>
      <c r="R718" s="1"/>
    </row>
    <row r="719" spans="4:18" x14ac:dyDescent="0.35">
      <c r="D719" t="s">
        <v>1315</v>
      </c>
      <c r="E719" t="s">
        <v>1082</v>
      </c>
      <c r="F719" t="s">
        <v>938</v>
      </c>
      <c r="G719" t="s">
        <v>1410</v>
      </c>
      <c r="I719" t="s">
        <v>1308</v>
      </c>
      <c r="J719" t="s">
        <v>938</v>
      </c>
      <c r="K719" t="s">
        <v>1380</v>
      </c>
      <c r="O719" s="1"/>
      <c r="P719" s="1"/>
      <c r="Q719" s="1"/>
      <c r="R719" s="1"/>
    </row>
    <row r="720" spans="4:18" x14ac:dyDescent="0.35">
      <c r="D720" t="s">
        <v>2215</v>
      </c>
      <c r="E720" t="s">
        <v>1082</v>
      </c>
      <c r="F720" t="s">
        <v>938</v>
      </c>
      <c r="G720" t="s">
        <v>1410</v>
      </c>
      <c r="I720" t="s">
        <v>1082</v>
      </c>
      <c r="J720" t="s">
        <v>938</v>
      </c>
      <c r="K720" t="s">
        <v>1409</v>
      </c>
      <c r="O720" s="1"/>
      <c r="P720" s="1"/>
      <c r="Q720" s="1"/>
      <c r="R720" s="1"/>
    </row>
    <row r="721" spans="4:18" x14ac:dyDescent="0.35">
      <c r="D721" t="s">
        <v>177</v>
      </c>
      <c r="E721" t="s">
        <v>1081</v>
      </c>
      <c r="F721" t="s">
        <v>956</v>
      </c>
      <c r="G721" t="s">
        <v>1380</v>
      </c>
      <c r="I721" t="s">
        <v>1082</v>
      </c>
      <c r="J721" t="s">
        <v>938</v>
      </c>
      <c r="K721" s="12" t="s">
        <v>1396</v>
      </c>
      <c r="O721" s="1"/>
      <c r="P721" s="1"/>
      <c r="Q721" s="1"/>
      <c r="R721" s="1"/>
    </row>
    <row r="722" spans="4:18" x14ac:dyDescent="0.35">
      <c r="D722" t="s">
        <v>1315</v>
      </c>
      <c r="E722" t="s">
        <v>1082</v>
      </c>
      <c r="F722" t="s">
        <v>938</v>
      </c>
      <c r="G722" t="s">
        <v>1396</v>
      </c>
      <c r="I722" t="s">
        <v>1308</v>
      </c>
      <c r="J722" t="s">
        <v>938</v>
      </c>
      <c r="K722" t="s">
        <v>1380</v>
      </c>
      <c r="O722" s="1"/>
      <c r="P722" s="1"/>
      <c r="Q722" s="1"/>
      <c r="R722" s="1"/>
    </row>
    <row r="723" spans="4:18" x14ac:dyDescent="0.35">
      <c r="D723" t="s">
        <v>2215</v>
      </c>
      <c r="E723" t="s">
        <v>1082</v>
      </c>
      <c r="F723" t="s">
        <v>938</v>
      </c>
      <c r="G723" t="s">
        <v>1396</v>
      </c>
      <c r="I723" t="s">
        <v>1082</v>
      </c>
      <c r="J723" t="s">
        <v>938</v>
      </c>
      <c r="K723" t="s">
        <v>1410</v>
      </c>
      <c r="O723" s="1"/>
      <c r="P723" s="1"/>
      <c r="Q723" s="1"/>
      <c r="R723" s="1"/>
    </row>
    <row r="724" spans="4:18" x14ac:dyDescent="0.35">
      <c r="D724" t="s">
        <v>1314</v>
      </c>
      <c r="E724" t="s">
        <v>1082</v>
      </c>
      <c r="F724" t="s">
        <v>938</v>
      </c>
      <c r="G724" t="s">
        <v>1396</v>
      </c>
      <c r="I724" t="s">
        <v>1082</v>
      </c>
      <c r="J724" t="s">
        <v>938</v>
      </c>
      <c r="K724" t="s">
        <v>1582</v>
      </c>
      <c r="O724" s="1"/>
      <c r="P724" s="1" t="s">
        <v>1356</v>
      </c>
      <c r="Q724" s="1" t="s">
        <v>1680</v>
      </c>
      <c r="R724" s="1"/>
    </row>
    <row r="725" spans="4:18" x14ac:dyDescent="0.35">
      <c r="D725" t="s">
        <v>177</v>
      </c>
      <c r="E725" t="s">
        <v>1081</v>
      </c>
      <c r="F725" t="s">
        <v>956</v>
      </c>
      <c r="G725" t="s">
        <v>1380</v>
      </c>
      <c r="I725" t="s">
        <v>1082</v>
      </c>
      <c r="J725" t="s">
        <v>938</v>
      </c>
      <c r="K725" s="12" t="s">
        <v>1411</v>
      </c>
      <c r="O725" s="1"/>
      <c r="P725" s="1"/>
      <c r="Q725" s="1"/>
      <c r="R725" s="1"/>
    </row>
    <row r="726" spans="4:18" x14ac:dyDescent="0.35">
      <c r="D726" t="s">
        <v>1315</v>
      </c>
      <c r="E726" t="s">
        <v>1082</v>
      </c>
      <c r="F726" t="s">
        <v>938</v>
      </c>
      <c r="G726" t="s">
        <v>1411</v>
      </c>
      <c r="I726" t="s">
        <v>1308</v>
      </c>
      <c r="J726" t="s">
        <v>938</v>
      </c>
      <c r="K726" t="s">
        <v>1380</v>
      </c>
      <c r="O726" s="1"/>
      <c r="P726" s="1"/>
      <c r="Q726" s="1"/>
      <c r="R726" s="1"/>
    </row>
    <row r="727" spans="4:18" x14ac:dyDescent="0.35">
      <c r="D727" t="s">
        <v>2215</v>
      </c>
      <c r="E727" t="s">
        <v>1082</v>
      </c>
      <c r="F727" t="s">
        <v>938</v>
      </c>
      <c r="G727" t="s">
        <v>1411</v>
      </c>
      <c r="I727" t="s">
        <v>1082</v>
      </c>
      <c r="J727" t="s">
        <v>938</v>
      </c>
      <c r="K727" t="s">
        <v>1396</v>
      </c>
      <c r="O727" s="1"/>
      <c r="P727" s="1"/>
      <c r="Q727" s="1"/>
      <c r="R727" s="1"/>
    </row>
    <row r="728" spans="4:18" x14ac:dyDescent="0.35">
      <c r="D728" t="s">
        <v>1314</v>
      </c>
      <c r="E728" t="s">
        <v>1082</v>
      </c>
      <c r="F728" t="s">
        <v>938</v>
      </c>
      <c r="G728" t="s">
        <v>1411</v>
      </c>
      <c r="I728" t="s">
        <v>1308</v>
      </c>
      <c r="J728" t="s">
        <v>938</v>
      </c>
      <c r="K728" t="s">
        <v>1681</v>
      </c>
      <c r="O728" s="1"/>
      <c r="P728" s="1" t="s">
        <v>1356</v>
      </c>
      <c r="Q728" s="1" t="s">
        <v>1684</v>
      </c>
      <c r="R728" s="1"/>
    </row>
    <row r="729" spans="4:18" x14ac:dyDescent="0.35">
      <c r="D729" t="s">
        <v>177</v>
      </c>
      <c r="E729" t="s">
        <v>1081</v>
      </c>
      <c r="F729" t="s">
        <v>956</v>
      </c>
      <c r="G729" t="s">
        <v>1380</v>
      </c>
      <c r="I729" t="s">
        <v>1082</v>
      </c>
      <c r="J729" t="s">
        <v>938</v>
      </c>
      <c r="K729" s="12" t="s">
        <v>1412</v>
      </c>
      <c r="O729" s="1"/>
      <c r="P729" s="1"/>
      <c r="Q729" s="1"/>
      <c r="R729" s="1"/>
    </row>
    <row r="730" spans="4:18" x14ac:dyDescent="0.35">
      <c r="D730" t="s">
        <v>1315</v>
      </c>
      <c r="E730" t="s">
        <v>1082</v>
      </c>
      <c r="F730" t="s">
        <v>938</v>
      </c>
      <c r="G730" t="s">
        <v>1412</v>
      </c>
      <c r="I730" t="s">
        <v>1308</v>
      </c>
      <c r="J730" t="s">
        <v>938</v>
      </c>
      <c r="K730" t="s">
        <v>1380</v>
      </c>
      <c r="O730" s="1"/>
      <c r="P730" s="1"/>
      <c r="Q730" s="1"/>
      <c r="R730" s="1"/>
    </row>
    <row r="731" spans="4:18" x14ac:dyDescent="0.35">
      <c r="D731" t="s">
        <v>2215</v>
      </c>
      <c r="E731" t="s">
        <v>1082</v>
      </c>
      <c r="F731" t="s">
        <v>938</v>
      </c>
      <c r="G731" t="s">
        <v>1412</v>
      </c>
      <c r="I731" t="s">
        <v>1082</v>
      </c>
      <c r="J731" t="s">
        <v>938</v>
      </c>
      <c r="K731" t="s">
        <v>1411</v>
      </c>
      <c r="O731" s="1"/>
      <c r="P731" s="1"/>
      <c r="Q731" s="1"/>
      <c r="R731" s="1"/>
    </row>
    <row r="732" spans="4:18" x14ac:dyDescent="0.35">
      <c r="D732" t="s">
        <v>1314</v>
      </c>
      <c r="E732" t="s">
        <v>1082</v>
      </c>
      <c r="F732" t="s">
        <v>938</v>
      </c>
      <c r="G732" t="s">
        <v>1412</v>
      </c>
      <c r="I732" t="s">
        <v>1308</v>
      </c>
      <c r="J732" t="s">
        <v>938</v>
      </c>
      <c r="K732" t="s">
        <v>1686</v>
      </c>
      <c r="O732" s="1"/>
      <c r="P732" s="1" t="s">
        <v>1356</v>
      </c>
      <c r="Q732" s="1" t="s">
        <v>1689</v>
      </c>
      <c r="R732" s="1"/>
    </row>
    <row r="733" spans="4:18" x14ac:dyDescent="0.35">
      <c r="D733" t="s">
        <v>177</v>
      </c>
      <c r="E733" t="s">
        <v>1081</v>
      </c>
      <c r="F733" t="s">
        <v>956</v>
      </c>
      <c r="G733" t="s">
        <v>1380</v>
      </c>
      <c r="I733" t="s">
        <v>1082</v>
      </c>
      <c r="J733" t="s">
        <v>938</v>
      </c>
      <c r="K733" s="12" t="s">
        <v>1413</v>
      </c>
      <c r="O733" s="1"/>
      <c r="P733" s="1"/>
      <c r="Q733" s="1"/>
      <c r="R733" s="1"/>
    </row>
    <row r="734" spans="4:18" x14ac:dyDescent="0.35">
      <c r="D734" t="s">
        <v>1315</v>
      </c>
      <c r="E734" t="s">
        <v>1082</v>
      </c>
      <c r="F734" t="s">
        <v>938</v>
      </c>
      <c r="G734" t="s">
        <v>1413</v>
      </c>
      <c r="I734" t="s">
        <v>1308</v>
      </c>
      <c r="J734" t="s">
        <v>938</v>
      </c>
      <c r="K734" t="s">
        <v>1380</v>
      </c>
      <c r="O734" s="1"/>
      <c r="P734" s="1"/>
      <c r="Q734" s="1"/>
      <c r="R734" s="1"/>
    </row>
    <row r="735" spans="4:18" x14ac:dyDescent="0.35">
      <c r="D735" t="s">
        <v>2215</v>
      </c>
      <c r="E735" t="s">
        <v>1082</v>
      </c>
      <c r="F735" t="s">
        <v>938</v>
      </c>
      <c r="G735" t="s">
        <v>1413</v>
      </c>
      <c r="I735" t="s">
        <v>1082</v>
      </c>
      <c r="J735" t="s">
        <v>938</v>
      </c>
      <c r="K735" t="s">
        <v>1412</v>
      </c>
      <c r="O735" s="1"/>
      <c r="P735" s="1"/>
      <c r="Q735" s="1"/>
      <c r="R735" s="1"/>
    </row>
    <row r="736" spans="4:18" x14ac:dyDescent="0.35">
      <c r="D736" t="s">
        <v>1314</v>
      </c>
      <c r="E736" t="s">
        <v>1082</v>
      </c>
      <c r="F736" t="s">
        <v>938</v>
      </c>
      <c r="G736" t="s">
        <v>1413</v>
      </c>
      <c r="I736" t="s">
        <v>1082</v>
      </c>
      <c r="J736" t="s">
        <v>938</v>
      </c>
      <c r="K736" t="s">
        <v>1590</v>
      </c>
      <c r="O736" s="1"/>
      <c r="P736" s="1" t="s">
        <v>1356</v>
      </c>
      <c r="Q736" s="1" t="s">
        <v>1690</v>
      </c>
      <c r="R736" s="1"/>
    </row>
    <row r="737" spans="4:18" x14ac:dyDescent="0.35">
      <c r="D737" t="s">
        <v>177</v>
      </c>
      <c r="E737" t="s">
        <v>1081</v>
      </c>
      <c r="F737" t="s">
        <v>956</v>
      </c>
      <c r="G737" t="s">
        <v>1380</v>
      </c>
      <c r="I737" t="s">
        <v>1082</v>
      </c>
      <c r="J737" t="s">
        <v>938</v>
      </c>
      <c r="K737" s="12" t="s">
        <v>1414</v>
      </c>
      <c r="O737" s="1"/>
      <c r="P737" s="1"/>
      <c r="Q737" s="1"/>
      <c r="R737" s="1"/>
    </row>
    <row r="738" spans="4:18" x14ac:dyDescent="0.35">
      <c r="D738" t="s">
        <v>1315</v>
      </c>
      <c r="E738" t="s">
        <v>1082</v>
      </c>
      <c r="F738" t="s">
        <v>938</v>
      </c>
      <c r="G738" t="s">
        <v>1414</v>
      </c>
      <c r="I738" t="s">
        <v>1308</v>
      </c>
      <c r="J738" t="s">
        <v>938</v>
      </c>
      <c r="K738" t="s">
        <v>1380</v>
      </c>
      <c r="O738" s="1"/>
      <c r="P738" s="1"/>
      <c r="Q738" s="1"/>
      <c r="R738" s="1"/>
    </row>
    <row r="739" spans="4:18" x14ac:dyDescent="0.35">
      <c r="D739" t="s">
        <v>2215</v>
      </c>
      <c r="E739" t="s">
        <v>1082</v>
      </c>
      <c r="F739" t="s">
        <v>938</v>
      </c>
      <c r="G739" t="s">
        <v>1414</v>
      </c>
      <c r="I739" t="s">
        <v>1082</v>
      </c>
      <c r="J739" t="s">
        <v>938</v>
      </c>
      <c r="K739" t="s">
        <v>1413</v>
      </c>
      <c r="O739" s="1"/>
      <c r="P739" s="1"/>
      <c r="Q739" s="1"/>
      <c r="R739" s="1"/>
    </row>
    <row r="740" spans="4:18" x14ac:dyDescent="0.35">
      <c r="D740" t="s">
        <v>1314</v>
      </c>
      <c r="E740" t="s">
        <v>1082</v>
      </c>
      <c r="F740" t="s">
        <v>938</v>
      </c>
      <c r="G740" t="s">
        <v>1414</v>
      </c>
      <c r="I740" t="s">
        <v>1308</v>
      </c>
      <c r="J740" t="s">
        <v>938</v>
      </c>
      <c r="K740" t="s">
        <v>1692</v>
      </c>
      <c r="O740" s="1"/>
      <c r="P740" s="1" t="s">
        <v>1356</v>
      </c>
      <c r="Q740" s="1" t="s">
        <v>1706</v>
      </c>
      <c r="R740" s="1"/>
    </row>
    <row r="741" spans="4:18" x14ac:dyDescent="0.35">
      <c r="D741" t="s">
        <v>177</v>
      </c>
      <c r="E741" t="s">
        <v>1081</v>
      </c>
      <c r="F741" t="s">
        <v>956</v>
      </c>
      <c r="G741" t="s">
        <v>1380</v>
      </c>
      <c r="I741" t="s">
        <v>1082</v>
      </c>
      <c r="J741" t="s">
        <v>938</v>
      </c>
      <c r="K741" s="12" t="s">
        <v>1424</v>
      </c>
      <c r="O741" s="1"/>
      <c r="P741" s="1"/>
      <c r="Q741" s="1"/>
      <c r="R741" s="1"/>
    </row>
    <row r="742" spans="4:18" x14ac:dyDescent="0.35">
      <c r="D742" t="s">
        <v>1315</v>
      </c>
      <c r="E742" t="s">
        <v>1082</v>
      </c>
      <c r="F742" t="s">
        <v>938</v>
      </c>
      <c r="G742" t="s">
        <v>1424</v>
      </c>
      <c r="I742" t="s">
        <v>1308</v>
      </c>
      <c r="J742" t="s">
        <v>938</v>
      </c>
      <c r="K742" t="s">
        <v>1380</v>
      </c>
      <c r="O742" s="1"/>
      <c r="P742" s="1"/>
      <c r="Q742" s="1"/>
      <c r="R742" s="1"/>
    </row>
    <row r="743" spans="4:18" x14ac:dyDescent="0.35">
      <c r="D743" t="s">
        <v>2215</v>
      </c>
      <c r="E743" t="s">
        <v>1082</v>
      </c>
      <c r="F743" t="s">
        <v>938</v>
      </c>
      <c r="G743" t="s">
        <v>1424</v>
      </c>
      <c r="I743" t="s">
        <v>1082</v>
      </c>
      <c r="J743" t="s">
        <v>938</v>
      </c>
      <c r="K743" t="s">
        <v>1414</v>
      </c>
      <c r="O743" s="1"/>
      <c r="P743" s="1"/>
      <c r="Q743" s="1"/>
      <c r="R743" s="1"/>
    </row>
    <row r="744" spans="4:18" x14ac:dyDescent="0.35">
      <c r="D744" t="s">
        <v>1314</v>
      </c>
      <c r="E744" t="s">
        <v>1082</v>
      </c>
      <c r="F744" t="s">
        <v>938</v>
      </c>
      <c r="G744" t="s">
        <v>1424</v>
      </c>
      <c r="I744" t="s">
        <v>1308</v>
      </c>
      <c r="J744" t="s">
        <v>938</v>
      </c>
      <c r="K744" t="s">
        <v>1696</v>
      </c>
      <c r="O744" s="1"/>
      <c r="P744" s="1" t="s">
        <v>1356</v>
      </c>
      <c r="Q744" s="1" t="s">
        <v>1708</v>
      </c>
      <c r="R744" s="1"/>
    </row>
    <row r="745" spans="4:18" x14ac:dyDescent="0.35">
      <c r="D745" t="s">
        <v>177</v>
      </c>
      <c r="E745" t="s">
        <v>1081</v>
      </c>
      <c r="F745" t="s">
        <v>956</v>
      </c>
      <c r="G745" t="s">
        <v>1380</v>
      </c>
      <c r="I745" t="s">
        <v>1082</v>
      </c>
      <c r="J745" t="s">
        <v>938</v>
      </c>
      <c r="K745" s="12" t="s">
        <v>1428</v>
      </c>
      <c r="O745" s="1"/>
      <c r="P745" s="1"/>
      <c r="Q745" s="1"/>
      <c r="R745" s="1"/>
    </row>
    <row r="746" spans="4:18" x14ac:dyDescent="0.35">
      <c r="D746" t="s">
        <v>1315</v>
      </c>
      <c r="E746" t="s">
        <v>1082</v>
      </c>
      <c r="F746" t="s">
        <v>938</v>
      </c>
      <c r="G746" t="s">
        <v>1428</v>
      </c>
      <c r="I746" t="s">
        <v>1308</v>
      </c>
      <c r="J746" t="s">
        <v>938</v>
      </c>
      <c r="K746" t="s">
        <v>1380</v>
      </c>
      <c r="O746" s="1"/>
      <c r="P746" s="1"/>
      <c r="Q746" s="1"/>
      <c r="R746" s="1"/>
    </row>
    <row r="747" spans="4:18" x14ac:dyDescent="0.35">
      <c r="D747" t="s">
        <v>2215</v>
      </c>
      <c r="E747" t="s">
        <v>1082</v>
      </c>
      <c r="F747" t="s">
        <v>938</v>
      </c>
      <c r="G747" t="s">
        <v>1428</v>
      </c>
      <c r="I747" t="s">
        <v>1082</v>
      </c>
      <c r="J747" t="s">
        <v>938</v>
      </c>
      <c r="K747" t="s">
        <v>1424</v>
      </c>
      <c r="O747" s="1"/>
      <c r="P747" s="1"/>
      <c r="Q747" s="1"/>
      <c r="R747" s="1"/>
    </row>
    <row r="748" spans="4:18" x14ac:dyDescent="0.35">
      <c r="D748" t="s">
        <v>1314</v>
      </c>
      <c r="E748" t="s">
        <v>1082</v>
      </c>
      <c r="F748" t="s">
        <v>938</v>
      </c>
      <c r="G748" t="s">
        <v>1428</v>
      </c>
      <c r="I748" t="s">
        <v>1308</v>
      </c>
      <c r="J748" t="s">
        <v>938</v>
      </c>
      <c r="K748" t="s">
        <v>1698</v>
      </c>
      <c r="O748" s="1"/>
      <c r="P748" s="1" t="s">
        <v>1356</v>
      </c>
      <c r="Q748" s="1" t="s">
        <v>1709</v>
      </c>
      <c r="R748" s="1"/>
    </row>
    <row r="749" spans="4:18" x14ac:dyDescent="0.35">
      <c r="D749" t="s">
        <v>177</v>
      </c>
      <c r="E749" t="s">
        <v>1081</v>
      </c>
      <c r="F749" t="s">
        <v>956</v>
      </c>
      <c r="G749" t="s">
        <v>1380</v>
      </c>
      <c r="I749" t="s">
        <v>1082</v>
      </c>
      <c r="J749" t="s">
        <v>938</v>
      </c>
      <c r="K749" s="12" t="s">
        <v>1432</v>
      </c>
      <c r="O749" s="1"/>
      <c r="P749" s="1"/>
      <c r="Q749" s="1"/>
      <c r="R749" s="1"/>
    </row>
    <row r="750" spans="4:18" x14ac:dyDescent="0.35">
      <c r="D750" t="s">
        <v>1315</v>
      </c>
      <c r="E750" t="s">
        <v>1082</v>
      </c>
      <c r="F750" t="s">
        <v>938</v>
      </c>
      <c r="G750" t="s">
        <v>1432</v>
      </c>
      <c r="I750" t="s">
        <v>1308</v>
      </c>
      <c r="J750" t="s">
        <v>938</v>
      </c>
      <c r="K750" t="s">
        <v>1380</v>
      </c>
      <c r="O750" s="1"/>
      <c r="P750" s="1"/>
      <c r="Q750" s="1"/>
      <c r="R750" s="1"/>
    </row>
    <row r="751" spans="4:18" x14ac:dyDescent="0.35">
      <c r="D751" t="s">
        <v>2215</v>
      </c>
      <c r="E751" t="s">
        <v>1082</v>
      </c>
      <c r="F751" t="s">
        <v>938</v>
      </c>
      <c r="G751" t="s">
        <v>1432</v>
      </c>
      <c r="I751" t="s">
        <v>1082</v>
      </c>
      <c r="J751" t="s">
        <v>938</v>
      </c>
      <c r="K751" t="s">
        <v>1428</v>
      </c>
      <c r="O751" s="1"/>
      <c r="P751" s="1"/>
      <c r="Q751" s="1"/>
      <c r="R751" s="1"/>
    </row>
    <row r="752" spans="4:18" x14ac:dyDescent="0.35">
      <c r="D752" t="s">
        <v>1314</v>
      </c>
      <c r="E752" t="s">
        <v>1082</v>
      </c>
      <c r="F752" t="s">
        <v>938</v>
      </c>
      <c r="G752" t="s">
        <v>1432</v>
      </c>
      <c r="I752" t="s">
        <v>1308</v>
      </c>
      <c r="J752" t="s">
        <v>938</v>
      </c>
      <c r="K752" t="s">
        <v>1700</v>
      </c>
      <c r="O752" s="1"/>
      <c r="P752" s="1" t="s">
        <v>1356</v>
      </c>
      <c r="Q752" s="1" t="s">
        <v>1710</v>
      </c>
      <c r="R752" s="1"/>
    </row>
    <row r="753" spans="4:18" x14ac:dyDescent="0.35">
      <c r="D753" t="s">
        <v>177</v>
      </c>
      <c r="E753" t="s">
        <v>1081</v>
      </c>
      <c r="F753" t="s">
        <v>956</v>
      </c>
      <c r="G753" t="s">
        <v>1380</v>
      </c>
      <c r="I753" t="s">
        <v>1082</v>
      </c>
      <c r="J753" t="s">
        <v>938</v>
      </c>
      <c r="K753" s="12" t="s">
        <v>1436</v>
      </c>
      <c r="O753" s="1"/>
      <c r="P753" s="1"/>
      <c r="Q753" s="1"/>
      <c r="R753" s="1"/>
    </row>
    <row r="754" spans="4:18" x14ac:dyDescent="0.35">
      <c r="D754" t="s">
        <v>1315</v>
      </c>
      <c r="E754" t="s">
        <v>1082</v>
      </c>
      <c r="F754" t="s">
        <v>938</v>
      </c>
      <c r="G754" t="s">
        <v>1436</v>
      </c>
      <c r="I754" t="s">
        <v>1308</v>
      </c>
      <c r="J754" t="s">
        <v>938</v>
      </c>
      <c r="K754" t="s">
        <v>1380</v>
      </c>
      <c r="O754" s="1"/>
      <c r="P754" s="1"/>
      <c r="Q754" s="1"/>
      <c r="R754" s="1"/>
    </row>
    <row r="755" spans="4:18" x14ac:dyDescent="0.35">
      <c r="D755" t="s">
        <v>2215</v>
      </c>
      <c r="E755" t="s">
        <v>1082</v>
      </c>
      <c r="F755" t="s">
        <v>938</v>
      </c>
      <c r="G755" t="s">
        <v>1436</v>
      </c>
      <c r="I755" t="s">
        <v>1082</v>
      </c>
      <c r="J755" t="s">
        <v>938</v>
      </c>
      <c r="K755" t="s">
        <v>1432</v>
      </c>
      <c r="O755" s="1"/>
      <c r="P755" s="1"/>
      <c r="Q755" s="1"/>
      <c r="R755" s="1"/>
    </row>
    <row r="756" spans="4:18" x14ac:dyDescent="0.35">
      <c r="D756" t="s">
        <v>1314</v>
      </c>
      <c r="E756" t="s">
        <v>1082</v>
      </c>
      <c r="F756" t="s">
        <v>938</v>
      </c>
      <c r="G756" t="s">
        <v>1436</v>
      </c>
      <c r="I756" t="s">
        <v>1082</v>
      </c>
      <c r="J756" t="s">
        <v>938</v>
      </c>
      <c r="K756" t="s">
        <v>1614</v>
      </c>
      <c r="O756" s="1"/>
      <c r="P756" s="1" t="s">
        <v>1356</v>
      </c>
      <c r="Q756" s="1" t="s">
        <v>1711</v>
      </c>
      <c r="R756" s="1"/>
    </row>
    <row r="757" spans="4:18" x14ac:dyDescent="0.35">
      <c r="D757" t="s">
        <v>177</v>
      </c>
      <c r="E757" t="s">
        <v>1081</v>
      </c>
      <c r="F757" t="s">
        <v>956</v>
      </c>
      <c r="G757" t="s">
        <v>1380</v>
      </c>
      <c r="I757" t="s">
        <v>1082</v>
      </c>
      <c r="J757" t="s">
        <v>938</v>
      </c>
      <c r="K757" s="12" t="s">
        <v>1440</v>
      </c>
      <c r="O757" s="1"/>
      <c r="P757" s="1"/>
      <c r="Q757" s="1"/>
      <c r="R757" s="1"/>
    </row>
    <row r="758" spans="4:18" x14ac:dyDescent="0.35">
      <c r="D758" t="s">
        <v>1315</v>
      </c>
      <c r="E758" t="s">
        <v>1082</v>
      </c>
      <c r="F758" t="s">
        <v>938</v>
      </c>
      <c r="G758" t="s">
        <v>1440</v>
      </c>
      <c r="I758" t="s">
        <v>1308</v>
      </c>
      <c r="J758" t="s">
        <v>938</v>
      </c>
      <c r="K758" t="s">
        <v>1380</v>
      </c>
      <c r="O758" s="1"/>
      <c r="P758" s="1"/>
      <c r="Q758" s="1"/>
      <c r="R758" s="1"/>
    </row>
    <row r="759" spans="4:18" x14ac:dyDescent="0.35">
      <c r="D759" t="s">
        <v>2215</v>
      </c>
      <c r="E759" t="s">
        <v>1082</v>
      </c>
      <c r="F759" t="s">
        <v>938</v>
      </c>
      <c r="G759" t="s">
        <v>1440</v>
      </c>
      <c r="I759" t="s">
        <v>1082</v>
      </c>
      <c r="J759" t="s">
        <v>938</v>
      </c>
      <c r="K759" t="s">
        <v>1436</v>
      </c>
      <c r="O759" s="1"/>
      <c r="P759" s="1"/>
      <c r="Q759" s="1"/>
      <c r="R759" s="1"/>
    </row>
    <row r="760" spans="4:18" x14ac:dyDescent="0.35">
      <c r="D760" t="s">
        <v>1314</v>
      </c>
      <c r="E760" t="s">
        <v>1082</v>
      </c>
      <c r="F760" t="s">
        <v>938</v>
      </c>
      <c r="G760" t="s">
        <v>1440</v>
      </c>
      <c r="I760" t="s">
        <v>1082</v>
      </c>
      <c r="J760" t="s">
        <v>938</v>
      </c>
      <c r="K760" t="s">
        <v>1617</v>
      </c>
      <c r="O760" s="1"/>
      <c r="P760" s="1" t="s">
        <v>1356</v>
      </c>
      <c r="Q760" s="1" t="s">
        <v>1712</v>
      </c>
      <c r="R760" s="1"/>
    </row>
    <row r="761" spans="4:18" x14ac:dyDescent="0.35">
      <c r="D761" t="s">
        <v>177</v>
      </c>
      <c r="E761" t="s">
        <v>1081</v>
      </c>
      <c r="F761" t="s">
        <v>956</v>
      </c>
      <c r="G761" t="s">
        <v>1380</v>
      </c>
      <c r="I761" t="s">
        <v>1082</v>
      </c>
      <c r="J761" t="s">
        <v>938</v>
      </c>
      <c r="K761" s="12" t="s">
        <v>1445</v>
      </c>
      <c r="O761" s="1"/>
      <c r="P761" s="1"/>
      <c r="Q761" s="1"/>
      <c r="R761" s="1"/>
    </row>
    <row r="762" spans="4:18" x14ac:dyDescent="0.35">
      <c r="D762" t="s">
        <v>1315</v>
      </c>
      <c r="E762" t="s">
        <v>1082</v>
      </c>
      <c r="F762" t="s">
        <v>938</v>
      </c>
      <c r="G762" t="s">
        <v>1445</v>
      </c>
      <c r="I762" t="s">
        <v>1308</v>
      </c>
      <c r="J762" t="s">
        <v>938</v>
      </c>
      <c r="K762" t="s">
        <v>1380</v>
      </c>
      <c r="O762" s="1"/>
      <c r="P762" s="1"/>
      <c r="Q762" s="1"/>
      <c r="R762" s="1"/>
    </row>
    <row r="763" spans="4:18" x14ac:dyDescent="0.35">
      <c r="D763" t="s">
        <v>2215</v>
      </c>
      <c r="E763" t="s">
        <v>1082</v>
      </c>
      <c r="F763" t="s">
        <v>938</v>
      </c>
      <c r="G763" t="s">
        <v>1445</v>
      </c>
      <c r="I763" t="s">
        <v>1082</v>
      </c>
      <c r="J763" t="s">
        <v>938</v>
      </c>
      <c r="K763" t="s">
        <v>1440</v>
      </c>
      <c r="O763" s="1"/>
      <c r="P763" s="1"/>
      <c r="Q763" s="1"/>
      <c r="R763" s="1"/>
    </row>
    <row r="764" spans="4:18" x14ac:dyDescent="0.35">
      <c r="D764" t="s">
        <v>177</v>
      </c>
      <c r="E764" t="s">
        <v>1081</v>
      </c>
      <c r="F764" t="s">
        <v>956</v>
      </c>
      <c r="G764" t="s">
        <v>1380</v>
      </c>
      <c r="I764" t="s">
        <v>1082</v>
      </c>
      <c r="J764" t="s">
        <v>938</v>
      </c>
      <c r="K764" s="12" t="s">
        <v>1450</v>
      </c>
      <c r="O764" s="1"/>
      <c r="P764" s="1"/>
      <c r="Q764" s="1"/>
      <c r="R764" s="1"/>
    </row>
    <row r="765" spans="4:18" x14ac:dyDescent="0.35">
      <c r="D765" t="s">
        <v>1315</v>
      </c>
      <c r="E765" t="s">
        <v>1082</v>
      </c>
      <c r="F765" t="s">
        <v>938</v>
      </c>
      <c r="G765" t="s">
        <v>1450</v>
      </c>
      <c r="I765" t="s">
        <v>1308</v>
      </c>
      <c r="J765" t="s">
        <v>938</v>
      </c>
      <c r="K765" t="s">
        <v>1380</v>
      </c>
      <c r="O765" s="1"/>
      <c r="P765" s="1"/>
      <c r="Q765" s="1"/>
      <c r="R765" s="1"/>
    </row>
    <row r="766" spans="4:18" x14ac:dyDescent="0.35">
      <c r="D766" t="s">
        <v>2215</v>
      </c>
      <c r="E766" t="s">
        <v>1082</v>
      </c>
      <c r="F766" t="s">
        <v>938</v>
      </c>
      <c r="G766" t="s">
        <v>1450</v>
      </c>
      <c r="I766" t="s">
        <v>1082</v>
      </c>
      <c r="J766" t="s">
        <v>938</v>
      </c>
      <c r="K766" t="s">
        <v>1445</v>
      </c>
      <c r="O766" s="1"/>
      <c r="P766" s="1"/>
      <c r="Q766" s="1"/>
      <c r="R766" s="1"/>
    </row>
    <row r="767" spans="4:18" x14ac:dyDescent="0.35">
      <c r="D767" t="s">
        <v>177</v>
      </c>
      <c r="E767" t="s">
        <v>1081</v>
      </c>
      <c r="F767" t="s">
        <v>956</v>
      </c>
      <c r="G767" t="s">
        <v>1380</v>
      </c>
      <c r="I767" t="s">
        <v>1082</v>
      </c>
      <c r="J767" t="s">
        <v>938</v>
      </c>
      <c r="K767" s="12" t="s">
        <v>1454</v>
      </c>
      <c r="O767" s="1"/>
      <c r="P767" s="1"/>
      <c r="Q767" s="1"/>
      <c r="R767" s="1"/>
    </row>
    <row r="768" spans="4:18" x14ac:dyDescent="0.35">
      <c r="D768" t="s">
        <v>1315</v>
      </c>
      <c r="E768" t="s">
        <v>1082</v>
      </c>
      <c r="F768" t="s">
        <v>938</v>
      </c>
      <c r="G768" t="s">
        <v>1454</v>
      </c>
      <c r="I768" t="s">
        <v>1308</v>
      </c>
      <c r="J768" t="s">
        <v>938</v>
      </c>
      <c r="K768" t="s">
        <v>1380</v>
      </c>
      <c r="O768" s="1"/>
      <c r="P768" s="1"/>
      <c r="Q768" s="1"/>
      <c r="R768" s="1"/>
    </row>
    <row r="769" spans="4:18" x14ac:dyDescent="0.35">
      <c r="D769" t="s">
        <v>2215</v>
      </c>
      <c r="E769" t="s">
        <v>1082</v>
      </c>
      <c r="F769" t="s">
        <v>938</v>
      </c>
      <c r="G769" t="s">
        <v>1454</v>
      </c>
      <c r="I769" t="s">
        <v>1082</v>
      </c>
      <c r="J769" t="s">
        <v>938</v>
      </c>
      <c r="K769" t="s">
        <v>1450</v>
      </c>
      <c r="O769" s="1"/>
      <c r="P769" s="1"/>
      <c r="Q769" s="1"/>
      <c r="R769" s="1"/>
    </row>
    <row r="770" spans="4:18" x14ac:dyDescent="0.35">
      <c r="D770" t="s">
        <v>1314</v>
      </c>
      <c r="E770" t="s">
        <v>1082</v>
      </c>
      <c r="F770" t="s">
        <v>938</v>
      </c>
      <c r="G770" t="s">
        <v>1454</v>
      </c>
      <c r="I770" t="s">
        <v>1082</v>
      </c>
      <c r="J770" t="s">
        <v>938</v>
      </c>
      <c r="K770" t="s">
        <v>1623</v>
      </c>
      <c r="O770" s="1"/>
      <c r="P770" s="1" t="s">
        <v>1356</v>
      </c>
      <c r="Q770" s="1" t="s">
        <v>1722</v>
      </c>
      <c r="R770" s="1"/>
    </row>
    <row r="771" spans="4:18" x14ac:dyDescent="0.35">
      <c r="D771" t="s">
        <v>177</v>
      </c>
      <c r="E771" t="s">
        <v>1081</v>
      </c>
      <c r="F771" t="s">
        <v>956</v>
      </c>
      <c r="G771" t="s">
        <v>1380</v>
      </c>
      <c r="I771" t="s">
        <v>1082</v>
      </c>
      <c r="J771" t="s">
        <v>938</v>
      </c>
      <c r="K771" s="12" t="s">
        <v>1459</v>
      </c>
      <c r="O771" s="1"/>
      <c r="P771" s="1"/>
      <c r="Q771" s="1"/>
      <c r="R771" s="1"/>
    </row>
    <row r="772" spans="4:18" x14ac:dyDescent="0.35">
      <c r="D772" t="s">
        <v>1315</v>
      </c>
      <c r="E772" t="s">
        <v>1082</v>
      </c>
      <c r="F772" t="s">
        <v>938</v>
      </c>
      <c r="G772" t="s">
        <v>1459</v>
      </c>
      <c r="I772" t="s">
        <v>1308</v>
      </c>
      <c r="J772" t="s">
        <v>938</v>
      </c>
      <c r="K772" t="s">
        <v>1380</v>
      </c>
      <c r="O772" s="1"/>
      <c r="P772" s="1"/>
      <c r="Q772" s="1"/>
      <c r="R772" s="1"/>
    </row>
    <row r="773" spans="4:18" x14ac:dyDescent="0.35">
      <c r="D773" t="s">
        <v>2215</v>
      </c>
      <c r="E773" t="s">
        <v>1082</v>
      </c>
      <c r="F773" t="s">
        <v>938</v>
      </c>
      <c r="G773" t="s">
        <v>1459</v>
      </c>
      <c r="I773" t="s">
        <v>1082</v>
      </c>
      <c r="J773" t="s">
        <v>938</v>
      </c>
      <c r="K773" t="s">
        <v>1454</v>
      </c>
      <c r="O773" s="1"/>
      <c r="P773" s="1"/>
      <c r="Q773" s="1"/>
      <c r="R773" s="1"/>
    </row>
    <row r="774" spans="4:18" x14ac:dyDescent="0.35">
      <c r="D774" t="s">
        <v>1314</v>
      </c>
      <c r="E774" t="s">
        <v>1082</v>
      </c>
      <c r="F774" t="s">
        <v>938</v>
      </c>
      <c r="G774" t="s">
        <v>1459</v>
      </c>
      <c r="I774" t="s">
        <v>1308</v>
      </c>
      <c r="J774" t="s">
        <v>938</v>
      </c>
      <c r="K774" t="s">
        <v>1715</v>
      </c>
      <c r="O774" s="1"/>
      <c r="P774" s="1" t="s">
        <v>1356</v>
      </c>
      <c r="Q774" s="1" t="s">
        <v>1720</v>
      </c>
      <c r="R774" s="1"/>
    </row>
    <row r="775" spans="4:18" x14ac:dyDescent="0.35">
      <c r="D775" t="s">
        <v>177</v>
      </c>
      <c r="E775" t="s">
        <v>1081</v>
      </c>
      <c r="F775" t="s">
        <v>956</v>
      </c>
      <c r="G775" t="s">
        <v>1380</v>
      </c>
      <c r="I775" t="s">
        <v>1082</v>
      </c>
      <c r="J775" t="s">
        <v>938</v>
      </c>
      <c r="K775" s="12" t="s">
        <v>1464</v>
      </c>
      <c r="O775" s="1"/>
      <c r="P775" s="1"/>
      <c r="Q775" s="1"/>
      <c r="R775" s="1"/>
    </row>
    <row r="776" spans="4:18" x14ac:dyDescent="0.35">
      <c r="D776" t="s">
        <v>1315</v>
      </c>
      <c r="E776" t="s">
        <v>1082</v>
      </c>
      <c r="F776" t="s">
        <v>938</v>
      </c>
      <c r="G776" t="s">
        <v>1464</v>
      </c>
      <c r="I776" t="s">
        <v>1308</v>
      </c>
      <c r="J776" t="s">
        <v>938</v>
      </c>
      <c r="K776" t="s">
        <v>1380</v>
      </c>
      <c r="O776" s="1"/>
      <c r="P776" s="1"/>
      <c r="Q776" s="1"/>
      <c r="R776" s="1"/>
    </row>
    <row r="777" spans="4:18" x14ac:dyDescent="0.35">
      <c r="D777" t="s">
        <v>2215</v>
      </c>
      <c r="E777" t="s">
        <v>1082</v>
      </c>
      <c r="F777" t="s">
        <v>938</v>
      </c>
      <c r="G777" t="s">
        <v>1464</v>
      </c>
      <c r="I777" t="s">
        <v>1082</v>
      </c>
      <c r="J777" t="s">
        <v>938</v>
      </c>
      <c r="K777" t="s">
        <v>1459</v>
      </c>
      <c r="O777" s="1"/>
      <c r="P777" s="1"/>
      <c r="Q777" s="1"/>
      <c r="R777" s="1"/>
    </row>
    <row r="778" spans="4:18" x14ac:dyDescent="0.35">
      <c r="D778" t="s">
        <v>1314</v>
      </c>
      <c r="E778" t="s">
        <v>1082</v>
      </c>
      <c r="F778" t="s">
        <v>938</v>
      </c>
      <c r="G778" t="s">
        <v>1464</v>
      </c>
      <c r="I778" t="s">
        <v>1308</v>
      </c>
      <c r="J778" t="s">
        <v>938</v>
      </c>
      <c r="K778" t="s">
        <v>1718</v>
      </c>
      <c r="O778" s="1"/>
      <c r="P778" s="1" t="s">
        <v>1356</v>
      </c>
      <c r="Q778" s="1" t="s">
        <v>1721</v>
      </c>
      <c r="R778" s="1"/>
    </row>
    <row r="779" spans="4:18" x14ac:dyDescent="0.35">
      <c r="D779" t="s">
        <v>177</v>
      </c>
      <c r="E779" t="s">
        <v>1081</v>
      </c>
      <c r="F779" t="s">
        <v>956</v>
      </c>
      <c r="G779" t="s">
        <v>1380</v>
      </c>
      <c r="I779" t="s">
        <v>1082</v>
      </c>
      <c r="J779" t="s">
        <v>938</v>
      </c>
      <c r="K779" s="12" t="s">
        <v>1469</v>
      </c>
      <c r="O779" s="1"/>
      <c r="P779" s="1"/>
      <c r="Q779" s="1"/>
      <c r="R779" s="1"/>
    </row>
    <row r="780" spans="4:18" x14ac:dyDescent="0.35">
      <c r="D780" t="s">
        <v>1315</v>
      </c>
      <c r="E780" t="s">
        <v>1082</v>
      </c>
      <c r="F780" t="s">
        <v>938</v>
      </c>
      <c r="G780" t="s">
        <v>1469</v>
      </c>
      <c r="I780" t="s">
        <v>1308</v>
      </c>
      <c r="J780" t="s">
        <v>938</v>
      </c>
      <c r="K780" t="s">
        <v>1380</v>
      </c>
      <c r="O780" s="1"/>
      <c r="P780" s="1"/>
      <c r="Q780" s="1"/>
      <c r="R780" s="1"/>
    </row>
    <row r="781" spans="4:18" x14ac:dyDescent="0.35">
      <c r="D781" t="s">
        <v>2215</v>
      </c>
      <c r="E781" t="s">
        <v>1082</v>
      </c>
      <c r="F781" t="s">
        <v>938</v>
      </c>
      <c r="G781" t="s">
        <v>1469</v>
      </c>
      <c r="I781" t="s">
        <v>1082</v>
      </c>
      <c r="J781" t="s">
        <v>938</v>
      </c>
      <c r="K781" t="s">
        <v>1464</v>
      </c>
      <c r="O781" s="1"/>
      <c r="P781" s="1"/>
      <c r="Q781" s="1"/>
      <c r="R781" s="1"/>
    </row>
    <row r="782" spans="4:18" x14ac:dyDescent="0.35">
      <c r="D782" t="s">
        <v>1314</v>
      </c>
      <c r="E782" t="s">
        <v>1082</v>
      </c>
      <c r="F782" t="s">
        <v>938</v>
      </c>
      <c r="G782" t="s">
        <v>1469</v>
      </c>
      <c r="I782" t="s">
        <v>1082</v>
      </c>
      <c r="J782" t="s">
        <v>938</v>
      </c>
      <c r="K782" t="s">
        <v>1631</v>
      </c>
      <c r="O782" s="1"/>
      <c r="P782" s="1" t="s">
        <v>1356</v>
      </c>
      <c r="Q782" s="1" t="s">
        <v>1726</v>
      </c>
      <c r="R782" s="1"/>
    </row>
    <row r="783" spans="4:18" x14ac:dyDescent="0.35">
      <c r="D783" t="s">
        <v>177</v>
      </c>
      <c r="E783" t="s">
        <v>1081</v>
      </c>
      <c r="F783" t="s">
        <v>956</v>
      </c>
      <c r="G783" t="s">
        <v>1380</v>
      </c>
      <c r="I783" t="s">
        <v>1082</v>
      </c>
      <c r="J783" t="s">
        <v>938</v>
      </c>
      <c r="K783" s="12" t="s">
        <v>1474</v>
      </c>
      <c r="O783" s="1"/>
      <c r="P783" s="1"/>
      <c r="Q783" s="1"/>
      <c r="R783" s="1"/>
    </row>
    <row r="784" spans="4:18" x14ac:dyDescent="0.35">
      <c r="D784" t="s">
        <v>1315</v>
      </c>
      <c r="E784" t="s">
        <v>1082</v>
      </c>
      <c r="F784" t="s">
        <v>938</v>
      </c>
      <c r="G784" t="s">
        <v>1474</v>
      </c>
      <c r="I784" t="s">
        <v>1308</v>
      </c>
      <c r="J784" t="s">
        <v>938</v>
      </c>
      <c r="K784" t="s">
        <v>1380</v>
      </c>
      <c r="O784" s="1"/>
      <c r="P784" s="1"/>
      <c r="Q784" s="1"/>
      <c r="R784" s="1"/>
    </row>
    <row r="785" spans="4:18" x14ac:dyDescent="0.35">
      <c r="D785" t="s">
        <v>2215</v>
      </c>
      <c r="E785" t="s">
        <v>1082</v>
      </c>
      <c r="F785" t="s">
        <v>938</v>
      </c>
      <c r="G785" t="s">
        <v>1474</v>
      </c>
      <c r="I785" t="s">
        <v>1082</v>
      </c>
      <c r="J785" t="s">
        <v>938</v>
      </c>
      <c r="K785" t="s">
        <v>1469</v>
      </c>
      <c r="O785" s="1"/>
      <c r="P785" s="1"/>
      <c r="Q785" s="1"/>
      <c r="R785" s="1"/>
    </row>
    <row r="786" spans="4:18" x14ac:dyDescent="0.35">
      <c r="D786" t="s">
        <v>1314</v>
      </c>
      <c r="E786" t="s">
        <v>1082</v>
      </c>
      <c r="F786" t="s">
        <v>938</v>
      </c>
      <c r="G786" t="s">
        <v>1474</v>
      </c>
      <c r="I786" t="s">
        <v>1308</v>
      </c>
      <c r="J786" t="s">
        <v>938</v>
      </c>
      <c r="K786" t="s">
        <v>1728</v>
      </c>
      <c r="O786" s="1"/>
      <c r="P786" s="1" t="s">
        <v>1356</v>
      </c>
      <c r="Q786" s="1" t="s">
        <v>1735</v>
      </c>
      <c r="R786" s="1"/>
    </row>
    <row r="787" spans="4:18" x14ac:dyDescent="0.35">
      <c r="D787" t="s">
        <v>177</v>
      </c>
      <c r="E787" t="s">
        <v>1081</v>
      </c>
      <c r="F787" t="s">
        <v>956</v>
      </c>
      <c r="G787" t="s">
        <v>1380</v>
      </c>
      <c r="I787" t="s">
        <v>1082</v>
      </c>
      <c r="J787" t="s">
        <v>938</v>
      </c>
      <c r="K787" s="12" t="s">
        <v>1479</v>
      </c>
      <c r="O787" s="1"/>
      <c r="P787" s="1"/>
      <c r="Q787" s="1"/>
      <c r="R787" s="1"/>
    </row>
    <row r="788" spans="4:18" x14ac:dyDescent="0.35">
      <c r="D788" t="s">
        <v>1315</v>
      </c>
      <c r="E788" t="s">
        <v>1082</v>
      </c>
      <c r="F788" t="s">
        <v>938</v>
      </c>
      <c r="G788" t="s">
        <v>1479</v>
      </c>
      <c r="I788" t="s">
        <v>1308</v>
      </c>
      <c r="J788" t="s">
        <v>938</v>
      </c>
      <c r="K788" t="s">
        <v>1380</v>
      </c>
      <c r="O788" s="1"/>
      <c r="P788" s="1"/>
      <c r="Q788" s="1"/>
      <c r="R788" s="1"/>
    </row>
    <row r="789" spans="4:18" x14ac:dyDescent="0.35">
      <c r="D789" t="s">
        <v>2215</v>
      </c>
      <c r="E789" t="s">
        <v>1082</v>
      </c>
      <c r="F789" t="s">
        <v>938</v>
      </c>
      <c r="G789" t="s">
        <v>1479</v>
      </c>
      <c r="I789" t="s">
        <v>1082</v>
      </c>
      <c r="J789" t="s">
        <v>938</v>
      </c>
      <c r="K789" t="s">
        <v>1474</v>
      </c>
      <c r="O789" s="1"/>
      <c r="P789" s="1"/>
      <c r="Q789" s="1"/>
      <c r="R789" s="1"/>
    </row>
    <row r="790" spans="4:18" x14ac:dyDescent="0.35">
      <c r="D790" t="s">
        <v>1314</v>
      </c>
      <c r="E790" t="s">
        <v>1082</v>
      </c>
      <c r="F790" t="s">
        <v>938</v>
      </c>
      <c r="G790" t="s">
        <v>1479</v>
      </c>
      <c r="I790" t="s">
        <v>1308</v>
      </c>
      <c r="J790" t="s">
        <v>938</v>
      </c>
      <c r="K790" t="s">
        <v>1731</v>
      </c>
      <c r="O790" s="1"/>
      <c r="P790" s="1" t="s">
        <v>1356</v>
      </c>
      <c r="Q790" s="1" t="s">
        <v>1736</v>
      </c>
      <c r="R790" s="1"/>
    </row>
    <row r="791" spans="4:18" x14ac:dyDescent="0.35">
      <c r="D791" t="s">
        <v>177</v>
      </c>
      <c r="E791" t="s">
        <v>1081</v>
      </c>
      <c r="F791" t="s">
        <v>956</v>
      </c>
      <c r="G791" t="s">
        <v>1380</v>
      </c>
      <c r="I791" t="s">
        <v>1082</v>
      </c>
      <c r="J791" t="s">
        <v>938</v>
      </c>
      <c r="K791" s="12" t="s">
        <v>1484</v>
      </c>
      <c r="O791" s="1"/>
      <c r="P791" s="1"/>
      <c r="Q791" s="1"/>
      <c r="R791" s="1"/>
    </row>
    <row r="792" spans="4:18" x14ac:dyDescent="0.35">
      <c r="D792" t="s">
        <v>1315</v>
      </c>
      <c r="E792" t="s">
        <v>1082</v>
      </c>
      <c r="F792" t="s">
        <v>938</v>
      </c>
      <c r="G792" t="s">
        <v>1484</v>
      </c>
      <c r="I792" t="s">
        <v>1308</v>
      </c>
      <c r="J792" t="s">
        <v>938</v>
      </c>
      <c r="K792" t="s">
        <v>1380</v>
      </c>
      <c r="O792" s="1"/>
      <c r="P792" s="1"/>
      <c r="Q792" s="1"/>
      <c r="R792" s="1"/>
    </row>
    <row r="793" spans="4:18" x14ac:dyDescent="0.35">
      <c r="D793" t="s">
        <v>2215</v>
      </c>
      <c r="E793" t="s">
        <v>1082</v>
      </c>
      <c r="F793" t="s">
        <v>938</v>
      </c>
      <c r="G793" t="s">
        <v>1484</v>
      </c>
      <c r="I793" t="s">
        <v>1082</v>
      </c>
      <c r="J793" t="s">
        <v>938</v>
      </c>
      <c r="K793" t="s">
        <v>1479</v>
      </c>
      <c r="O793" s="1"/>
      <c r="P793" s="1"/>
      <c r="Q793" s="1"/>
      <c r="R793" s="1"/>
    </row>
    <row r="794" spans="4:18" x14ac:dyDescent="0.35">
      <c r="D794" t="s">
        <v>177</v>
      </c>
      <c r="E794" t="s">
        <v>1081</v>
      </c>
      <c r="F794" t="s">
        <v>956</v>
      </c>
      <c r="G794" t="s">
        <v>1380</v>
      </c>
      <c r="I794" t="s">
        <v>1082</v>
      </c>
      <c r="J794" t="s">
        <v>938</v>
      </c>
      <c r="K794" s="12" t="s">
        <v>1488</v>
      </c>
      <c r="O794" s="1"/>
      <c r="P794" s="1"/>
      <c r="Q794" s="1"/>
      <c r="R794" s="1"/>
    </row>
    <row r="795" spans="4:18" x14ac:dyDescent="0.35">
      <c r="D795" t="s">
        <v>1315</v>
      </c>
      <c r="E795" t="s">
        <v>1082</v>
      </c>
      <c r="F795" t="s">
        <v>938</v>
      </c>
      <c r="G795" t="s">
        <v>1488</v>
      </c>
      <c r="I795" t="s">
        <v>1308</v>
      </c>
      <c r="J795" t="s">
        <v>938</v>
      </c>
      <c r="K795" t="s">
        <v>1380</v>
      </c>
      <c r="O795" s="1"/>
      <c r="P795" s="1"/>
      <c r="Q795" s="1"/>
      <c r="R795" s="1"/>
    </row>
    <row r="796" spans="4:18" x14ac:dyDescent="0.35">
      <c r="D796" t="s">
        <v>2215</v>
      </c>
      <c r="E796" t="s">
        <v>1082</v>
      </c>
      <c r="F796" t="s">
        <v>938</v>
      </c>
      <c r="G796" t="s">
        <v>1488</v>
      </c>
      <c r="I796" t="s">
        <v>1082</v>
      </c>
      <c r="J796" t="s">
        <v>938</v>
      </c>
      <c r="K796" t="s">
        <v>1484</v>
      </c>
      <c r="O796" s="1"/>
      <c r="P796" s="1"/>
      <c r="Q796" s="1"/>
      <c r="R796" s="1"/>
    </row>
    <row r="797" spans="4:18" x14ac:dyDescent="0.35">
      <c r="D797" t="s">
        <v>1314</v>
      </c>
      <c r="E797" t="s">
        <v>1082</v>
      </c>
      <c r="F797" t="s">
        <v>938</v>
      </c>
      <c r="G797" t="s">
        <v>1488</v>
      </c>
      <c r="I797" t="s">
        <v>1082</v>
      </c>
      <c r="J797" t="s">
        <v>938</v>
      </c>
      <c r="K797" t="s">
        <v>1640</v>
      </c>
      <c r="O797" s="1"/>
      <c r="P797" s="1" t="s">
        <v>1356</v>
      </c>
      <c r="Q797" s="1" t="s">
        <v>1737</v>
      </c>
      <c r="R797" s="1"/>
    </row>
    <row r="798" spans="4:18" x14ac:dyDescent="0.35">
      <c r="D798" t="s">
        <v>177</v>
      </c>
      <c r="E798" t="s">
        <v>1081</v>
      </c>
      <c r="F798" t="s">
        <v>956</v>
      </c>
      <c r="G798" t="s">
        <v>1380</v>
      </c>
      <c r="I798" t="s">
        <v>1082</v>
      </c>
      <c r="J798" t="s">
        <v>938</v>
      </c>
      <c r="K798" s="12" t="s">
        <v>1493</v>
      </c>
      <c r="O798" s="1"/>
      <c r="P798" s="1"/>
      <c r="Q798" s="1"/>
      <c r="R798" s="1"/>
    </row>
    <row r="799" spans="4:18" x14ac:dyDescent="0.35">
      <c r="D799" t="s">
        <v>1315</v>
      </c>
      <c r="E799" t="s">
        <v>1082</v>
      </c>
      <c r="F799" t="s">
        <v>938</v>
      </c>
      <c r="G799" t="s">
        <v>1493</v>
      </c>
      <c r="I799" t="s">
        <v>1308</v>
      </c>
      <c r="J799" t="s">
        <v>938</v>
      </c>
      <c r="K799" t="s">
        <v>1380</v>
      </c>
      <c r="O799" s="1"/>
      <c r="P799" s="1"/>
      <c r="Q799" s="1"/>
      <c r="R799" s="1"/>
    </row>
    <row r="800" spans="4:18" x14ac:dyDescent="0.35">
      <c r="D800" t="s">
        <v>2215</v>
      </c>
      <c r="E800" t="s">
        <v>1082</v>
      </c>
      <c r="F800" t="s">
        <v>938</v>
      </c>
      <c r="G800" t="s">
        <v>1493</v>
      </c>
      <c r="I800" t="s">
        <v>1082</v>
      </c>
      <c r="J800" t="s">
        <v>938</v>
      </c>
      <c r="K800" t="s">
        <v>1488</v>
      </c>
      <c r="O800" s="1"/>
      <c r="P800" s="1"/>
      <c r="Q800" s="1"/>
      <c r="R800" s="1"/>
    </row>
    <row r="801" spans="4:18" x14ac:dyDescent="0.35">
      <c r="D801" t="s">
        <v>177</v>
      </c>
      <c r="E801" t="s">
        <v>1081</v>
      </c>
      <c r="F801" t="s">
        <v>956</v>
      </c>
      <c r="G801" t="s">
        <v>1380</v>
      </c>
      <c r="I801" t="s">
        <v>1082</v>
      </c>
      <c r="J801" t="s">
        <v>938</v>
      </c>
      <c r="K801" s="12" t="s">
        <v>1498</v>
      </c>
      <c r="O801" s="1"/>
      <c r="P801" s="1"/>
      <c r="Q801" s="1"/>
      <c r="R801" s="1"/>
    </row>
    <row r="802" spans="4:18" x14ac:dyDescent="0.35">
      <c r="D802" t="s">
        <v>1315</v>
      </c>
      <c r="E802" t="s">
        <v>1082</v>
      </c>
      <c r="F802" t="s">
        <v>938</v>
      </c>
      <c r="G802" t="s">
        <v>1498</v>
      </c>
      <c r="I802" t="s">
        <v>1308</v>
      </c>
      <c r="J802" t="s">
        <v>938</v>
      </c>
      <c r="K802" t="s">
        <v>1380</v>
      </c>
      <c r="O802" s="1"/>
      <c r="P802" s="1"/>
      <c r="Q802" s="1"/>
      <c r="R802" s="1"/>
    </row>
    <row r="803" spans="4:18" x14ac:dyDescent="0.35">
      <c r="D803" t="s">
        <v>2215</v>
      </c>
      <c r="E803" t="s">
        <v>1082</v>
      </c>
      <c r="F803" t="s">
        <v>938</v>
      </c>
      <c r="G803" t="s">
        <v>1498</v>
      </c>
      <c r="I803" t="s">
        <v>1082</v>
      </c>
      <c r="J803" t="s">
        <v>938</v>
      </c>
      <c r="K803" t="s">
        <v>1493</v>
      </c>
      <c r="O803" s="1"/>
      <c r="P803" s="1"/>
      <c r="Q803" s="1"/>
      <c r="R803" s="1"/>
    </row>
    <row r="804" spans="4:18" x14ac:dyDescent="0.35">
      <c r="D804" t="s">
        <v>1314</v>
      </c>
      <c r="E804" t="s">
        <v>1082</v>
      </c>
      <c r="F804" t="s">
        <v>938</v>
      </c>
      <c r="G804" t="s">
        <v>1498</v>
      </c>
      <c r="I804" t="s">
        <v>1308</v>
      </c>
      <c r="J804" t="s">
        <v>938</v>
      </c>
      <c r="K804" t="s">
        <v>1739</v>
      </c>
      <c r="O804" s="1"/>
      <c r="P804" s="1" t="s">
        <v>1356</v>
      </c>
      <c r="Q804" s="1" t="s">
        <v>1746</v>
      </c>
      <c r="R804" s="1"/>
    </row>
    <row r="805" spans="4:18" x14ac:dyDescent="0.35">
      <c r="D805" t="s">
        <v>177</v>
      </c>
      <c r="E805" t="s">
        <v>1081</v>
      </c>
      <c r="F805" t="s">
        <v>956</v>
      </c>
      <c r="G805" t="s">
        <v>1380</v>
      </c>
      <c r="I805" t="s">
        <v>1082</v>
      </c>
      <c r="J805" t="s">
        <v>938</v>
      </c>
      <c r="K805" s="12" t="s">
        <v>1503</v>
      </c>
      <c r="O805" s="1"/>
      <c r="P805" s="1"/>
      <c r="Q805" s="1"/>
      <c r="R805" s="1"/>
    </row>
    <row r="806" spans="4:18" x14ac:dyDescent="0.35">
      <c r="D806" t="s">
        <v>1315</v>
      </c>
      <c r="E806" t="s">
        <v>1082</v>
      </c>
      <c r="F806" t="s">
        <v>938</v>
      </c>
      <c r="G806" t="s">
        <v>1503</v>
      </c>
      <c r="I806" t="s">
        <v>1308</v>
      </c>
      <c r="J806" t="s">
        <v>938</v>
      </c>
      <c r="K806" t="s">
        <v>1380</v>
      </c>
      <c r="O806" s="1"/>
      <c r="P806" s="1"/>
      <c r="Q806" s="1"/>
      <c r="R806" s="1"/>
    </row>
    <row r="807" spans="4:18" x14ac:dyDescent="0.35">
      <c r="D807" t="s">
        <v>2215</v>
      </c>
      <c r="E807" t="s">
        <v>1082</v>
      </c>
      <c r="F807" t="s">
        <v>938</v>
      </c>
      <c r="G807" t="s">
        <v>1503</v>
      </c>
      <c r="I807" t="s">
        <v>1082</v>
      </c>
      <c r="J807" t="s">
        <v>938</v>
      </c>
      <c r="K807" t="s">
        <v>1498</v>
      </c>
      <c r="O807" s="1"/>
      <c r="P807" s="1"/>
      <c r="Q807" s="1"/>
      <c r="R807" s="1"/>
    </row>
    <row r="808" spans="4:18" x14ac:dyDescent="0.35">
      <c r="D808" t="s">
        <v>177</v>
      </c>
      <c r="E808" t="s">
        <v>1081</v>
      </c>
      <c r="F808" t="s">
        <v>956</v>
      </c>
      <c r="G808" t="s">
        <v>1380</v>
      </c>
      <c r="I808" t="s">
        <v>1082</v>
      </c>
      <c r="J808" t="s">
        <v>938</v>
      </c>
      <c r="K808" s="12" t="s">
        <v>1507</v>
      </c>
      <c r="O808" s="1"/>
      <c r="P808" s="1"/>
      <c r="Q808" s="1"/>
      <c r="R808" s="1"/>
    </row>
    <row r="809" spans="4:18" x14ac:dyDescent="0.35">
      <c r="D809" t="s">
        <v>1315</v>
      </c>
      <c r="E809" t="s">
        <v>1082</v>
      </c>
      <c r="F809" t="s">
        <v>938</v>
      </c>
      <c r="G809" t="s">
        <v>1507</v>
      </c>
      <c r="I809" t="s">
        <v>1308</v>
      </c>
      <c r="J809" t="s">
        <v>938</v>
      </c>
      <c r="K809" t="s">
        <v>1380</v>
      </c>
      <c r="O809" s="1"/>
      <c r="P809" s="1"/>
      <c r="Q809" s="1"/>
      <c r="R809" s="1"/>
    </row>
    <row r="810" spans="4:18" x14ac:dyDescent="0.35">
      <c r="D810" t="s">
        <v>2215</v>
      </c>
      <c r="E810" t="s">
        <v>1082</v>
      </c>
      <c r="F810" t="s">
        <v>938</v>
      </c>
      <c r="G810" t="s">
        <v>1507</v>
      </c>
      <c r="I810" t="s">
        <v>1082</v>
      </c>
      <c r="J810" t="s">
        <v>938</v>
      </c>
      <c r="K810" t="s">
        <v>1503</v>
      </c>
      <c r="O810" s="1"/>
      <c r="P810" s="1"/>
      <c r="Q810" s="1"/>
      <c r="R810" s="1"/>
    </row>
    <row r="811" spans="4:18" x14ac:dyDescent="0.35">
      <c r="D811" t="s">
        <v>1314</v>
      </c>
      <c r="E811" t="s">
        <v>1082</v>
      </c>
      <c r="F811" t="s">
        <v>938</v>
      </c>
      <c r="G811" t="s">
        <v>1507</v>
      </c>
      <c r="I811" t="s">
        <v>1308</v>
      </c>
      <c r="J811" t="s">
        <v>938</v>
      </c>
      <c r="K811" t="s">
        <v>1742</v>
      </c>
      <c r="O811" s="1"/>
      <c r="P811" s="1" t="s">
        <v>1356</v>
      </c>
      <c r="Q811" s="1" t="s">
        <v>1747</v>
      </c>
      <c r="R811" s="1"/>
    </row>
    <row r="812" spans="4:18" x14ac:dyDescent="0.35">
      <c r="D812" t="s">
        <v>177</v>
      </c>
      <c r="E812" t="s">
        <v>1081</v>
      </c>
      <c r="F812" t="s">
        <v>956</v>
      </c>
      <c r="G812" t="s">
        <v>1380</v>
      </c>
      <c r="I812" t="s">
        <v>1082</v>
      </c>
      <c r="J812" t="s">
        <v>938</v>
      </c>
      <c r="K812" s="12" t="s">
        <v>1512</v>
      </c>
      <c r="O812" s="1"/>
      <c r="P812" s="1"/>
      <c r="Q812" s="1"/>
      <c r="R812" s="1"/>
    </row>
    <row r="813" spans="4:18" x14ac:dyDescent="0.35">
      <c r="D813" t="s">
        <v>1315</v>
      </c>
      <c r="E813" t="s">
        <v>1082</v>
      </c>
      <c r="F813" t="s">
        <v>938</v>
      </c>
      <c r="G813" t="s">
        <v>1512</v>
      </c>
      <c r="I813" t="s">
        <v>1308</v>
      </c>
      <c r="J813" t="s">
        <v>938</v>
      </c>
      <c r="K813" t="s">
        <v>1380</v>
      </c>
      <c r="O813" s="1"/>
      <c r="P813" s="1"/>
      <c r="Q813" s="1"/>
      <c r="R813" s="1"/>
    </row>
    <row r="814" spans="4:18" x14ac:dyDescent="0.35">
      <c r="D814" t="s">
        <v>2215</v>
      </c>
      <c r="E814" t="s">
        <v>1082</v>
      </c>
      <c r="F814" t="s">
        <v>938</v>
      </c>
      <c r="G814" t="s">
        <v>1512</v>
      </c>
      <c r="I814" t="s">
        <v>1082</v>
      </c>
      <c r="J814" t="s">
        <v>938</v>
      </c>
      <c r="K814" t="s">
        <v>1507</v>
      </c>
      <c r="O814" s="1"/>
      <c r="P814" s="1"/>
      <c r="Q814" s="1"/>
      <c r="R814" s="1"/>
    </row>
    <row r="815" spans="4:18" x14ac:dyDescent="0.35">
      <c r="D815" t="s">
        <v>181</v>
      </c>
      <c r="E815" t="s">
        <v>1308</v>
      </c>
      <c r="F815" t="s">
        <v>938</v>
      </c>
      <c r="G815" t="s">
        <v>1380</v>
      </c>
      <c r="I815" t="s">
        <v>2776</v>
      </c>
      <c r="J815" t="s">
        <v>956</v>
      </c>
      <c r="K815" t="s">
        <v>2723</v>
      </c>
      <c r="O815" s="1"/>
      <c r="P815" s="1"/>
      <c r="Q815" s="1"/>
      <c r="R815" s="1"/>
    </row>
    <row r="816" spans="4:18" x14ac:dyDescent="0.35">
      <c r="D816" t="s">
        <v>181</v>
      </c>
      <c r="E816" t="s">
        <v>1308</v>
      </c>
      <c r="F816" t="s">
        <v>938</v>
      </c>
      <c r="G816" t="s">
        <v>1380</v>
      </c>
      <c r="I816" t="s">
        <v>2776</v>
      </c>
      <c r="J816" t="s">
        <v>956</v>
      </c>
      <c r="K816" t="s">
        <v>2724</v>
      </c>
      <c r="O816" s="1"/>
      <c r="P816" s="1"/>
      <c r="Q816" s="1"/>
      <c r="R816" s="1"/>
    </row>
    <row r="817" spans="4:18" x14ac:dyDescent="0.35">
      <c r="D817" t="s">
        <v>181</v>
      </c>
      <c r="E817" t="s">
        <v>1308</v>
      </c>
      <c r="F817" t="s">
        <v>938</v>
      </c>
      <c r="G817" t="s">
        <v>1380</v>
      </c>
      <c r="I817" t="s">
        <v>2776</v>
      </c>
      <c r="J817" t="s">
        <v>956</v>
      </c>
      <c r="K817" t="s">
        <v>2725</v>
      </c>
      <c r="O817" s="1"/>
      <c r="P817" s="1"/>
      <c r="Q817" s="1"/>
      <c r="R817" s="1"/>
    </row>
    <row r="818" spans="4:18" x14ac:dyDescent="0.35">
      <c r="D818" t="s">
        <v>181</v>
      </c>
      <c r="E818" t="s">
        <v>1308</v>
      </c>
      <c r="F818" t="s">
        <v>938</v>
      </c>
      <c r="G818" t="s">
        <v>1380</v>
      </c>
      <c r="I818" t="s">
        <v>2776</v>
      </c>
      <c r="J818" t="s">
        <v>956</v>
      </c>
      <c r="K818" t="s">
        <v>2726</v>
      </c>
      <c r="O818" s="1"/>
      <c r="P818" s="1"/>
      <c r="Q818" s="1"/>
      <c r="R818" s="1"/>
    </row>
    <row r="819" spans="4:18" x14ac:dyDescent="0.35">
      <c r="D819" t="s">
        <v>181</v>
      </c>
      <c r="E819" t="s">
        <v>1308</v>
      </c>
      <c r="F819" t="s">
        <v>938</v>
      </c>
      <c r="G819" t="s">
        <v>1380</v>
      </c>
      <c r="I819" t="s">
        <v>2776</v>
      </c>
      <c r="J819" t="s">
        <v>956</v>
      </c>
      <c r="K819" t="s">
        <v>2727</v>
      </c>
      <c r="O819" s="1"/>
      <c r="P819" s="1"/>
      <c r="Q819" s="1"/>
      <c r="R819" s="1"/>
    </row>
    <row r="820" spans="4:18" x14ac:dyDescent="0.35">
      <c r="D820" t="s">
        <v>181</v>
      </c>
      <c r="E820" t="s">
        <v>1308</v>
      </c>
      <c r="F820" t="s">
        <v>938</v>
      </c>
      <c r="G820" t="s">
        <v>1380</v>
      </c>
      <c r="I820" t="s">
        <v>2776</v>
      </c>
      <c r="J820" t="s">
        <v>956</v>
      </c>
      <c r="K820" t="s">
        <v>2728</v>
      </c>
      <c r="O820" s="1"/>
      <c r="P820" s="1"/>
      <c r="Q820" s="1"/>
      <c r="R820" s="1"/>
    </row>
    <row r="821" spans="4:18" x14ac:dyDescent="0.35">
      <c r="D821" t="s">
        <v>181</v>
      </c>
      <c r="E821" t="s">
        <v>1308</v>
      </c>
      <c r="F821" t="s">
        <v>938</v>
      </c>
      <c r="G821" t="s">
        <v>1380</v>
      </c>
      <c r="I821" t="s">
        <v>2776</v>
      </c>
      <c r="J821" t="s">
        <v>956</v>
      </c>
      <c r="K821" t="s">
        <v>2720</v>
      </c>
      <c r="O821" s="1"/>
      <c r="P821" s="1"/>
      <c r="Q821" s="1"/>
      <c r="R821" s="1"/>
    </row>
    <row r="822" spans="4:18" x14ac:dyDescent="0.35">
      <c r="D822" t="s">
        <v>177</v>
      </c>
      <c r="E822" t="s">
        <v>1081</v>
      </c>
      <c r="F822" t="s">
        <v>956</v>
      </c>
      <c r="G822" t="s">
        <v>1217</v>
      </c>
      <c r="I822" t="s">
        <v>1082</v>
      </c>
      <c r="J822" t="s">
        <v>938</v>
      </c>
      <c r="K822" s="12" t="s">
        <v>1517</v>
      </c>
      <c r="O822" s="1"/>
      <c r="P822" s="1"/>
      <c r="Q822" s="1"/>
      <c r="R822" s="1"/>
    </row>
    <row r="823" spans="4:18" x14ac:dyDescent="0.35">
      <c r="D823" t="s">
        <v>1315</v>
      </c>
      <c r="E823" t="s">
        <v>1082</v>
      </c>
      <c r="F823" t="s">
        <v>938</v>
      </c>
      <c r="G823" t="s">
        <v>1517</v>
      </c>
      <c r="I823" t="s">
        <v>1308</v>
      </c>
      <c r="J823" t="s">
        <v>938</v>
      </c>
      <c r="K823" t="s">
        <v>1578</v>
      </c>
      <c r="O823" s="1"/>
      <c r="P823" s="1"/>
      <c r="Q823" s="1"/>
      <c r="R823" s="1"/>
    </row>
    <row r="824" spans="4:18" x14ac:dyDescent="0.35">
      <c r="D824" t="s">
        <v>1315</v>
      </c>
      <c r="E824" t="s">
        <v>1082</v>
      </c>
      <c r="F824" t="s">
        <v>938</v>
      </c>
      <c r="G824" t="s">
        <v>1517</v>
      </c>
      <c r="I824" t="s">
        <v>1308</v>
      </c>
      <c r="J824" t="s">
        <v>938</v>
      </c>
      <c r="K824" t="s">
        <v>1675</v>
      </c>
      <c r="O824" s="1"/>
      <c r="P824" s="1"/>
      <c r="Q824" s="1"/>
      <c r="R824" s="1"/>
    </row>
    <row r="825" spans="4:18" x14ac:dyDescent="0.35">
      <c r="D825" t="s">
        <v>1314</v>
      </c>
      <c r="E825" t="s">
        <v>1082</v>
      </c>
      <c r="F825" t="s">
        <v>938</v>
      </c>
      <c r="G825" t="s">
        <v>1517</v>
      </c>
      <c r="I825" t="s">
        <v>1082</v>
      </c>
      <c r="J825" t="s">
        <v>938</v>
      </c>
      <c r="K825" t="s">
        <v>1407</v>
      </c>
      <c r="O825" s="1"/>
      <c r="P825" s="1" t="s">
        <v>1356</v>
      </c>
      <c r="Q825" s="1" t="s">
        <v>1671</v>
      </c>
      <c r="R825" s="1"/>
    </row>
    <row r="826" spans="4:18" x14ac:dyDescent="0.35">
      <c r="D826" t="s">
        <v>1314</v>
      </c>
      <c r="E826" t="s">
        <v>1082</v>
      </c>
      <c r="F826" t="s">
        <v>938</v>
      </c>
      <c r="G826" t="s">
        <v>1517</v>
      </c>
      <c r="I826" t="s">
        <v>1082</v>
      </c>
      <c r="J826" t="s">
        <v>938</v>
      </c>
      <c r="K826" t="s">
        <v>1408</v>
      </c>
      <c r="O826" s="1"/>
      <c r="P826" s="1" t="s">
        <v>1356</v>
      </c>
      <c r="Q826" s="1" t="s">
        <v>1672</v>
      </c>
      <c r="R826" s="1"/>
    </row>
    <row r="827" spans="4:18" x14ac:dyDescent="0.35">
      <c r="D827" t="s">
        <v>1315</v>
      </c>
      <c r="E827" t="s">
        <v>1308</v>
      </c>
      <c r="F827" t="s">
        <v>938</v>
      </c>
      <c r="G827" t="s">
        <v>1578</v>
      </c>
      <c r="I827" t="s">
        <v>1308</v>
      </c>
      <c r="J827" t="s">
        <v>938</v>
      </c>
      <c r="K827" t="s">
        <v>1383</v>
      </c>
      <c r="O827" s="1"/>
      <c r="P827" s="1"/>
      <c r="Q827" s="1"/>
      <c r="R827" s="1"/>
    </row>
    <row r="828" spans="4:18" x14ac:dyDescent="0.35">
      <c r="D828" t="s">
        <v>177</v>
      </c>
      <c r="E828" t="s">
        <v>1081</v>
      </c>
      <c r="F828" t="s">
        <v>956</v>
      </c>
      <c r="G828" t="s">
        <v>1217</v>
      </c>
      <c r="I828" t="s">
        <v>1082</v>
      </c>
      <c r="J828" t="s">
        <v>938</v>
      </c>
      <c r="K828" s="12" t="s">
        <v>1521</v>
      </c>
      <c r="O828" s="1"/>
      <c r="P828" s="1"/>
      <c r="Q828" s="1"/>
      <c r="R828" s="1"/>
    </row>
    <row r="829" spans="4:18" x14ac:dyDescent="0.35">
      <c r="D829" t="s">
        <v>1315</v>
      </c>
      <c r="E829" t="s">
        <v>1082</v>
      </c>
      <c r="F829" t="s">
        <v>938</v>
      </c>
      <c r="G829" t="s">
        <v>1521</v>
      </c>
      <c r="I829" t="s">
        <v>1308</v>
      </c>
      <c r="J829" t="s">
        <v>938</v>
      </c>
      <c r="K829" t="s">
        <v>1578</v>
      </c>
      <c r="O829" s="1"/>
      <c r="P829" s="1"/>
      <c r="Q829" s="1"/>
      <c r="R829" s="1"/>
    </row>
    <row r="830" spans="4:18" x14ac:dyDescent="0.35">
      <c r="D830" t="s">
        <v>1315</v>
      </c>
      <c r="E830" t="s">
        <v>1082</v>
      </c>
      <c r="F830" t="s">
        <v>938</v>
      </c>
      <c r="G830" t="s">
        <v>1521</v>
      </c>
      <c r="I830" t="s">
        <v>1308</v>
      </c>
      <c r="J830" t="s">
        <v>938</v>
      </c>
      <c r="K830" t="s">
        <v>1675</v>
      </c>
      <c r="O830" s="1"/>
      <c r="P830" s="1"/>
      <c r="Q830" s="1"/>
      <c r="R830" s="1"/>
    </row>
    <row r="831" spans="4:18" x14ac:dyDescent="0.35">
      <c r="D831" t="s">
        <v>149</v>
      </c>
      <c r="E831" t="s">
        <v>1082</v>
      </c>
      <c r="F831" t="s">
        <v>938</v>
      </c>
      <c r="G831" t="s">
        <v>1521</v>
      </c>
      <c r="I831" t="s">
        <v>1082</v>
      </c>
      <c r="J831" t="s">
        <v>938</v>
      </c>
      <c r="K831" t="s">
        <v>1517</v>
      </c>
      <c r="O831" s="1"/>
      <c r="P831" s="1"/>
      <c r="Q831" s="1"/>
      <c r="R831" s="1"/>
    </row>
    <row r="832" spans="4:18" x14ac:dyDescent="0.35">
      <c r="D832" t="s">
        <v>177</v>
      </c>
      <c r="E832" t="s">
        <v>1081</v>
      </c>
      <c r="F832" t="s">
        <v>956</v>
      </c>
      <c r="G832" t="s">
        <v>1217</v>
      </c>
      <c r="I832" t="s">
        <v>1082</v>
      </c>
      <c r="J832" t="s">
        <v>938</v>
      </c>
      <c r="K832" s="12" t="s">
        <v>1535</v>
      </c>
      <c r="O832" s="1"/>
      <c r="P832" s="1"/>
      <c r="Q832" s="1"/>
      <c r="R832" s="1"/>
    </row>
    <row r="833" spans="4:18" x14ac:dyDescent="0.35">
      <c r="D833" t="s">
        <v>1315</v>
      </c>
      <c r="E833" t="s">
        <v>1082</v>
      </c>
      <c r="F833" t="s">
        <v>938</v>
      </c>
      <c r="G833" t="s">
        <v>1535</v>
      </c>
      <c r="I833" t="s">
        <v>1308</v>
      </c>
      <c r="J833" t="s">
        <v>938</v>
      </c>
      <c r="K833" t="s">
        <v>1578</v>
      </c>
      <c r="O833" s="1"/>
      <c r="P833" s="1"/>
      <c r="Q833" s="1"/>
      <c r="R833" s="1"/>
    </row>
    <row r="834" spans="4:18" x14ac:dyDescent="0.35">
      <c r="D834" t="s">
        <v>149</v>
      </c>
      <c r="E834" t="s">
        <v>1082</v>
      </c>
      <c r="F834" t="s">
        <v>938</v>
      </c>
      <c r="G834" t="s">
        <v>1535</v>
      </c>
      <c r="I834" t="s">
        <v>1082</v>
      </c>
      <c r="J834" t="s">
        <v>938</v>
      </c>
      <c r="K834" t="s">
        <v>1517</v>
      </c>
      <c r="O834" s="1"/>
      <c r="P834" s="1"/>
      <c r="Q834" s="1"/>
      <c r="R834" s="1"/>
    </row>
    <row r="835" spans="4:18" x14ac:dyDescent="0.35">
      <c r="D835" t="s">
        <v>177</v>
      </c>
      <c r="E835" t="s">
        <v>1081</v>
      </c>
      <c r="F835" t="s">
        <v>956</v>
      </c>
      <c r="G835" t="s">
        <v>1217</v>
      </c>
      <c r="I835" t="s">
        <v>1082</v>
      </c>
      <c r="J835" t="s">
        <v>938</v>
      </c>
      <c r="K835" s="12" t="s">
        <v>1524</v>
      </c>
      <c r="O835" s="1"/>
      <c r="P835" s="1"/>
      <c r="Q835" s="1"/>
      <c r="R835" s="1"/>
    </row>
    <row r="836" spans="4:18" x14ac:dyDescent="0.35">
      <c r="D836" t="s">
        <v>1315</v>
      </c>
      <c r="E836" t="s">
        <v>1082</v>
      </c>
      <c r="F836" t="s">
        <v>938</v>
      </c>
      <c r="G836" t="s">
        <v>1524</v>
      </c>
      <c r="I836" t="s">
        <v>1308</v>
      </c>
      <c r="J836" t="s">
        <v>938</v>
      </c>
      <c r="K836" t="s">
        <v>1578</v>
      </c>
      <c r="O836" s="1"/>
      <c r="P836" s="1"/>
      <c r="Q836" s="1"/>
      <c r="R836" s="1"/>
    </row>
    <row r="837" spans="4:18" x14ac:dyDescent="0.35">
      <c r="D837" t="s">
        <v>1315</v>
      </c>
      <c r="E837" t="s">
        <v>1082</v>
      </c>
      <c r="F837" t="s">
        <v>938</v>
      </c>
      <c r="G837" t="s">
        <v>1524</v>
      </c>
      <c r="I837" t="s">
        <v>1308</v>
      </c>
      <c r="J837" t="s">
        <v>938</v>
      </c>
      <c r="K837" t="s">
        <v>1675</v>
      </c>
      <c r="O837" s="1"/>
      <c r="P837" s="1"/>
      <c r="Q837" s="1"/>
      <c r="R837" s="1"/>
    </row>
    <row r="838" spans="4:18" x14ac:dyDescent="0.35">
      <c r="D838" t="s">
        <v>149</v>
      </c>
      <c r="E838" t="s">
        <v>1082</v>
      </c>
      <c r="F838" t="s">
        <v>938</v>
      </c>
      <c r="G838" t="s">
        <v>1524</v>
      </c>
      <c r="I838" t="s">
        <v>1082</v>
      </c>
      <c r="J838" t="s">
        <v>938</v>
      </c>
      <c r="K838" t="s">
        <v>1517</v>
      </c>
      <c r="O838" s="1"/>
      <c r="P838" s="1"/>
      <c r="Q838" s="1"/>
      <c r="R838" s="1"/>
    </row>
    <row r="839" spans="4:18" x14ac:dyDescent="0.35">
      <c r="D839" t="s">
        <v>177</v>
      </c>
      <c r="E839" t="s">
        <v>1081</v>
      </c>
      <c r="F839" t="s">
        <v>956</v>
      </c>
      <c r="G839" t="s">
        <v>1217</v>
      </c>
      <c r="I839" t="s">
        <v>1082</v>
      </c>
      <c r="J839" t="s">
        <v>938</v>
      </c>
      <c r="K839" s="12" t="s">
        <v>1527</v>
      </c>
      <c r="O839" s="1"/>
      <c r="P839" s="1"/>
      <c r="Q839" s="1"/>
      <c r="R839" s="1"/>
    </row>
    <row r="840" spans="4:18" x14ac:dyDescent="0.35">
      <c r="D840" t="s">
        <v>1315</v>
      </c>
      <c r="E840" t="s">
        <v>1082</v>
      </c>
      <c r="F840" t="s">
        <v>938</v>
      </c>
      <c r="G840" t="s">
        <v>1527</v>
      </c>
      <c r="I840" t="s">
        <v>1308</v>
      </c>
      <c r="J840" t="s">
        <v>938</v>
      </c>
      <c r="K840" t="s">
        <v>1578</v>
      </c>
      <c r="O840" s="1"/>
      <c r="P840" s="1"/>
      <c r="Q840" s="1"/>
      <c r="R840" s="1"/>
    </row>
    <row r="841" spans="4:18" x14ac:dyDescent="0.35">
      <c r="D841" t="s">
        <v>1315</v>
      </c>
      <c r="E841" t="s">
        <v>1082</v>
      </c>
      <c r="F841" t="s">
        <v>938</v>
      </c>
      <c r="G841" t="s">
        <v>1527</v>
      </c>
      <c r="I841" t="s">
        <v>1308</v>
      </c>
      <c r="J841" t="s">
        <v>938</v>
      </c>
      <c r="K841" t="s">
        <v>1675</v>
      </c>
      <c r="O841" s="1"/>
      <c r="P841" s="1"/>
      <c r="Q841" s="1"/>
      <c r="R841" s="1"/>
    </row>
    <row r="842" spans="4:18" x14ac:dyDescent="0.35">
      <c r="D842" t="s">
        <v>149</v>
      </c>
      <c r="E842" t="s">
        <v>1082</v>
      </c>
      <c r="F842" t="s">
        <v>938</v>
      </c>
      <c r="G842" t="s">
        <v>1527</v>
      </c>
      <c r="I842" t="s">
        <v>1082</v>
      </c>
      <c r="J842" t="s">
        <v>938</v>
      </c>
      <c r="K842" t="s">
        <v>1517</v>
      </c>
      <c r="O842" s="1"/>
      <c r="P842" s="1"/>
      <c r="Q842" s="1"/>
      <c r="R842" s="1"/>
    </row>
    <row r="843" spans="4:18" x14ac:dyDescent="0.35">
      <c r="D843" t="s">
        <v>2215</v>
      </c>
      <c r="E843" t="s">
        <v>1082</v>
      </c>
      <c r="F843" t="s">
        <v>938</v>
      </c>
      <c r="G843" t="s">
        <v>1527</v>
      </c>
      <c r="I843" t="s">
        <v>1082</v>
      </c>
      <c r="J843" t="s">
        <v>938</v>
      </c>
      <c r="K843" t="s">
        <v>2848</v>
      </c>
      <c r="O843" s="1"/>
      <c r="P843" s="1"/>
      <c r="Q843" s="1"/>
      <c r="R843" s="1"/>
    </row>
    <row r="844" spans="4:18" x14ac:dyDescent="0.35">
      <c r="D844" t="s">
        <v>177</v>
      </c>
      <c r="E844" t="s">
        <v>1081</v>
      </c>
      <c r="F844" t="s">
        <v>956</v>
      </c>
      <c r="G844" t="s">
        <v>1217</v>
      </c>
      <c r="I844" t="s">
        <v>1082</v>
      </c>
      <c r="J844" t="s">
        <v>938</v>
      </c>
      <c r="K844" s="12" t="s">
        <v>1529</v>
      </c>
      <c r="O844" s="1"/>
      <c r="P844" s="1"/>
      <c r="Q844" s="1"/>
      <c r="R844" s="1"/>
    </row>
    <row r="845" spans="4:18" x14ac:dyDescent="0.35">
      <c r="D845" t="s">
        <v>1315</v>
      </c>
      <c r="E845" t="s">
        <v>1082</v>
      </c>
      <c r="F845" t="s">
        <v>938</v>
      </c>
      <c r="G845" t="s">
        <v>1529</v>
      </c>
      <c r="I845" t="s">
        <v>1308</v>
      </c>
      <c r="J845" t="s">
        <v>938</v>
      </c>
      <c r="K845" t="s">
        <v>1578</v>
      </c>
      <c r="O845" s="1"/>
      <c r="P845" s="1"/>
      <c r="Q845" s="1"/>
      <c r="R845" s="1"/>
    </row>
    <row r="846" spans="4:18" x14ac:dyDescent="0.35">
      <c r="D846" t="s">
        <v>1315</v>
      </c>
      <c r="E846" t="s">
        <v>1082</v>
      </c>
      <c r="F846" t="s">
        <v>938</v>
      </c>
      <c r="G846" t="s">
        <v>1529</v>
      </c>
      <c r="I846" t="s">
        <v>1308</v>
      </c>
      <c r="J846" t="s">
        <v>938</v>
      </c>
      <c r="K846" t="s">
        <v>1675</v>
      </c>
      <c r="O846" s="1"/>
      <c r="P846" s="1"/>
      <c r="Q846" s="1"/>
      <c r="R846" s="1"/>
    </row>
    <row r="847" spans="4:18" x14ac:dyDescent="0.35">
      <c r="D847" t="s">
        <v>149</v>
      </c>
      <c r="E847" t="s">
        <v>1082</v>
      </c>
      <c r="F847" t="s">
        <v>938</v>
      </c>
      <c r="G847" t="s">
        <v>1529</v>
      </c>
      <c r="I847" t="s">
        <v>1082</v>
      </c>
      <c r="J847" t="s">
        <v>938</v>
      </c>
      <c r="K847" t="s">
        <v>1517</v>
      </c>
      <c r="O847" s="1"/>
      <c r="P847" s="1"/>
      <c r="Q847" s="1"/>
      <c r="R847" s="1"/>
    </row>
    <row r="848" spans="4:18" x14ac:dyDescent="0.35">
      <c r="D848" t="s">
        <v>177</v>
      </c>
      <c r="E848" t="s">
        <v>1081</v>
      </c>
      <c r="F848" t="s">
        <v>956</v>
      </c>
      <c r="G848" t="s">
        <v>1217</v>
      </c>
      <c r="I848" t="s">
        <v>1082</v>
      </c>
      <c r="J848" t="s">
        <v>938</v>
      </c>
      <c r="K848" s="12" t="s">
        <v>1531</v>
      </c>
      <c r="O848" s="1"/>
      <c r="P848" s="1"/>
      <c r="Q848" s="1"/>
      <c r="R848" s="1"/>
    </row>
    <row r="849" spans="4:18" x14ac:dyDescent="0.35">
      <c r="D849" t="s">
        <v>1315</v>
      </c>
      <c r="E849" t="s">
        <v>1082</v>
      </c>
      <c r="F849" t="s">
        <v>938</v>
      </c>
      <c r="G849" t="s">
        <v>1531</v>
      </c>
      <c r="I849" t="s">
        <v>1308</v>
      </c>
      <c r="J849" t="s">
        <v>938</v>
      </c>
      <c r="K849" t="s">
        <v>1578</v>
      </c>
      <c r="O849" s="1"/>
      <c r="P849" s="1"/>
      <c r="Q849" s="1"/>
      <c r="R849" s="1"/>
    </row>
    <row r="850" spans="4:18" x14ac:dyDescent="0.35">
      <c r="D850" t="s">
        <v>1315</v>
      </c>
      <c r="E850" t="s">
        <v>1082</v>
      </c>
      <c r="F850" t="s">
        <v>938</v>
      </c>
      <c r="G850" t="s">
        <v>1531</v>
      </c>
      <c r="I850" t="s">
        <v>1308</v>
      </c>
      <c r="J850" t="s">
        <v>938</v>
      </c>
      <c r="K850" t="s">
        <v>1675</v>
      </c>
      <c r="O850" s="1"/>
      <c r="P850" s="1"/>
      <c r="Q850" s="1"/>
      <c r="R850" s="1"/>
    </row>
    <row r="851" spans="4:18" x14ac:dyDescent="0.35">
      <c r="D851" t="s">
        <v>149</v>
      </c>
      <c r="E851" t="s">
        <v>1082</v>
      </c>
      <c r="F851" t="s">
        <v>938</v>
      </c>
      <c r="G851" t="s">
        <v>1531</v>
      </c>
      <c r="I851" t="s">
        <v>1082</v>
      </c>
      <c r="J851" t="s">
        <v>938</v>
      </c>
      <c r="K851" t="s">
        <v>1517</v>
      </c>
      <c r="O851" s="1"/>
      <c r="P851" s="1"/>
      <c r="Q851" s="1"/>
      <c r="R851" s="1"/>
    </row>
    <row r="852" spans="4:18" x14ac:dyDescent="0.35">
      <c r="D852" t="s">
        <v>177</v>
      </c>
      <c r="E852" t="s">
        <v>1081</v>
      </c>
      <c r="F852" t="s">
        <v>956</v>
      </c>
      <c r="G852" t="s">
        <v>1217</v>
      </c>
      <c r="I852" t="s">
        <v>1082</v>
      </c>
      <c r="J852" t="s">
        <v>938</v>
      </c>
      <c r="K852" s="12" t="s">
        <v>1533</v>
      </c>
      <c r="O852" s="1"/>
      <c r="P852" s="1"/>
      <c r="Q852" s="1"/>
      <c r="R852" s="1"/>
    </row>
    <row r="853" spans="4:18" x14ac:dyDescent="0.35">
      <c r="D853" t="s">
        <v>1315</v>
      </c>
      <c r="E853" t="s">
        <v>1082</v>
      </c>
      <c r="F853" t="s">
        <v>938</v>
      </c>
      <c r="G853" t="s">
        <v>1533</v>
      </c>
      <c r="I853" t="s">
        <v>1308</v>
      </c>
      <c r="J853" t="s">
        <v>938</v>
      </c>
      <c r="K853" t="s">
        <v>1578</v>
      </c>
      <c r="O853" s="1"/>
      <c r="P853" s="1"/>
      <c r="Q853" s="1"/>
      <c r="R853" s="1"/>
    </row>
    <row r="854" spans="4:18" x14ac:dyDescent="0.35">
      <c r="D854" t="s">
        <v>1315</v>
      </c>
      <c r="E854" t="s">
        <v>1082</v>
      </c>
      <c r="F854" t="s">
        <v>938</v>
      </c>
      <c r="G854" t="s">
        <v>1533</v>
      </c>
      <c r="I854" t="s">
        <v>1308</v>
      </c>
      <c r="J854" t="s">
        <v>938</v>
      </c>
      <c r="K854" t="s">
        <v>1675</v>
      </c>
      <c r="O854" s="1"/>
      <c r="P854" s="1"/>
      <c r="Q854" s="1"/>
      <c r="R854" s="1"/>
    </row>
    <row r="855" spans="4:18" x14ac:dyDescent="0.35">
      <c r="D855" t="s">
        <v>149</v>
      </c>
      <c r="E855" t="s">
        <v>1082</v>
      </c>
      <c r="F855" t="s">
        <v>938</v>
      </c>
      <c r="G855" t="s">
        <v>1533</v>
      </c>
      <c r="I855" t="s">
        <v>1082</v>
      </c>
      <c r="J855" t="s">
        <v>938</v>
      </c>
      <c r="K855" t="s">
        <v>1517</v>
      </c>
      <c r="O855" s="1"/>
      <c r="P855" s="1"/>
      <c r="Q855" s="1"/>
      <c r="R855" s="1"/>
    </row>
    <row r="856" spans="4:18" x14ac:dyDescent="0.35">
      <c r="D856" t="s">
        <v>177</v>
      </c>
      <c r="E856" t="s">
        <v>1081</v>
      </c>
      <c r="F856" t="s">
        <v>956</v>
      </c>
      <c r="G856" t="s">
        <v>1217</v>
      </c>
      <c r="I856" t="s">
        <v>1082</v>
      </c>
      <c r="J856" t="s">
        <v>938</v>
      </c>
      <c r="K856" s="12" t="s">
        <v>1537</v>
      </c>
      <c r="O856" s="1"/>
      <c r="P856" s="1"/>
      <c r="Q856" s="1"/>
      <c r="R856" s="1"/>
    </row>
    <row r="857" spans="4:18" x14ac:dyDescent="0.35">
      <c r="D857" t="s">
        <v>1315</v>
      </c>
      <c r="E857" t="s">
        <v>1082</v>
      </c>
      <c r="F857" t="s">
        <v>938</v>
      </c>
      <c r="G857" t="s">
        <v>1537</v>
      </c>
      <c r="I857" t="s">
        <v>1308</v>
      </c>
      <c r="J857" t="s">
        <v>938</v>
      </c>
      <c r="K857" t="s">
        <v>1578</v>
      </c>
      <c r="O857" s="1"/>
      <c r="P857" s="1"/>
      <c r="Q857" s="1"/>
      <c r="R857" s="1"/>
    </row>
    <row r="858" spans="4:18" x14ac:dyDescent="0.35">
      <c r="D858" t="s">
        <v>1315</v>
      </c>
      <c r="E858" t="s">
        <v>1082</v>
      </c>
      <c r="F858" t="s">
        <v>938</v>
      </c>
      <c r="G858" t="s">
        <v>1537</v>
      </c>
      <c r="I858" t="s">
        <v>1308</v>
      </c>
      <c r="J858" t="s">
        <v>938</v>
      </c>
      <c r="K858" t="s">
        <v>1675</v>
      </c>
      <c r="O858" s="1"/>
      <c r="P858" s="1"/>
      <c r="Q858" s="1"/>
      <c r="R858" s="1"/>
    </row>
    <row r="859" spans="4:18" x14ac:dyDescent="0.35">
      <c r="D859" t="s">
        <v>149</v>
      </c>
      <c r="E859" t="s">
        <v>1082</v>
      </c>
      <c r="F859" t="s">
        <v>938</v>
      </c>
      <c r="G859" t="s">
        <v>1537</v>
      </c>
      <c r="I859" t="s">
        <v>1082</v>
      </c>
      <c r="J859" t="s">
        <v>938</v>
      </c>
      <c r="K859" t="s">
        <v>1517</v>
      </c>
      <c r="O859" s="1"/>
      <c r="P859" s="1"/>
      <c r="Q859" s="1"/>
      <c r="R859" s="1"/>
    </row>
    <row r="860" spans="4:18" x14ac:dyDescent="0.35">
      <c r="D860" t="s">
        <v>177</v>
      </c>
      <c r="E860" t="s">
        <v>1081</v>
      </c>
      <c r="F860" t="s">
        <v>956</v>
      </c>
      <c r="G860" t="s">
        <v>1217</v>
      </c>
      <c r="I860" t="s">
        <v>1082</v>
      </c>
      <c r="J860" t="s">
        <v>938</v>
      </c>
      <c r="K860" s="12" t="s">
        <v>1539</v>
      </c>
      <c r="O860" s="1"/>
      <c r="P860" s="1"/>
      <c r="Q860" s="1"/>
      <c r="R860" s="1"/>
    </row>
    <row r="861" spans="4:18" x14ac:dyDescent="0.35">
      <c r="D861" t="s">
        <v>1315</v>
      </c>
      <c r="E861" t="s">
        <v>1082</v>
      </c>
      <c r="F861" t="s">
        <v>938</v>
      </c>
      <c r="G861" t="s">
        <v>1539</v>
      </c>
      <c r="I861" t="s">
        <v>1308</v>
      </c>
      <c r="J861" t="s">
        <v>938</v>
      </c>
      <c r="K861" t="s">
        <v>1578</v>
      </c>
      <c r="O861" s="1"/>
      <c r="P861" s="1"/>
      <c r="Q861" s="1"/>
      <c r="R861" s="1"/>
    </row>
    <row r="862" spans="4:18" x14ac:dyDescent="0.35">
      <c r="D862" t="s">
        <v>1315</v>
      </c>
      <c r="E862" t="s">
        <v>1082</v>
      </c>
      <c r="F862" t="s">
        <v>938</v>
      </c>
      <c r="G862" t="s">
        <v>1539</v>
      </c>
      <c r="I862" t="s">
        <v>1308</v>
      </c>
      <c r="J862" t="s">
        <v>938</v>
      </c>
      <c r="K862" t="s">
        <v>1675</v>
      </c>
      <c r="O862" s="1"/>
      <c r="P862" s="1"/>
      <c r="Q862" s="1"/>
      <c r="R862" s="1"/>
    </row>
    <row r="863" spans="4:18" x14ac:dyDescent="0.35">
      <c r="D863" t="s">
        <v>149</v>
      </c>
      <c r="E863" t="s">
        <v>1082</v>
      </c>
      <c r="F863" t="s">
        <v>938</v>
      </c>
      <c r="G863" t="s">
        <v>1539</v>
      </c>
      <c r="I863" t="s">
        <v>1082</v>
      </c>
      <c r="J863" t="s">
        <v>938</v>
      </c>
      <c r="K863" t="s">
        <v>1517</v>
      </c>
      <c r="O863" s="1"/>
      <c r="P863" s="1"/>
      <c r="Q863" s="1"/>
      <c r="R863" s="1"/>
    </row>
    <row r="864" spans="4:18" x14ac:dyDescent="0.35">
      <c r="D864" t="s">
        <v>1314</v>
      </c>
      <c r="E864" t="s">
        <v>1308</v>
      </c>
      <c r="F864" t="s">
        <v>938</v>
      </c>
      <c r="G864" t="s">
        <v>1675</v>
      </c>
      <c r="I864" t="s">
        <v>1082</v>
      </c>
      <c r="J864" t="s">
        <v>938</v>
      </c>
      <c r="K864" t="s">
        <v>1409</v>
      </c>
      <c r="O864" s="1"/>
      <c r="P864" s="1" t="s">
        <v>1356</v>
      </c>
      <c r="Q864" s="1" t="s">
        <v>1703</v>
      </c>
      <c r="R864" s="1"/>
    </row>
    <row r="865" spans="4:18" x14ac:dyDescent="0.35">
      <c r="D865" t="s">
        <v>177</v>
      </c>
      <c r="E865" t="s">
        <v>1081</v>
      </c>
      <c r="F865" t="s">
        <v>956</v>
      </c>
      <c r="G865" t="s">
        <v>1217</v>
      </c>
      <c r="I865" t="s">
        <v>1082</v>
      </c>
      <c r="J865" t="s">
        <v>938</v>
      </c>
      <c r="K865" s="12" t="s">
        <v>1543</v>
      </c>
      <c r="O865" s="1"/>
      <c r="P865" s="1"/>
      <c r="Q865" s="1"/>
      <c r="R865" s="1"/>
    </row>
    <row r="866" spans="4:18" x14ac:dyDescent="0.35">
      <c r="D866" t="s">
        <v>1315</v>
      </c>
      <c r="E866" t="s">
        <v>1082</v>
      </c>
      <c r="F866" t="s">
        <v>938</v>
      </c>
      <c r="G866" t="s">
        <v>1543</v>
      </c>
      <c r="I866" t="s">
        <v>1308</v>
      </c>
      <c r="J866" t="s">
        <v>938</v>
      </c>
      <c r="K866" t="s">
        <v>1578</v>
      </c>
      <c r="O866" s="1"/>
      <c r="P866" s="1"/>
      <c r="Q866" s="1"/>
      <c r="R866" s="1"/>
    </row>
    <row r="867" spans="4:18" x14ac:dyDescent="0.35">
      <c r="D867" t="s">
        <v>149</v>
      </c>
      <c r="E867" t="s">
        <v>1082</v>
      </c>
      <c r="F867" t="s">
        <v>938</v>
      </c>
      <c r="G867" t="s">
        <v>1543</v>
      </c>
      <c r="I867" t="s">
        <v>1082</v>
      </c>
      <c r="J867" t="s">
        <v>938</v>
      </c>
      <c r="K867" t="s">
        <v>1517</v>
      </c>
      <c r="O867" s="1"/>
      <c r="P867" s="1"/>
      <c r="Q867" s="1"/>
      <c r="R867" s="1"/>
    </row>
    <row r="868" spans="4:18" x14ac:dyDescent="0.35">
      <c r="D868" t="s">
        <v>177</v>
      </c>
      <c r="E868" t="s">
        <v>1081</v>
      </c>
      <c r="F868" t="s">
        <v>956</v>
      </c>
      <c r="G868" t="s">
        <v>1217</v>
      </c>
      <c r="I868" t="s">
        <v>1082</v>
      </c>
      <c r="J868" t="s">
        <v>938</v>
      </c>
      <c r="K868" s="12" t="s">
        <v>1546</v>
      </c>
      <c r="O868" s="1"/>
      <c r="P868" s="1"/>
      <c r="Q868" s="1"/>
      <c r="R868" s="1"/>
    </row>
    <row r="869" spans="4:18" x14ac:dyDescent="0.35">
      <c r="D869" t="s">
        <v>1315</v>
      </c>
      <c r="E869" t="s">
        <v>1082</v>
      </c>
      <c r="F869" t="s">
        <v>938</v>
      </c>
      <c r="G869" t="s">
        <v>1546</v>
      </c>
      <c r="I869" t="s">
        <v>1308</v>
      </c>
      <c r="J869" t="s">
        <v>938</v>
      </c>
      <c r="K869" t="s">
        <v>1578</v>
      </c>
      <c r="O869" s="1"/>
      <c r="P869" s="1"/>
      <c r="Q869" s="1"/>
      <c r="R869" s="1"/>
    </row>
    <row r="870" spans="4:18" x14ac:dyDescent="0.35">
      <c r="D870" t="s">
        <v>149</v>
      </c>
      <c r="E870" t="s">
        <v>1082</v>
      </c>
      <c r="F870" t="s">
        <v>938</v>
      </c>
      <c r="G870" t="s">
        <v>1546</v>
      </c>
      <c r="I870" t="s">
        <v>1082</v>
      </c>
      <c r="J870" t="s">
        <v>938</v>
      </c>
      <c r="K870" t="s">
        <v>1517</v>
      </c>
      <c r="O870" s="1"/>
      <c r="P870" s="1"/>
      <c r="Q870" s="1"/>
      <c r="R870" s="1"/>
    </row>
    <row r="871" spans="4:18" x14ac:dyDescent="0.35">
      <c r="D871" t="s">
        <v>177</v>
      </c>
      <c r="E871" t="s">
        <v>1081</v>
      </c>
      <c r="F871" t="s">
        <v>956</v>
      </c>
      <c r="G871" t="s">
        <v>1217</v>
      </c>
      <c r="I871" t="s">
        <v>1082</v>
      </c>
      <c r="J871" t="s">
        <v>938</v>
      </c>
      <c r="K871" s="12" t="s">
        <v>1548</v>
      </c>
      <c r="O871" s="1"/>
      <c r="P871" s="1"/>
      <c r="Q871" s="1"/>
      <c r="R871" s="1"/>
    </row>
    <row r="872" spans="4:18" x14ac:dyDescent="0.35">
      <c r="D872" t="s">
        <v>1315</v>
      </c>
      <c r="E872" t="s">
        <v>1082</v>
      </c>
      <c r="F872" t="s">
        <v>938</v>
      </c>
      <c r="G872" t="s">
        <v>1548</v>
      </c>
      <c r="I872" t="s">
        <v>1308</v>
      </c>
      <c r="J872" t="s">
        <v>938</v>
      </c>
      <c r="K872" t="s">
        <v>1578</v>
      </c>
      <c r="O872" s="1"/>
      <c r="P872" s="1"/>
      <c r="Q872" s="1"/>
      <c r="R872" s="1"/>
    </row>
    <row r="873" spans="4:18" x14ac:dyDescent="0.35">
      <c r="D873" t="s">
        <v>149</v>
      </c>
      <c r="E873" t="s">
        <v>1082</v>
      </c>
      <c r="F873" t="s">
        <v>938</v>
      </c>
      <c r="G873" t="s">
        <v>1548</v>
      </c>
      <c r="I873" t="s">
        <v>1082</v>
      </c>
      <c r="J873" t="s">
        <v>938</v>
      </c>
      <c r="K873" t="s">
        <v>1517</v>
      </c>
      <c r="O873" s="1"/>
      <c r="P873" s="1"/>
      <c r="Q873" s="1"/>
      <c r="R873" s="1"/>
    </row>
    <row r="874" spans="4:18" x14ac:dyDescent="0.35">
      <c r="D874" t="s">
        <v>177</v>
      </c>
      <c r="E874" t="s">
        <v>1081</v>
      </c>
      <c r="F874" t="s">
        <v>956</v>
      </c>
      <c r="G874" t="s">
        <v>1217</v>
      </c>
      <c r="I874" t="s">
        <v>1082</v>
      </c>
      <c r="J874" t="s">
        <v>938</v>
      </c>
      <c r="K874" s="12" t="s">
        <v>1551</v>
      </c>
      <c r="O874" s="1"/>
      <c r="P874" s="1"/>
      <c r="Q874" s="1"/>
      <c r="R874" s="1"/>
    </row>
    <row r="875" spans="4:18" x14ac:dyDescent="0.35">
      <c r="D875" t="s">
        <v>1315</v>
      </c>
      <c r="E875" t="s">
        <v>1082</v>
      </c>
      <c r="F875" t="s">
        <v>938</v>
      </c>
      <c r="G875" t="s">
        <v>1551</v>
      </c>
      <c r="I875" t="s">
        <v>1308</v>
      </c>
      <c r="J875" t="s">
        <v>938</v>
      </c>
      <c r="K875" t="s">
        <v>1578</v>
      </c>
      <c r="O875" s="1"/>
      <c r="P875" s="1"/>
      <c r="Q875" s="1"/>
      <c r="R875" s="1"/>
    </row>
    <row r="876" spans="4:18" x14ac:dyDescent="0.35">
      <c r="D876" t="s">
        <v>149</v>
      </c>
      <c r="E876" t="s">
        <v>1082</v>
      </c>
      <c r="F876" t="s">
        <v>938</v>
      </c>
      <c r="G876" t="s">
        <v>1551</v>
      </c>
      <c r="I876" t="s">
        <v>1082</v>
      </c>
      <c r="J876" t="s">
        <v>938</v>
      </c>
      <c r="K876" t="s">
        <v>1517</v>
      </c>
      <c r="O876" s="1"/>
      <c r="P876" s="1"/>
      <c r="Q876" s="1"/>
      <c r="R876" s="1"/>
    </row>
    <row r="877" spans="4:18" x14ac:dyDescent="0.35">
      <c r="D877" t="s">
        <v>177</v>
      </c>
      <c r="E877" t="s">
        <v>1081</v>
      </c>
      <c r="F877" t="s">
        <v>956</v>
      </c>
      <c r="G877" t="s">
        <v>1217</v>
      </c>
      <c r="I877" t="s">
        <v>1082</v>
      </c>
      <c r="J877" t="s">
        <v>938</v>
      </c>
      <c r="K877" s="12" t="s">
        <v>1554</v>
      </c>
      <c r="O877" s="1"/>
      <c r="P877" s="1"/>
      <c r="Q877" s="1"/>
      <c r="R877" s="1"/>
    </row>
    <row r="878" spans="4:18" x14ac:dyDescent="0.35">
      <c r="D878" t="s">
        <v>1315</v>
      </c>
      <c r="E878" t="s">
        <v>1082</v>
      </c>
      <c r="F878" t="s">
        <v>938</v>
      </c>
      <c r="G878" t="s">
        <v>1554</v>
      </c>
      <c r="I878" t="s">
        <v>1308</v>
      </c>
      <c r="J878" t="s">
        <v>938</v>
      </c>
      <c r="K878" t="s">
        <v>1578</v>
      </c>
      <c r="O878" s="1"/>
      <c r="P878" s="1"/>
      <c r="Q878" s="1"/>
      <c r="R878" s="1"/>
    </row>
    <row r="879" spans="4:18" x14ac:dyDescent="0.35">
      <c r="D879" t="s">
        <v>149</v>
      </c>
      <c r="E879" t="s">
        <v>1082</v>
      </c>
      <c r="F879" t="s">
        <v>938</v>
      </c>
      <c r="G879" t="s">
        <v>1554</v>
      </c>
      <c r="I879" t="s">
        <v>1082</v>
      </c>
      <c r="J879" t="s">
        <v>938</v>
      </c>
      <c r="K879" t="s">
        <v>1517</v>
      </c>
      <c r="O879" s="1"/>
      <c r="P879" s="1"/>
      <c r="Q879" s="1"/>
      <c r="R879" s="1"/>
    </row>
    <row r="880" spans="4:18" x14ac:dyDescent="0.35">
      <c r="D880" t="s">
        <v>177</v>
      </c>
      <c r="E880" t="s">
        <v>1081</v>
      </c>
      <c r="F880" t="s">
        <v>956</v>
      </c>
      <c r="G880" t="s">
        <v>1217</v>
      </c>
      <c r="I880" t="s">
        <v>1082</v>
      </c>
      <c r="J880" t="s">
        <v>938</v>
      </c>
      <c r="K880" s="12" t="s">
        <v>1557</v>
      </c>
      <c r="O880" s="1"/>
      <c r="P880" s="1"/>
      <c r="Q880" s="1"/>
      <c r="R880" s="1"/>
    </row>
    <row r="881" spans="4:18" x14ac:dyDescent="0.35">
      <c r="D881" t="s">
        <v>1315</v>
      </c>
      <c r="E881" t="s">
        <v>1082</v>
      </c>
      <c r="F881" t="s">
        <v>938</v>
      </c>
      <c r="G881" t="s">
        <v>1557</v>
      </c>
      <c r="I881" t="s">
        <v>1308</v>
      </c>
      <c r="J881" t="s">
        <v>938</v>
      </c>
      <c r="K881" t="s">
        <v>1578</v>
      </c>
      <c r="O881" s="1"/>
      <c r="P881" s="1"/>
      <c r="Q881" s="1"/>
      <c r="R881" s="1"/>
    </row>
    <row r="882" spans="4:18" x14ac:dyDescent="0.35">
      <c r="D882" t="s">
        <v>149</v>
      </c>
      <c r="E882" t="s">
        <v>1082</v>
      </c>
      <c r="F882" t="s">
        <v>938</v>
      </c>
      <c r="G882" t="s">
        <v>1557</v>
      </c>
      <c r="I882" t="s">
        <v>1082</v>
      </c>
      <c r="J882" t="s">
        <v>938</v>
      </c>
      <c r="K882" t="s">
        <v>1517</v>
      </c>
      <c r="O882" s="1"/>
      <c r="P882" s="1"/>
      <c r="Q882" s="1"/>
      <c r="R882" s="1"/>
    </row>
    <row r="883" spans="4:18" x14ac:dyDescent="0.35">
      <c r="D883" t="s">
        <v>177</v>
      </c>
      <c r="E883" t="s">
        <v>1081</v>
      </c>
      <c r="F883" t="s">
        <v>956</v>
      </c>
      <c r="G883" t="s">
        <v>1217</v>
      </c>
      <c r="I883" t="s">
        <v>1082</v>
      </c>
      <c r="J883" t="s">
        <v>938</v>
      </c>
      <c r="K883" s="12" t="s">
        <v>1559</v>
      </c>
      <c r="O883" s="1"/>
      <c r="P883" s="1"/>
      <c r="Q883" s="1"/>
      <c r="R883" s="1"/>
    </row>
    <row r="884" spans="4:18" x14ac:dyDescent="0.35">
      <c r="D884" t="s">
        <v>1315</v>
      </c>
      <c r="E884" t="s">
        <v>1082</v>
      </c>
      <c r="F884" t="s">
        <v>938</v>
      </c>
      <c r="G884" t="s">
        <v>1559</v>
      </c>
      <c r="I884" t="s">
        <v>1308</v>
      </c>
      <c r="J884" t="s">
        <v>938</v>
      </c>
      <c r="K884" t="s">
        <v>1578</v>
      </c>
      <c r="O884" s="1"/>
      <c r="P884" s="1"/>
      <c r="Q884" s="1"/>
      <c r="R884" s="1"/>
    </row>
    <row r="885" spans="4:18" x14ac:dyDescent="0.35">
      <c r="D885" t="s">
        <v>149</v>
      </c>
      <c r="E885" t="s">
        <v>1082</v>
      </c>
      <c r="F885" t="s">
        <v>938</v>
      </c>
      <c r="G885" t="s">
        <v>1559</v>
      </c>
      <c r="I885" t="s">
        <v>1082</v>
      </c>
      <c r="J885" t="s">
        <v>938</v>
      </c>
      <c r="K885" t="s">
        <v>1517</v>
      </c>
      <c r="O885" s="1"/>
      <c r="P885" s="1"/>
      <c r="Q885" s="1"/>
      <c r="R885" s="1"/>
    </row>
    <row r="886" spans="4:18" x14ac:dyDescent="0.35">
      <c r="D886" t="s">
        <v>177</v>
      </c>
      <c r="E886" t="s">
        <v>1081</v>
      </c>
      <c r="F886" t="s">
        <v>956</v>
      </c>
      <c r="G886" t="s">
        <v>1217</v>
      </c>
      <c r="I886" t="s">
        <v>1082</v>
      </c>
      <c r="J886" t="s">
        <v>938</v>
      </c>
      <c r="K886" s="12" t="s">
        <v>1561</v>
      </c>
      <c r="O886" s="1"/>
      <c r="P886" s="1"/>
      <c r="Q886" s="1"/>
      <c r="R886" s="1"/>
    </row>
    <row r="887" spans="4:18" x14ac:dyDescent="0.35">
      <c r="D887" t="s">
        <v>1315</v>
      </c>
      <c r="E887" t="s">
        <v>1082</v>
      </c>
      <c r="F887" t="s">
        <v>938</v>
      </c>
      <c r="G887" t="s">
        <v>1561</v>
      </c>
      <c r="I887" t="s">
        <v>1308</v>
      </c>
      <c r="J887" t="s">
        <v>938</v>
      </c>
      <c r="K887" t="s">
        <v>1578</v>
      </c>
      <c r="O887" s="1"/>
      <c r="P887" s="1"/>
      <c r="Q887" s="1"/>
      <c r="R887" s="1"/>
    </row>
    <row r="888" spans="4:18" x14ac:dyDescent="0.35">
      <c r="D888" t="s">
        <v>149</v>
      </c>
      <c r="E888" t="s">
        <v>1082</v>
      </c>
      <c r="F888" t="s">
        <v>938</v>
      </c>
      <c r="G888" t="s">
        <v>1561</v>
      </c>
      <c r="I888" t="s">
        <v>1082</v>
      </c>
      <c r="J888" t="s">
        <v>938</v>
      </c>
      <c r="K888" t="s">
        <v>1517</v>
      </c>
      <c r="O888" s="1"/>
      <c r="P888" s="1"/>
      <c r="Q888" s="1"/>
      <c r="R888" s="1"/>
    </row>
    <row r="889" spans="4:18" x14ac:dyDescent="0.35">
      <c r="D889" t="s">
        <v>177</v>
      </c>
      <c r="E889" t="s">
        <v>1081</v>
      </c>
      <c r="F889" t="s">
        <v>956</v>
      </c>
      <c r="G889" t="s">
        <v>1217</v>
      </c>
      <c r="I889" t="s">
        <v>1082</v>
      </c>
      <c r="J889" t="s">
        <v>938</v>
      </c>
      <c r="K889" s="12" t="s">
        <v>1564</v>
      </c>
      <c r="O889" s="1"/>
      <c r="P889" s="1"/>
      <c r="Q889" s="1"/>
      <c r="R889" s="1"/>
    </row>
    <row r="890" spans="4:18" x14ac:dyDescent="0.35">
      <c r="D890" t="s">
        <v>1315</v>
      </c>
      <c r="E890" t="s">
        <v>1082</v>
      </c>
      <c r="F890" t="s">
        <v>938</v>
      </c>
      <c r="G890" t="s">
        <v>1564</v>
      </c>
      <c r="I890" t="s">
        <v>1308</v>
      </c>
      <c r="J890" t="s">
        <v>938</v>
      </c>
      <c r="K890" t="s">
        <v>1578</v>
      </c>
      <c r="O890" s="1"/>
      <c r="P890" s="1"/>
      <c r="Q890" s="1"/>
      <c r="R890" s="1"/>
    </row>
    <row r="891" spans="4:18" x14ac:dyDescent="0.35">
      <c r="D891" t="s">
        <v>149</v>
      </c>
      <c r="E891" t="s">
        <v>1082</v>
      </c>
      <c r="F891" t="s">
        <v>938</v>
      </c>
      <c r="G891" t="s">
        <v>1564</v>
      </c>
      <c r="I891" t="s">
        <v>1082</v>
      </c>
      <c r="J891" t="s">
        <v>938</v>
      </c>
      <c r="K891" t="s">
        <v>1517</v>
      </c>
      <c r="O891" s="1"/>
      <c r="P891" s="1"/>
      <c r="Q891" s="1"/>
      <c r="R891" s="1"/>
    </row>
    <row r="892" spans="4:18" x14ac:dyDescent="0.35">
      <c r="D892" t="s">
        <v>177</v>
      </c>
      <c r="E892" t="s">
        <v>1081</v>
      </c>
      <c r="F892" t="s">
        <v>956</v>
      </c>
      <c r="G892" t="s">
        <v>1217</v>
      </c>
      <c r="I892" t="s">
        <v>1082</v>
      </c>
      <c r="J892" t="s">
        <v>938</v>
      </c>
      <c r="K892" s="12" t="s">
        <v>1567</v>
      </c>
      <c r="O892" s="1"/>
      <c r="P892" s="1"/>
      <c r="Q892" s="1"/>
      <c r="R892" s="1"/>
    </row>
    <row r="893" spans="4:18" x14ac:dyDescent="0.35">
      <c r="D893" t="s">
        <v>1315</v>
      </c>
      <c r="E893" t="s">
        <v>1082</v>
      </c>
      <c r="F893" t="s">
        <v>938</v>
      </c>
      <c r="G893" t="s">
        <v>1567</v>
      </c>
      <c r="I893" t="s">
        <v>1308</v>
      </c>
      <c r="J893" t="s">
        <v>938</v>
      </c>
      <c r="K893" t="s">
        <v>1578</v>
      </c>
      <c r="O893" s="1"/>
      <c r="P893" s="1"/>
      <c r="Q893" s="1"/>
      <c r="R893" s="1"/>
    </row>
    <row r="894" spans="4:18" x14ac:dyDescent="0.35">
      <c r="D894" t="s">
        <v>149</v>
      </c>
      <c r="E894" t="s">
        <v>1082</v>
      </c>
      <c r="F894" t="s">
        <v>938</v>
      </c>
      <c r="G894" t="s">
        <v>1567</v>
      </c>
      <c r="I894" t="s">
        <v>1082</v>
      </c>
      <c r="J894" t="s">
        <v>938</v>
      </c>
      <c r="K894" t="s">
        <v>1517</v>
      </c>
      <c r="O894" s="1"/>
      <c r="P894" s="1"/>
      <c r="Q894" s="1"/>
      <c r="R894" s="1"/>
    </row>
    <row r="895" spans="4:18" x14ac:dyDescent="0.35">
      <c r="D895" t="s">
        <v>177</v>
      </c>
      <c r="E895" t="s">
        <v>1081</v>
      </c>
      <c r="F895" t="s">
        <v>956</v>
      </c>
      <c r="G895" t="s">
        <v>1217</v>
      </c>
      <c r="I895" t="s">
        <v>1082</v>
      </c>
      <c r="J895" t="s">
        <v>938</v>
      </c>
      <c r="K895" s="12" t="s">
        <v>1570</v>
      </c>
      <c r="O895" s="1"/>
      <c r="P895" s="1"/>
      <c r="Q895" s="1"/>
      <c r="R895" s="1"/>
    </row>
    <row r="896" spans="4:18" x14ac:dyDescent="0.35">
      <c r="D896" t="s">
        <v>1315</v>
      </c>
      <c r="E896" t="s">
        <v>1082</v>
      </c>
      <c r="F896" t="s">
        <v>938</v>
      </c>
      <c r="G896" t="s">
        <v>1570</v>
      </c>
      <c r="I896" t="s">
        <v>1308</v>
      </c>
      <c r="J896" t="s">
        <v>938</v>
      </c>
      <c r="K896" t="s">
        <v>1578</v>
      </c>
      <c r="O896" s="1"/>
      <c r="P896" s="1"/>
      <c r="Q896" s="1"/>
      <c r="R896" s="1"/>
    </row>
    <row r="897" spans="4:18" x14ac:dyDescent="0.35">
      <c r="D897" t="s">
        <v>149</v>
      </c>
      <c r="E897" t="s">
        <v>1082</v>
      </c>
      <c r="F897" t="s">
        <v>938</v>
      </c>
      <c r="G897" t="s">
        <v>1570</v>
      </c>
      <c r="I897" t="s">
        <v>1082</v>
      </c>
      <c r="J897" t="s">
        <v>938</v>
      </c>
      <c r="K897" t="s">
        <v>1517</v>
      </c>
      <c r="O897" s="1"/>
      <c r="P897" s="1"/>
      <c r="Q897" s="1"/>
      <c r="R897" s="1"/>
    </row>
    <row r="898" spans="4:18" x14ac:dyDescent="0.35">
      <c r="D898" t="s">
        <v>177</v>
      </c>
      <c r="E898" t="s">
        <v>1081</v>
      </c>
      <c r="F898" t="s">
        <v>956</v>
      </c>
      <c r="G898" t="s">
        <v>1217</v>
      </c>
      <c r="I898" t="s">
        <v>1082</v>
      </c>
      <c r="J898" t="s">
        <v>938</v>
      </c>
      <c r="K898" s="12" t="s">
        <v>1572</v>
      </c>
      <c r="O898" s="1"/>
      <c r="P898" s="1"/>
      <c r="Q898" s="1"/>
      <c r="R898" s="1"/>
    </row>
    <row r="899" spans="4:18" x14ac:dyDescent="0.35">
      <c r="D899" t="s">
        <v>1315</v>
      </c>
      <c r="E899" t="s">
        <v>1082</v>
      </c>
      <c r="F899" t="s">
        <v>938</v>
      </c>
      <c r="G899" t="s">
        <v>1572</v>
      </c>
      <c r="I899" t="s">
        <v>1308</v>
      </c>
      <c r="J899" t="s">
        <v>938</v>
      </c>
      <c r="K899" t="s">
        <v>1578</v>
      </c>
      <c r="O899" s="1"/>
      <c r="P899" s="1"/>
      <c r="Q899" s="1"/>
      <c r="R899" s="1"/>
    </row>
    <row r="900" spans="4:18" x14ac:dyDescent="0.35">
      <c r="D900" t="s">
        <v>149</v>
      </c>
      <c r="E900" t="s">
        <v>1082</v>
      </c>
      <c r="F900" t="s">
        <v>938</v>
      </c>
      <c r="G900" t="s">
        <v>1572</v>
      </c>
      <c r="I900" t="s">
        <v>1082</v>
      </c>
      <c r="J900" t="s">
        <v>938</v>
      </c>
      <c r="K900" t="s">
        <v>1517</v>
      </c>
      <c r="O900" s="1"/>
      <c r="P900" s="1"/>
      <c r="Q900" s="1"/>
      <c r="R900" s="1"/>
    </row>
    <row r="901" spans="4:18" x14ac:dyDescent="0.35">
      <c r="D901" t="s">
        <v>177</v>
      </c>
      <c r="E901" t="s">
        <v>1081</v>
      </c>
      <c r="F901" t="s">
        <v>956</v>
      </c>
      <c r="G901" t="s">
        <v>1217</v>
      </c>
      <c r="I901" t="s">
        <v>1082</v>
      </c>
      <c r="J901" t="s">
        <v>938</v>
      </c>
      <c r="K901" s="12" t="s">
        <v>1575</v>
      </c>
      <c r="O901" s="1"/>
      <c r="P901" s="1"/>
      <c r="Q901" s="1"/>
      <c r="R901" s="1"/>
    </row>
    <row r="902" spans="4:18" x14ac:dyDescent="0.35">
      <c r="D902" t="s">
        <v>1315</v>
      </c>
      <c r="E902" t="s">
        <v>1082</v>
      </c>
      <c r="F902" t="s">
        <v>938</v>
      </c>
      <c r="G902" t="s">
        <v>1575</v>
      </c>
      <c r="I902" t="s">
        <v>1308</v>
      </c>
      <c r="J902" t="s">
        <v>938</v>
      </c>
      <c r="K902" t="s">
        <v>1578</v>
      </c>
      <c r="O902" s="1"/>
      <c r="P902" s="1"/>
      <c r="Q902" s="1"/>
      <c r="R902" s="1"/>
    </row>
    <row r="903" spans="4:18" x14ac:dyDescent="0.35">
      <c r="D903" t="s">
        <v>149</v>
      </c>
      <c r="E903" t="s">
        <v>1082</v>
      </c>
      <c r="F903" t="s">
        <v>938</v>
      </c>
      <c r="G903" t="s">
        <v>1575</v>
      </c>
      <c r="I903" t="s">
        <v>1082</v>
      </c>
      <c r="J903" t="s">
        <v>938</v>
      </c>
      <c r="K903" t="s">
        <v>1517</v>
      </c>
      <c r="O903" s="1"/>
      <c r="P903" s="1"/>
      <c r="Q903" s="1"/>
      <c r="R903" s="1"/>
    </row>
    <row r="904" spans="4:18" x14ac:dyDescent="0.35">
      <c r="D904" t="s">
        <v>177</v>
      </c>
      <c r="E904" t="s">
        <v>1081</v>
      </c>
      <c r="F904" t="s">
        <v>956</v>
      </c>
      <c r="G904" t="s">
        <v>1217</v>
      </c>
      <c r="I904" t="s">
        <v>1082</v>
      </c>
      <c r="J904" t="s">
        <v>938</v>
      </c>
      <c r="K904" s="12" t="s">
        <v>1582</v>
      </c>
      <c r="O904" s="1"/>
      <c r="P904" s="1"/>
      <c r="Q904" s="1"/>
      <c r="R904" s="1"/>
    </row>
    <row r="905" spans="4:18" x14ac:dyDescent="0.35">
      <c r="D905" t="s">
        <v>1315</v>
      </c>
      <c r="E905" t="s">
        <v>1082</v>
      </c>
      <c r="F905" t="s">
        <v>938</v>
      </c>
      <c r="G905" t="s">
        <v>1582</v>
      </c>
      <c r="I905" t="s">
        <v>1308</v>
      </c>
      <c r="J905" t="s">
        <v>938</v>
      </c>
      <c r="K905" t="s">
        <v>1579</v>
      </c>
      <c r="O905" s="1"/>
      <c r="P905" s="1"/>
      <c r="Q905" s="1"/>
      <c r="R905" s="1"/>
    </row>
    <row r="906" spans="4:18" x14ac:dyDescent="0.35">
      <c r="D906" t="s">
        <v>1315</v>
      </c>
      <c r="E906" t="s">
        <v>1082</v>
      </c>
      <c r="F906" t="s">
        <v>938</v>
      </c>
      <c r="G906" t="s">
        <v>1582</v>
      </c>
      <c r="I906" t="s">
        <v>1308</v>
      </c>
      <c r="J906" t="s">
        <v>938</v>
      </c>
      <c r="K906" t="s">
        <v>1681</v>
      </c>
      <c r="O906" s="1"/>
      <c r="P906" s="1"/>
      <c r="Q906" s="1"/>
      <c r="R906" s="1"/>
    </row>
    <row r="907" spans="4:18" x14ac:dyDescent="0.35">
      <c r="D907" t="s">
        <v>1315</v>
      </c>
      <c r="E907" t="s">
        <v>1082</v>
      </c>
      <c r="F907" t="s">
        <v>938</v>
      </c>
      <c r="G907" t="s">
        <v>1582</v>
      </c>
      <c r="I907" t="s">
        <v>1308</v>
      </c>
      <c r="J907" t="s">
        <v>938</v>
      </c>
      <c r="K907" t="s">
        <v>1686</v>
      </c>
      <c r="O907" s="1"/>
      <c r="P907" s="1"/>
      <c r="Q907" s="1"/>
      <c r="R907" s="1"/>
    </row>
    <row r="908" spans="4:18" x14ac:dyDescent="0.35">
      <c r="D908" t="s">
        <v>1314</v>
      </c>
      <c r="E908" t="s">
        <v>1082</v>
      </c>
      <c r="F908" t="s">
        <v>938</v>
      </c>
      <c r="G908" t="s">
        <v>1582</v>
      </c>
      <c r="I908" t="s">
        <v>1082</v>
      </c>
      <c r="J908" t="s">
        <v>938</v>
      </c>
      <c r="K908" t="s">
        <v>1396</v>
      </c>
      <c r="O908" s="1"/>
      <c r="P908" s="1" t="s">
        <v>1356</v>
      </c>
      <c r="Q908" s="1" t="s">
        <v>1679</v>
      </c>
      <c r="R908" s="1"/>
    </row>
    <row r="909" spans="4:18" x14ac:dyDescent="0.35">
      <c r="D909" t="s">
        <v>1315</v>
      </c>
      <c r="E909" t="s">
        <v>1308</v>
      </c>
      <c r="F909" t="s">
        <v>938</v>
      </c>
      <c r="G909" t="s">
        <v>1579</v>
      </c>
      <c r="I909" t="s">
        <v>1308</v>
      </c>
      <c r="J909" t="s">
        <v>938</v>
      </c>
      <c r="K909" t="s">
        <v>1383</v>
      </c>
      <c r="O909" s="1"/>
      <c r="P909" s="1"/>
      <c r="Q909" s="1"/>
      <c r="R909" s="1"/>
    </row>
    <row r="910" spans="4:18" x14ac:dyDescent="0.35">
      <c r="D910" t="s">
        <v>2215</v>
      </c>
      <c r="E910" t="s">
        <v>1082</v>
      </c>
      <c r="F910" t="s">
        <v>938</v>
      </c>
      <c r="G910" t="s">
        <v>1582</v>
      </c>
      <c r="I910" t="s">
        <v>1308</v>
      </c>
      <c r="J910" t="s">
        <v>938</v>
      </c>
      <c r="K910" t="s">
        <v>1578</v>
      </c>
      <c r="O910" s="1"/>
      <c r="P910" s="1"/>
      <c r="Q910" s="1"/>
      <c r="R910" s="1"/>
    </row>
    <row r="911" spans="4:18" x14ac:dyDescent="0.35">
      <c r="D911" t="s">
        <v>177</v>
      </c>
      <c r="E911" t="s">
        <v>1081</v>
      </c>
      <c r="F911" t="s">
        <v>956</v>
      </c>
      <c r="G911" t="s">
        <v>1217</v>
      </c>
      <c r="I911" t="s">
        <v>1082</v>
      </c>
      <c r="J911" t="s">
        <v>938</v>
      </c>
      <c r="K911" s="12" t="s">
        <v>1584</v>
      </c>
      <c r="O911" s="1"/>
      <c r="P911" s="1"/>
      <c r="Q911" s="1"/>
      <c r="R911" s="1"/>
    </row>
    <row r="912" spans="4:18" x14ac:dyDescent="0.35">
      <c r="D912" t="s">
        <v>1315</v>
      </c>
      <c r="E912" t="s">
        <v>1082</v>
      </c>
      <c r="F912" t="s">
        <v>938</v>
      </c>
      <c r="G912" t="s">
        <v>1584</v>
      </c>
      <c r="I912" t="s">
        <v>1308</v>
      </c>
      <c r="J912" t="s">
        <v>938</v>
      </c>
      <c r="K912" t="s">
        <v>1579</v>
      </c>
      <c r="O912" s="1"/>
      <c r="P912" s="1"/>
      <c r="Q912" s="1"/>
      <c r="R912" s="1"/>
    </row>
    <row r="913" spans="4:18" x14ac:dyDescent="0.35">
      <c r="D913" t="s">
        <v>1315</v>
      </c>
      <c r="E913" t="s">
        <v>1082</v>
      </c>
      <c r="F913" t="s">
        <v>938</v>
      </c>
      <c r="G913" t="s">
        <v>1584</v>
      </c>
      <c r="I913" t="s">
        <v>1308</v>
      </c>
      <c r="J913" t="s">
        <v>938</v>
      </c>
      <c r="K913" t="s">
        <v>1686</v>
      </c>
      <c r="O913" s="1"/>
      <c r="P913" s="1"/>
      <c r="Q913" s="1"/>
      <c r="R913" s="1"/>
    </row>
    <row r="914" spans="4:18" x14ac:dyDescent="0.35">
      <c r="D914" t="s">
        <v>149</v>
      </c>
      <c r="E914" t="s">
        <v>1082</v>
      </c>
      <c r="F914" t="s">
        <v>938</v>
      </c>
      <c r="G914" t="s">
        <v>1584</v>
      </c>
      <c r="I914" t="s">
        <v>1082</v>
      </c>
      <c r="J914" t="s">
        <v>938</v>
      </c>
      <c r="K914" t="s">
        <v>1582</v>
      </c>
      <c r="O914" s="1"/>
      <c r="P914" s="1"/>
      <c r="Q914" s="1"/>
      <c r="R914" s="1"/>
    </row>
    <row r="915" spans="4:18" x14ac:dyDescent="0.35">
      <c r="D915" t="s">
        <v>177</v>
      </c>
      <c r="E915" t="s">
        <v>1081</v>
      </c>
      <c r="F915" t="s">
        <v>956</v>
      </c>
      <c r="G915" t="s">
        <v>1217</v>
      </c>
      <c r="I915" t="s">
        <v>1082</v>
      </c>
      <c r="J915" t="s">
        <v>938</v>
      </c>
      <c r="K915" s="12" t="s">
        <v>1587</v>
      </c>
      <c r="O915" s="1"/>
      <c r="P915" s="1"/>
      <c r="Q915" s="1"/>
      <c r="R915" s="1"/>
    </row>
    <row r="916" spans="4:18" x14ac:dyDescent="0.35">
      <c r="D916" t="s">
        <v>1315</v>
      </c>
      <c r="E916" t="s">
        <v>1082</v>
      </c>
      <c r="F916" t="s">
        <v>938</v>
      </c>
      <c r="G916" t="s">
        <v>1587</v>
      </c>
      <c r="I916" t="s">
        <v>1308</v>
      </c>
      <c r="J916" t="s">
        <v>938</v>
      </c>
      <c r="K916" t="s">
        <v>1383</v>
      </c>
      <c r="O916" s="1"/>
      <c r="P916" s="1"/>
      <c r="Q916" s="1"/>
      <c r="R916" s="1"/>
    </row>
    <row r="917" spans="4:18" x14ac:dyDescent="0.35">
      <c r="D917" t="s">
        <v>1315</v>
      </c>
      <c r="E917" t="s">
        <v>1082</v>
      </c>
      <c r="F917" t="s">
        <v>938</v>
      </c>
      <c r="G917" t="s">
        <v>1587</v>
      </c>
      <c r="I917" t="s">
        <v>1308</v>
      </c>
      <c r="J917" t="s">
        <v>938</v>
      </c>
      <c r="K917" t="s">
        <v>1681</v>
      </c>
      <c r="O917" s="1"/>
      <c r="P917" s="1"/>
      <c r="Q917" s="1"/>
      <c r="R917" s="1"/>
    </row>
    <row r="918" spans="4:18" x14ac:dyDescent="0.35">
      <c r="D918" t="s">
        <v>1315</v>
      </c>
      <c r="E918" t="s">
        <v>1082</v>
      </c>
      <c r="F918" t="s">
        <v>938</v>
      </c>
      <c r="G918" t="s">
        <v>1587</v>
      </c>
      <c r="I918" t="s">
        <v>1308</v>
      </c>
      <c r="J918" t="s">
        <v>938</v>
      </c>
      <c r="K918" t="s">
        <v>1686</v>
      </c>
      <c r="O918" s="1"/>
      <c r="P918" s="1"/>
      <c r="Q918" s="1"/>
      <c r="R918" s="1"/>
    </row>
    <row r="919" spans="4:18" x14ac:dyDescent="0.35">
      <c r="D919" t="s">
        <v>569</v>
      </c>
      <c r="E919" t="s">
        <v>1082</v>
      </c>
      <c r="F919" t="s">
        <v>938</v>
      </c>
      <c r="G919" t="s">
        <v>1587</v>
      </c>
      <c r="I919" t="s">
        <v>1308</v>
      </c>
      <c r="J919" t="s">
        <v>938</v>
      </c>
      <c r="K919" t="s">
        <v>1579</v>
      </c>
      <c r="O919" s="1"/>
      <c r="P919" s="1"/>
      <c r="Q919" s="1"/>
      <c r="R919" s="1"/>
    </row>
    <row r="920" spans="4:18" x14ac:dyDescent="0.35">
      <c r="D920" t="s">
        <v>1314</v>
      </c>
      <c r="E920" t="s">
        <v>1308</v>
      </c>
      <c r="F920" t="s">
        <v>938</v>
      </c>
      <c r="G920" t="s">
        <v>1681</v>
      </c>
      <c r="I920" t="s">
        <v>1082</v>
      </c>
      <c r="J920" t="s">
        <v>938</v>
      </c>
      <c r="K920" t="s">
        <v>1411</v>
      </c>
      <c r="O920" s="1"/>
      <c r="P920" s="1" t="s">
        <v>1356</v>
      </c>
      <c r="Q920" s="1" t="s">
        <v>1685</v>
      </c>
      <c r="R920" s="1"/>
    </row>
    <row r="921" spans="4:18" x14ac:dyDescent="0.35">
      <c r="D921" t="s">
        <v>1314</v>
      </c>
      <c r="E921" t="s">
        <v>1308</v>
      </c>
      <c r="F921" t="s">
        <v>938</v>
      </c>
      <c r="G921" t="s">
        <v>1686</v>
      </c>
      <c r="I921" t="s">
        <v>1082</v>
      </c>
      <c r="J921" t="s">
        <v>938</v>
      </c>
      <c r="K921" t="s">
        <v>1412</v>
      </c>
      <c r="O921" s="1"/>
      <c r="P921" s="1" t="s">
        <v>1356</v>
      </c>
      <c r="Q921" s="1" t="s">
        <v>1688</v>
      </c>
      <c r="R921" s="1"/>
    </row>
    <row r="922" spans="4:18" x14ac:dyDescent="0.35">
      <c r="D922" t="s">
        <v>177</v>
      </c>
      <c r="E922" t="s">
        <v>1081</v>
      </c>
      <c r="F922" t="s">
        <v>956</v>
      </c>
      <c r="G922" t="s">
        <v>1217</v>
      </c>
      <c r="I922" t="s">
        <v>1082</v>
      </c>
      <c r="J922" t="s">
        <v>938</v>
      </c>
      <c r="K922" s="12" t="s">
        <v>1590</v>
      </c>
      <c r="O922" s="1"/>
      <c r="P922" s="1"/>
      <c r="Q922" s="1"/>
      <c r="R922" s="1"/>
    </row>
    <row r="923" spans="4:18" x14ac:dyDescent="0.35">
      <c r="D923" t="s">
        <v>1315</v>
      </c>
      <c r="E923" t="s">
        <v>1082</v>
      </c>
      <c r="F923" t="s">
        <v>938</v>
      </c>
      <c r="G923" t="s">
        <v>1590</v>
      </c>
      <c r="I923" t="s">
        <v>1308</v>
      </c>
      <c r="J923" t="s">
        <v>938</v>
      </c>
      <c r="K923" t="s">
        <v>1653</v>
      </c>
      <c r="O923" s="1"/>
      <c r="P923" s="1"/>
      <c r="Q923" s="1"/>
      <c r="R923" s="1"/>
    </row>
    <row r="924" spans="4:18" x14ac:dyDescent="0.35">
      <c r="D924" t="s">
        <v>1315</v>
      </c>
      <c r="E924" t="s">
        <v>1082</v>
      </c>
      <c r="F924" t="s">
        <v>938</v>
      </c>
      <c r="G924" t="s">
        <v>1590</v>
      </c>
      <c r="I924" t="s">
        <v>1308</v>
      </c>
      <c r="J924" t="s">
        <v>938</v>
      </c>
      <c r="K924" t="s">
        <v>1692</v>
      </c>
      <c r="O924" s="1"/>
      <c r="P924" s="1"/>
      <c r="Q924" s="1"/>
      <c r="R924" s="1"/>
    </row>
    <row r="925" spans="4:18" x14ac:dyDescent="0.35">
      <c r="D925" t="s">
        <v>1315</v>
      </c>
      <c r="E925" t="s">
        <v>1082</v>
      </c>
      <c r="F925" t="s">
        <v>938</v>
      </c>
      <c r="G925" t="s">
        <v>1590</v>
      </c>
      <c r="I925" t="s">
        <v>1308</v>
      </c>
      <c r="J925" t="s">
        <v>938</v>
      </c>
      <c r="K925" t="s">
        <v>1696</v>
      </c>
      <c r="O925" s="1"/>
      <c r="P925" s="1"/>
      <c r="Q925" s="1"/>
      <c r="R925" s="1"/>
    </row>
    <row r="926" spans="4:18" x14ac:dyDescent="0.35">
      <c r="D926" t="s">
        <v>1315</v>
      </c>
      <c r="E926" t="s">
        <v>1082</v>
      </c>
      <c r="F926" t="s">
        <v>938</v>
      </c>
      <c r="G926" t="s">
        <v>1590</v>
      </c>
      <c r="I926" t="s">
        <v>1308</v>
      </c>
      <c r="J926" t="s">
        <v>938</v>
      </c>
      <c r="K926" t="s">
        <v>1698</v>
      </c>
      <c r="O926" s="1"/>
      <c r="P926" s="1"/>
      <c r="Q926" s="1"/>
      <c r="R926" s="1"/>
    </row>
    <row r="927" spans="4:18" x14ac:dyDescent="0.35">
      <c r="D927" t="s">
        <v>1315</v>
      </c>
      <c r="E927" t="s">
        <v>1082</v>
      </c>
      <c r="F927" t="s">
        <v>938</v>
      </c>
      <c r="G927" t="s">
        <v>1590</v>
      </c>
      <c r="I927" t="s">
        <v>1308</v>
      </c>
      <c r="J927" t="s">
        <v>938</v>
      </c>
      <c r="K927" t="s">
        <v>1700</v>
      </c>
      <c r="O927" s="1"/>
      <c r="P927" s="1"/>
      <c r="Q927" s="1"/>
      <c r="R927" s="1"/>
    </row>
    <row r="928" spans="4:18" x14ac:dyDescent="0.35">
      <c r="D928" t="s">
        <v>2215</v>
      </c>
      <c r="E928" t="s">
        <v>1082</v>
      </c>
      <c r="F928" t="s">
        <v>938</v>
      </c>
      <c r="G928" t="s">
        <v>1590</v>
      </c>
      <c r="I928" t="s">
        <v>1308</v>
      </c>
      <c r="J928" t="s">
        <v>938</v>
      </c>
      <c r="K928" t="s">
        <v>1579</v>
      </c>
      <c r="O928" s="1"/>
      <c r="P928" s="1"/>
      <c r="Q928" s="1"/>
      <c r="R928" s="1"/>
    </row>
    <row r="929" spans="4:18" x14ac:dyDescent="0.35">
      <c r="D929" t="s">
        <v>2215</v>
      </c>
      <c r="E929" t="s">
        <v>1082</v>
      </c>
      <c r="F929" t="s">
        <v>938</v>
      </c>
      <c r="G929" t="s">
        <v>1590</v>
      </c>
      <c r="I929" t="s">
        <v>1082</v>
      </c>
      <c r="J929" t="s">
        <v>938</v>
      </c>
      <c r="K929" t="s">
        <v>1587</v>
      </c>
      <c r="O929" s="1"/>
      <c r="P929" s="1"/>
      <c r="Q929" s="1"/>
      <c r="R929" s="1"/>
    </row>
    <row r="930" spans="4:18" x14ac:dyDescent="0.35">
      <c r="D930" t="s">
        <v>1314</v>
      </c>
      <c r="E930" t="s">
        <v>1082</v>
      </c>
      <c r="F930" t="s">
        <v>938</v>
      </c>
      <c r="G930" t="s">
        <v>1590</v>
      </c>
      <c r="I930" t="s">
        <v>1082</v>
      </c>
      <c r="J930" t="s">
        <v>938</v>
      </c>
      <c r="K930" t="s">
        <v>1413</v>
      </c>
      <c r="O930" s="1"/>
      <c r="P930" s="1" t="s">
        <v>1356</v>
      </c>
      <c r="Q930" s="1" t="s">
        <v>1691</v>
      </c>
      <c r="R930" s="1"/>
    </row>
    <row r="931" spans="4:18" x14ac:dyDescent="0.35">
      <c r="D931" t="s">
        <v>1315</v>
      </c>
      <c r="E931" t="s">
        <v>1308</v>
      </c>
      <c r="F931" t="s">
        <v>938</v>
      </c>
      <c r="G931" t="s">
        <v>1653</v>
      </c>
      <c r="I931" t="s">
        <v>1308</v>
      </c>
      <c r="J931" t="s">
        <v>938</v>
      </c>
      <c r="K931" t="s">
        <v>1383</v>
      </c>
      <c r="O931" s="1"/>
      <c r="P931" s="1"/>
      <c r="Q931" s="1"/>
      <c r="R931" s="1"/>
    </row>
    <row r="932" spans="4:18" x14ac:dyDescent="0.35">
      <c r="D932" t="s">
        <v>177</v>
      </c>
      <c r="E932" t="s">
        <v>1081</v>
      </c>
      <c r="F932" t="s">
        <v>956</v>
      </c>
      <c r="G932" t="s">
        <v>1217</v>
      </c>
      <c r="I932" t="s">
        <v>1082</v>
      </c>
      <c r="J932" t="s">
        <v>938</v>
      </c>
      <c r="K932" s="12" t="s">
        <v>1593</v>
      </c>
      <c r="O932" s="1"/>
      <c r="P932" s="1"/>
      <c r="Q932" s="1"/>
      <c r="R932" s="1"/>
    </row>
    <row r="933" spans="4:18" x14ac:dyDescent="0.35">
      <c r="D933" t="s">
        <v>1315</v>
      </c>
      <c r="E933" t="s">
        <v>1082</v>
      </c>
      <c r="F933" t="s">
        <v>938</v>
      </c>
      <c r="G933" t="s">
        <v>1593</v>
      </c>
      <c r="I933" t="s">
        <v>1308</v>
      </c>
      <c r="J933" t="s">
        <v>938</v>
      </c>
      <c r="K933" t="s">
        <v>1653</v>
      </c>
      <c r="O933" s="1"/>
      <c r="P933" s="1"/>
      <c r="Q933" s="1"/>
      <c r="R933" s="1"/>
    </row>
    <row r="934" spans="4:18" x14ac:dyDescent="0.35">
      <c r="D934" t="s">
        <v>1315</v>
      </c>
      <c r="E934" t="s">
        <v>1082</v>
      </c>
      <c r="F934" t="s">
        <v>938</v>
      </c>
      <c r="G934" t="s">
        <v>1593</v>
      </c>
      <c r="I934" t="s">
        <v>1308</v>
      </c>
      <c r="J934" t="s">
        <v>938</v>
      </c>
      <c r="K934" t="s">
        <v>1692</v>
      </c>
      <c r="O934" s="1"/>
      <c r="P934" s="1"/>
      <c r="Q934" s="1"/>
      <c r="R934" s="1"/>
    </row>
    <row r="935" spans="4:18" x14ac:dyDescent="0.35">
      <c r="D935" t="s">
        <v>1315</v>
      </c>
      <c r="E935" t="s">
        <v>1082</v>
      </c>
      <c r="F935" t="s">
        <v>938</v>
      </c>
      <c r="G935" t="s">
        <v>1593</v>
      </c>
      <c r="I935" t="s">
        <v>1308</v>
      </c>
      <c r="J935" t="s">
        <v>938</v>
      </c>
      <c r="K935" t="s">
        <v>1696</v>
      </c>
      <c r="O935" s="1"/>
      <c r="P935" s="1"/>
      <c r="Q935" s="1"/>
      <c r="R935" s="1"/>
    </row>
    <row r="936" spans="4:18" x14ac:dyDescent="0.35">
      <c r="D936" t="s">
        <v>1315</v>
      </c>
      <c r="E936" t="s">
        <v>1082</v>
      </c>
      <c r="F936" t="s">
        <v>938</v>
      </c>
      <c r="G936" t="s">
        <v>1593</v>
      </c>
      <c r="I936" t="s">
        <v>1308</v>
      </c>
      <c r="J936" t="s">
        <v>938</v>
      </c>
      <c r="K936" t="s">
        <v>1698</v>
      </c>
      <c r="O936" s="1"/>
      <c r="P936" s="1"/>
      <c r="Q936" s="1"/>
      <c r="R936" s="1"/>
    </row>
    <row r="937" spans="4:18" x14ac:dyDescent="0.35">
      <c r="D937" t="s">
        <v>1315</v>
      </c>
      <c r="E937" t="s">
        <v>1082</v>
      </c>
      <c r="F937" t="s">
        <v>938</v>
      </c>
      <c r="G937" t="s">
        <v>1593</v>
      </c>
      <c r="I937" t="s">
        <v>1308</v>
      </c>
      <c r="J937" t="s">
        <v>938</v>
      </c>
      <c r="K937" t="s">
        <v>1700</v>
      </c>
      <c r="O937" s="1"/>
      <c r="P937" s="1"/>
      <c r="Q937" s="1"/>
      <c r="R937" s="1"/>
    </row>
    <row r="938" spans="4:18" x14ac:dyDescent="0.35">
      <c r="D938" t="s">
        <v>149</v>
      </c>
      <c r="E938" t="s">
        <v>1082</v>
      </c>
      <c r="F938" t="s">
        <v>938</v>
      </c>
      <c r="G938" t="s">
        <v>1593</v>
      </c>
      <c r="I938" t="s">
        <v>1082</v>
      </c>
      <c r="J938" t="s">
        <v>938</v>
      </c>
      <c r="K938" t="s">
        <v>1590</v>
      </c>
      <c r="O938" s="1"/>
      <c r="P938" s="1"/>
      <c r="Q938" s="1"/>
      <c r="R938" s="1"/>
    </row>
    <row r="939" spans="4:18" x14ac:dyDescent="0.35">
      <c r="D939" t="s">
        <v>1314</v>
      </c>
      <c r="E939" t="s">
        <v>1308</v>
      </c>
      <c r="F939" t="s">
        <v>938</v>
      </c>
      <c r="G939" t="s">
        <v>1692</v>
      </c>
      <c r="I939" t="s">
        <v>1082</v>
      </c>
      <c r="J939" t="s">
        <v>938</v>
      </c>
      <c r="K939" t="s">
        <v>1414</v>
      </c>
      <c r="O939" s="1"/>
      <c r="P939" s="1" t="s">
        <v>1356</v>
      </c>
      <c r="Q939" s="1" t="s">
        <v>1702</v>
      </c>
      <c r="R939" s="1"/>
    </row>
    <row r="940" spans="4:18" x14ac:dyDescent="0.35">
      <c r="D940" t="s">
        <v>177</v>
      </c>
      <c r="E940" t="s">
        <v>1081</v>
      </c>
      <c r="F940" t="s">
        <v>956</v>
      </c>
      <c r="G940" t="s">
        <v>1217</v>
      </c>
      <c r="I940" t="s">
        <v>1082</v>
      </c>
      <c r="J940" t="s">
        <v>938</v>
      </c>
      <c r="K940" s="12" t="s">
        <v>1596</v>
      </c>
      <c r="O940" s="1"/>
      <c r="P940" s="1"/>
      <c r="Q940" s="1"/>
      <c r="R940" s="1"/>
    </row>
    <row r="941" spans="4:18" x14ac:dyDescent="0.35">
      <c r="D941" t="s">
        <v>1315</v>
      </c>
      <c r="E941" t="s">
        <v>1082</v>
      </c>
      <c r="F941" t="s">
        <v>938</v>
      </c>
      <c r="G941" t="s">
        <v>1596</v>
      </c>
      <c r="I941" t="s">
        <v>1308</v>
      </c>
      <c r="J941" t="s">
        <v>938</v>
      </c>
      <c r="K941" t="s">
        <v>1653</v>
      </c>
      <c r="O941" s="1"/>
      <c r="P941" s="1"/>
      <c r="Q941" s="1"/>
      <c r="R941" s="1"/>
    </row>
    <row r="942" spans="4:18" x14ac:dyDescent="0.35">
      <c r="D942" t="s">
        <v>1315</v>
      </c>
      <c r="E942" t="s">
        <v>1082</v>
      </c>
      <c r="F942" t="s">
        <v>938</v>
      </c>
      <c r="G942" t="s">
        <v>1596</v>
      </c>
      <c r="I942" t="s">
        <v>1308</v>
      </c>
      <c r="J942" t="s">
        <v>938</v>
      </c>
      <c r="K942" t="s">
        <v>1696</v>
      </c>
      <c r="O942" s="1"/>
      <c r="P942" s="1"/>
      <c r="Q942" s="1"/>
      <c r="R942" s="1"/>
    </row>
    <row r="943" spans="4:18" x14ac:dyDescent="0.35">
      <c r="D943" t="s">
        <v>1315</v>
      </c>
      <c r="E943" t="s">
        <v>1082</v>
      </c>
      <c r="F943" t="s">
        <v>938</v>
      </c>
      <c r="G943" t="s">
        <v>1596</v>
      </c>
      <c r="I943" t="s">
        <v>1308</v>
      </c>
      <c r="J943" t="s">
        <v>938</v>
      </c>
      <c r="K943" t="s">
        <v>1698</v>
      </c>
      <c r="O943" s="1"/>
      <c r="P943" s="1"/>
      <c r="Q943" s="1"/>
      <c r="R943" s="1"/>
    </row>
    <row r="944" spans="4:18" x14ac:dyDescent="0.35">
      <c r="D944" t="s">
        <v>1315</v>
      </c>
      <c r="E944" t="s">
        <v>1082</v>
      </c>
      <c r="F944" t="s">
        <v>938</v>
      </c>
      <c r="G944" t="s">
        <v>1596</v>
      </c>
      <c r="I944" t="s">
        <v>1308</v>
      </c>
      <c r="J944" t="s">
        <v>938</v>
      </c>
      <c r="K944" t="s">
        <v>1700</v>
      </c>
      <c r="O944" s="1"/>
      <c r="P944" s="1"/>
      <c r="Q944" s="1"/>
      <c r="R944" s="1"/>
    </row>
    <row r="945" spans="4:18" x14ac:dyDescent="0.35">
      <c r="D945" t="s">
        <v>149</v>
      </c>
      <c r="E945" t="s">
        <v>1082</v>
      </c>
      <c r="F945" t="s">
        <v>938</v>
      </c>
      <c r="G945" t="s">
        <v>1596</v>
      </c>
      <c r="I945" t="s">
        <v>1082</v>
      </c>
      <c r="J945" t="s">
        <v>938</v>
      </c>
      <c r="K945" t="s">
        <v>1590</v>
      </c>
      <c r="O945" s="1"/>
      <c r="P945" s="1"/>
      <c r="Q945" s="1"/>
      <c r="R945" s="1"/>
    </row>
    <row r="946" spans="4:18" x14ac:dyDescent="0.35">
      <c r="D946" t="s">
        <v>1314</v>
      </c>
      <c r="E946" t="s">
        <v>1308</v>
      </c>
      <c r="F946" t="s">
        <v>938</v>
      </c>
      <c r="G946" t="s">
        <v>1696</v>
      </c>
      <c r="I946" t="s">
        <v>1082</v>
      </c>
      <c r="J946" t="s">
        <v>938</v>
      </c>
      <c r="K946" t="s">
        <v>1424</v>
      </c>
      <c r="O946" s="1"/>
      <c r="P946" s="1" t="s">
        <v>1356</v>
      </c>
      <c r="Q946" s="1" t="s">
        <v>1707</v>
      </c>
      <c r="R946" s="1"/>
    </row>
    <row r="947" spans="4:18" x14ac:dyDescent="0.35">
      <c r="D947" t="s">
        <v>177</v>
      </c>
      <c r="E947" t="s">
        <v>1081</v>
      </c>
      <c r="F947" t="s">
        <v>956</v>
      </c>
      <c r="G947" t="s">
        <v>1217</v>
      </c>
      <c r="I947" t="s">
        <v>1082</v>
      </c>
      <c r="J947" t="s">
        <v>938</v>
      </c>
      <c r="K947" s="12" t="s">
        <v>1599</v>
      </c>
      <c r="O947" s="1"/>
      <c r="P947" s="1"/>
      <c r="Q947" s="1"/>
      <c r="R947" s="1"/>
    </row>
    <row r="948" spans="4:18" x14ac:dyDescent="0.35">
      <c r="D948" t="s">
        <v>1315</v>
      </c>
      <c r="E948" t="s">
        <v>1082</v>
      </c>
      <c r="F948" t="s">
        <v>938</v>
      </c>
      <c r="G948" t="s">
        <v>1599</v>
      </c>
      <c r="I948" t="s">
        <v>1308</v>
      </c>
      <c r="J948" t="s">
        <v>938</v>
      </c>
      <c r="K948" t="s">
        <v>1653</v>
      </c>
      <c r="O948" s="1"/>
      <c r="P948" s="1"/>
      <c r="Q948" s="1"/>
      <c r="R948" s="1"/>
    </row>
    <row r="949" spans="4:18" x14ac:dyDescent="0.35">
      <c r="D949" t="s">
        <v>1315</v>
      </c>
      <c r="E949" t="s">
        <v>1082</v>
      </c>
      <c r="F949" t="s">
        <v>938</v>
      </c>
      <c r="G949" t="s">
        <v>1599</v>
      </c>
      <c r="I949" t="s">
        <v>1308</v>
      </c>
      <c r="J949" t="s">
        <v>938</v>
      </c>
      <c r="K949" t="s">
        <v>1698</v>
      </c>
      <c r="O949" s="1"/>
      <c r="P949" s="1"/>
      <c r="Q949" s="1"/>
      <c r="R949" s="1"/>
    </row>
    <row r="950" spans="4:18" x14ac:dyDescent="0.35">
      <c r="D950" t="s">
        <v>1315</v>
      </c>
      <c r="E950" t="s">
        <v>1082</v>
      </c>
      <c r="F950" t="s">
        <v>938</v>
      </c>
      <c r="G950" t="s">
        <v>1599</v>
      </c>
      <c r="I950" t="s">
        <v>1308</v>
      </c>
      <c r="J950" t="s">
        <v>938</v>
      </c>
      <c r="K950" t="s">
        <v>1700</v>
      </c>
      <c r="O950" s="1"/>
      <c r="P950" s="1"/>
      <c r="Q950" s="1"/>
      <c r="R950" s="1"/>
    </row>
    <row r="951" spans="4:18" x14ac:dyDescent="0.35">
      <c r="D951" t="s">
        <v>149</v>
      </c>
      <c r="E951" t="s">
        <v>1082</v>
      </c>
      <c r="F951" t="s">
        <v>938</v>
      </c>
      <c r="G951" t="s">
        <v>1599</v>
      </c>
      <c r="I951" t="s">
        <v>1082</v>
      </c>
      <c r="J951" t="s">
        <v>938</v>
      </c>
      <c r="K951" t="s">
        <v>1590</v>
      </c>
      <c r="O951" s="1"/>
      <c r="P951" s="1"/>
      <c r="Q951" s="1"/>
      <c r="R951" s="1"/>
    </row>
    <row r="952" spans="4:18" x14ac:dyDescent="0.35">
      <c r="D952" t="s">
        <v>177</v>
      </c>
      <c r="E952" t="s">
        <v>1081</v>
      </c>
      <c r="F952" t="s">
        <v>956</v>
      </c>
      <c r="G952" t="s">
        <v>1217</v>
      </c>
      <c r="I952" t="s">
        <v>1082</v>
      </c>
      <c r="J952" t="s">
        <v>938</v>
      </c>
      <c r="K952" s="12" t="s">
        <v>1602</v>
      </c>
      <c r="O952" s="1"/>
      <c r="P952" s="1"/>
      <c r="Q952" s="1"/>
      <c r="R952" s="1"/>
    </row>
    <row r="953" spans="4:18" x14ac:dyDescent="0.35">
      <c r="D953" t="s">
        <v>1315</v>
      </c>
      <c r="E953" t="s">
        <v>1082</v>
      </c>
      <c r="F953" t="s">
        <v>938</v>
      </c>
      <c r="G953" t="s">
        <v>1602</v>
      </c>
      <c r="I953" t="s">
        <v>1308</v>
      </c>
      <c r="J953" t="s">
        <v>938</v>
      </c>
      <c r="K953" t="s">
        <v>1653</v>
      </c>
      <c r="O953" s="1"/>
      <c r="P953" s="1"/>
      <c r="Q953" s="1"/>
      <c r="R953" s="1"/>
    </row>
    <row r="954" spans="4:18" x14ac:dyDescent="0.35">
      <c r="D954" t="s">
        <v>1315</v>
      </c>
      <c r="E954" t="s">
        <v>1082</v>
      </c>
      <c r="F954" t="s">
        <v>938</v>
      </c>
      <c r="G954" t="s">
        <v>1602</v>
      </c>
      <c r="I954" t="s">
        <v>1308</v>
      </c>
      <c r="J954" t="s">
        <v>938</v>
      </c>
      <c r="K954" t="s">
        <v>1698</v>
      </c>
      <c r="O954" s="1"/>
      <c r="P954" s="1"/>
      <c r="Q954" s="1"/>
      <c r="R954" s="1"/>
    </row>
    <row r="955" spans="4:18" x14ac:dyDescent="0.35">
      <c r="D955" t="s">
        <v>1315</v>
      </c>
      <c r="E955" t="s">
        <v>1082</v>
      </c>
      <c r="F955" t="s">
        <v>938</v>
      </c>
      <c r="G955" t="s">
        <v>1602</v>
      </c>
      <c r="I955" t="s">
        <v>1308</v>
      </c>
      <c r="J955" t="s">
        <v>938</v>
      </c>
      <c r="K955" t="s">
        <v>1700</v>
      </c>
      <c r="O955" s="1"/>
      <c r="P955" s="1"/>
      <c r="Q955" s="1"/>
      <c r="R955" s="1"/>
    </row>
    <row r="956" spans="4:18" x14ac:dyDescent="0.35">
      <c r="D956" t="s">
        <v>149</v>
      </c>
      <c r="E956" t="s">
        <v>1082</v>
      </c>
      <c r="F956" t="s">
        <v>938</v>
      </c>
      <c r="G956" t="s">
        <v>1602</v>
      </c>
      <c r="I956" t="s">
        <v>1082</v>
      </c>
      <c r="J956" t="s">
        <v>938</v>
      </c>
      <c r="K956" t="s">
        <v>1590</v>
      </c>
      <c r="O956" s="1"/>
      <c r="P956" s="1"/>
      <c r="Q956" s="1"/>
      <c r="R956" s="1"/>
    </row>
    <row r="957" spans="4:18" x14ac:dyDescent="0.35">
      <c r="D957" t="s">
        <v>1314</v>
      </c>
      <c r="E957" t="s">
        <v>1308</v>
      </c>
      <c r="F957" t="s">
        <v>938</v>
      </c>
      <c r="G957" t="s">
        <v>1698</v>
      </c>
      <c r="I957" t="s">
        <v>1082</v>
      </c>
      <c r="J957" t="s">
        <v>938</v>
      </c>
      <c r="K957" t="s">
        <v>1428</v>
      </c>
      <c r="O957" s="1"/>
      <c r="P957" s="1" t="s">
        <v>1356</v>
      </c>
      <c r="Q957" s="1" t="s">
        <v>1704</v>
      </c>
      <c r="R957" s="1"/>
    </row>
    <row r="958" spans="4:18" x14ac:dyDescent="0.35">
      <c r="D958" t="s">
        <v>177</v>
      </c>
      <c r="E958" t="s">
        <v>1081</v>
      </c>
      <c r="F958" t="s">
        <v>956</v>
      </c>
      <c r="G958" t="s">
        <v>1217</v>
      </c>
      <c r="I958" t="s">
        <v>1082</v>
      </c>
      <c r="J958" t="s">
        <v>938</v>
      </c>
      <c r="K958" s="12" t="s">
        <v>1605</v>
      </c>
      <c r="O958" s="1"/>
      <c r="P958" s="1"/>
      <c r="Q958" s="1"/>
      <c r="R958" s="1"/>
    </row>
    <row r="959" spans="4:18" x14ac:dyDescent="0.35">
      <c r="D959" t="s">
        <v>1315</v>
      </c>
      <c r="E959" t="s">
        <v>1082</v>
      </c>
      <c r="F959" t="s">
        <v>938</v>
      </c>
      <c r="G959" t="s">
        <v>1605</v>
      </c>
      <c r="I959" t="s">
        <v>1308</v>
      </c>
      <c r="J959" t="s">
        <v>938</v>
      </c>
      <c r="K959" t="s">
        <v>1653</v>
      </c>
      <c r="O959" s="1"/>
      <c r="P959" s="1"/>
      <c r="Q959" s="1"/>
      <c r="R959" s="1"/>
    </row>
    <row r="960" spans="4:18" x14ac:dyDescent="0.35">
      <c r="D960" t="s">
        <v>1315</v>
      </c>
      <c r="E960" t="s">
        <v>1082</v>
      </c>
      <c r="F960" t="s">
        <v>938</v>
      </c>
      <c r="G960" t="s">
        <v>1605</v>
      </c>
      <c r="I960" t="s">
        <v>1308</v>
      </c>
      <c r="J960" t="s">
        <v>938</v>
      </c>
      <c r="K960" t="s">
        <v>1700</v>
      </c>
      <c r="O960" s="1"/>
      <c r="P960" s="1"/>
      <c r="Q960" s="1"/>
      <c r="R960" s="1"/>
    </row>
    <row r="961" spans="4:18" x14ac:dyDescent="0.35">
      <c r="D961" t="s">
        <v>149</v>
      </c>
      <c r="E961" t="s">
        <v>1082</v>
      </c>
      <c r="F961" t="s">
        <v>938</v>
      </c>
      <c r="G961" t="s">
        <v>1605</v>
      </c>
      <c r="I961" t="s">
        <v>1082</v>
      </c>
      <c r="J961" t="s">
        <v>938</v>
      </c>
      <c r="K961" t="s">
        <v>1590</v>
      </c>
      <c r="O961" s="1"/>
      <c r="P961" s="1"/>
      <c r="Q961" s="1"/>
      <c r="R961" s="1"/>
    </row>
    <row r="962" spans="4:18" x14ac:dyDescent="0.35">
      <c r="D962" t="s">
        <v>177</v>
      </c>
      <c r="E962" t="s">
        <v>1081</v>
      </c>
      <c r="F962" t="s">
        <v>956</v>
      </c>
      <c r="G962" t="s">
        <v>1217</v>
      </c>
      <c r="I962" t="s">
        <v>1082</v>
      </c>
      <c r="J962" t="s">
        <v>938</v>
      </c>
      <c r="K962" s="12" t="s">
        <v>1608</v>
      </c>
      <c r="O962" s="1"/>
      <c r="P962" s="1"/>
      <c r="Q962" s="1"/>
      <c r="R962" s="1"/>
    </row>
    <row r="963" spans="4:18" x14ac:dyDescent="0.35">
      <c r="D963" t="s">
        <v>1315</v>
      </c>
      <c r="E963" t="s">
        <v>1082</v>
      </c>
      <c r="F963" t="s">
        <v>938</v>
      </c>
      <c r="G963" t="s">
        <v>1608</v>
      </c>
      <c r="I963" t="s">
        <v>1308</v>
      </c>
      <c r="J963" t="s">
        <v>938</v>
      </c>
      <c r="K963" t="s">
        <v>1653</v>
      </c>
      <c r="O963" s="1"/>
      <c r="P963" s="1"/>
      <c r="Q963" s="1"/>
      <c r="R963" s="1"/>
    </row>
    <row r="964" spans="4:18" x14ac:dyDescent="0.35">
      <c r="D964" t="s">
        <v>1315</v>
      </c>
      <c r="E964" t="s">
        <v>1082</v>
      </c>
      <c r="F964" t="s">
        <v>938</v>
      </c>
      <c r="G964" t="s">
        <v>1608</v>
      </c>
      <c r="I964" t="s">
        <v>1308</v>
      </c>
      <c r="J964" t="s">
        <v>938</v>
      </c>
      <c r="K964" t="s">
        <v>1700</v>
      </c>
      <c r="O964" s="1"/>
      <c r="P964" s="1"/>
      <c r="Q964" s="1"/>
      <c r="R964" s="1"/>
    </row>
    <row r="965" spans="4:18" x14ac:dyDescent="0.35">
      <c r="D965" t="s">
        <v>149</v>
      </c>
      <c r="E965" t="s">
        <v>1082</v>
      </c>
      <c r="F965" t="s">
        <v>938</v>
      </c>
      <c r="G965" t="s">
        <v>1608</v>
      </c>
      <c r="I965" t="s">
        <v>1082</v>
      </c>
      <c r="J965" t="s">
        <v>938</v>
      </c>
      <c r="K965" t="s">
        <v>1590</v>
      </c>
      <c r="O965" s="1"/>
      <c r="P965" s="1"/>
      <c r="Q965" s="1"/>
      <c r="R965" s="1"/>
    </row>
    <row r="966" spans="4:18" x14ac:dyDescent="0.35">
      <c r="D966" t="s">
        <v>1314</v>
      </c>
      <c r="E966" t="s">
        <v>1308</v>
      </c>
      <c r="F966" t="s">
        <v>938</v>
      </c>
      <c r="G966" t="s">
        <v>1700</v>
      </c>
      <c r="I966" t="s">
        <v>1082</v>
      </c>
      <c r="J966" t="s">
        <v>938</v>
      </c>
      <c r="K966" t="s">
        <v>1432</v>
      </c>
      <c r="O966" s="1"/>
      <c r="P966" s="1" t="s">
        <v>1356</v>
      </c>
      <c r="Q966" s="1" t="s">
        <v>1705</v>
      </c>
      <c r="R966" s="1"/>
    </row>
    <row r="967" spans="4:18" x14ac:dyDescent="0.35">
      <c r="D967" t="s">
        <v>177</v>
      </c>
      <c r="E967" t="s">
        <v>1081</v>
      </c>
      <c r="F967" t="s">
        <v>956</v>
      </c>
      <c r="G967" t="s">
        <v>1217</v>
      </c>
      <c r="I967" t="s">
        <v>1082</v>
      </c>
      <c r="J967" t="s">
        <v>938</v>
      </c>
      <c r="K967" s="12" t="s">
        <v>1611</v>
      </c>
      <c r="O967" s="1"/>
      <c r="P967" s="1"/>
      <c r="Q967" s="1"/>
      <c r="R967" s="1"/>
    </row>
    <row r="968" spans="4:18" x14ac:dyDescent="0.35">
      <c r="D968" t="s">
        <v>1315</v>
      </c>
      <c r="E968" t="s">
        <v>1082</v>
      </c>
      <c r="F968" t="s">
        <v>938</v>
      </c>
      <c r="G968" t="s">
        <v>1611</v>
      </c>
      <c r="I968" t="s">
        <v>1308</v>
      </c>
      <c r="J968" t="s">
        <v>938</v>
      </c>
      <c r="K968" t="s">
        <v>1653</v>
      </c>
      <c r="O968" s="1"/>
      <c r="P968" s="1"/>
      <c r="Q968" s="1"/>
      <c r="R968" s="1"/>
    </row>
    <row r="969" spans="4:18" x14ac:dyDescent="0.35">
      <c r="D969" t="s">
        <v>149</v>
      </c>
      <c r="E969" t="s">
        <v>1082</v>
      </c>
      <c r="F969" t="s">
        <v>938</v>
      </c>
      <c r="G969" t="s">
        <v>1611</v>
      </c>
      <c r="I969" t="s">
        <v>1082</v>
      </c>
      <c r="J969" t="s">
        <v>938</v>
      </c>
      <c r="K969" t="s">
        <v>1590</v>
      </c>
      <c r="O969" s="1"/>
      <c r="P969" s="1"/>
      <c r="Q969" s="1"/>
      <c r="R969" s="1"/>
    </row>
    <row r="970" spans="4:18" x14ac:dyDescent="0.35">
      <c r="D970" t="s">
        <v>177</v>
      </c>
      <c r="E970" t="s">
        <v>1081</v>
      </c>
      <c r="F970" t="s">
        <v>956</v>
      </c>
      <c r="G970" t="s">
        <v>1217</v>
      </c>
      <c r="I970" t="s">
        <v>1082</v>
      </c>
      <c r="J970" t="s">
        <v>938</v>
      </c>
      <c r="K970" s="12" t="s">
        <v>1614</v>
      </c>
      <c r="O970" s="1"/>
      <c r="P970" s="1"/>
      <c r="Q970" s="1"/>
      <c r="R970" s="1"/>
    </row>
    <row r="971" spans="4:18" x14ac:dyDescent="0.35">
      <c r="D971" t="s">
        <v>1315</v>
      </c>
      <c r="E971" t="s">
        <v>1082</v>
      </c>
      <c r="F971" t="s">
        <v>938</v>
      </c>
      <c r="G971" t="s">
        <v>1614</v>
      </c>
      <c r="I971" t="s">
        <v>1308</v>
      </c>
      <c r="J971" t="s">
        <v>938</v>
      </c>
      <c r="K971" t="s">
        <v>1383</v>
      </c>
      <c r="O971" s="1"/>
      <c r="P971" s="1"/>
      <c r="Q971" s="1"/>
      <c r="R971" s="1"/>
    </row>
    <row r="972" spans="4:18" x14ac:dyDescent="0.35">
      <c r="D972" t="s">
        <v>2215</v>
      </c>
      <c r="E972" t="s">
        <v>1082</v>
      </c>
      <c r="F972" t="s">
        <v>938</v>
      </c>
      <c r="G972" t="s">
        <v>1614</v>
      </c>
      <c r="I972" t="s">
        <v>1308</v>
      </c>
      <c r="J972" t="s">
        <v>938</v>
      </c>
      <c r="K972" t="s">
        <v>1653</v>
      </c>
      <c r="O972" s="1"/>
      <c r="P972" s="1"/>
      <c r="Q972" s="1"/>
      <c r="R972" s="1"/>
    </row>
    <row r="973" spans="4:18" x14ac:dyDescent="0.35">
      <c r="D973" t="s">
        <v>1314</v>
      </c>
      <c r="E973" t="s">
        <v>1082</v>
      </c>
      <c r="F973" t="s">
        <v>938</v>
      </c>
      <c r="G973" t="s">
        <v>1614</v>
      </c>
      <c r="I973" t="s">
        <v>1082</v>
      </c>
      <c r="J973" t="s">
        <v>938</v>
      </c>
      <c r="K973" t="s">
        <v>1436</v>
      </c>
      <c r="O973" s="1"/>
      <c r="P973" s="1" t="s">
        <v>1356</v>
      </c>
      <c r="Q973" s="1" t="s">
        <v>1713</v>
      </c>
      <c r="R973" s="1"/>
    </row>
    <row r="974" spans="4:18" x14ac:dyDescent="0.35">
      <c r="D974" t="s">
        <v>177</v>
      </c>
      <c r="E974" t="s">
        <v>1081</v>
      </c>
      <c r="F974" t="s">
        <v>956</v>
      </c>
      <c r="G974" t="s">
        <v>1217</v>
      </c>
      <c r="I974" t="s">
        <v>1082</v>
      </c>
      <c r="J974" t="s">
        <v>938</v>
      </c>
      <c r="K974" s="12" t="s">
        <v>1617</v>
      </c>
      <c r="O974" s="1"/>
      <c r="P974" s="1"/>
      <c r="Q974" s="1"/>
      <c r="R974" s="1"/>
    </row>
    <row r="975" spans="4:18" x14ac:dyDescent="0.35">
      <c r="D975" t="s">
        <v>1315</v>
      </c>
      <c r="E975" t="s">
        <v>1082</v>
      </c>
      <c r="F975" t="s">
        <v>938</v>
      </c>
      <c r="G975" t="s">
        <v>1617</v>
      </c>
      <c r="I975" t="s">
        <v>1308</v>
      </c>
      <c r="J975" t="s">
        <v>938</v>
      </c>
      <c r="K975" t="s">
        <v>1655</v>
      </c>
      <c r="O975" s="1"/>
      <c r="P975" s="1"/>
      <c r="Q975" s="1"/>
      <c r="R975" s="1"/>
    </row>
    <row r="976" spans="4:18" x14ac:dyDescent="0.35">
      <c r="D976" t="s">
        <v>2215</v>
      </c>
      <c r="E976" t="s">
        <v>1082</v>
      </c>
      <c r="F976" t="s">
        <v>938</v>
      </c>
      <c r="G976" t="s">
        <v>1617</v>
      </c>
      <c r="I976" t="s">
        <v>1082</v>
      </c>
      <c r="J976" t="s">
        <v>938</v>
      </c>
      <c r="K976" t="s">
        <v>1614</v>
      </c>
      <c r="O976" s="1"/>
      <c r="P976" s="1"/>
      <c r="Q976" s="1"/>
      <c r="R976" s="1"/>
    </row>
    <row r="977" spans="4:18" x14ac:dyDescent="0.35">
      <c r="D977" t="s">
        <v>1314</v>
      </c>
      <c r="E977" t="s">
        <v>1082</v>
      </c>
      <c r="F977" t="s">
        <v>938</v>
      </c>
      <c r="G977" t="s">
        <v>1617</v>
      </c>
      <c r="I977" t="s">
        <v>1082</v>
      </c>
      <c r="J977" t="s">
        <v>938</v>
      </c>
      <c r="K977" t="s">
        <v>1440</v>
      </c>
      <c r="O977" s="1"/>
      <c r="P977" s="1" t="s">
        <v>1356</v>
      </c>
      <c r="Q977" s="1" t="s">
        <v>1714</v>
      </c>
      <c r="R977" s="1"/>
    </row>
    <row r="978" spans="4:18" x14ac:dyDescent="0.35">
      <c r="D978" t="s">
        <v>1315</v>
      </c>
      <c r="E978" t="s">
        <v>1308</v>
      </c>
      <c r="F978" t="s">
        <v>938</v>
      </c>
      <c r="G978" t="s">
        <v>1655</v>
      </c>
      <c r="I978" t="s">
        <v>1308</v>
      </c>
      <c r="J978" t="s">
        <v>938</v>
      </c>
      <c r="K978" t="s">
        <v>1383</v>
      </c>
      <c r="O978" s="1"/>
      <c r="P978" s="1"/>
      <c r="Q978" s="1"/>
      <c r="R978" s="1"/>
    </row>
    <row r="979" spans="4:18" x14ac:dyDescent="0.35">
      <c r="D979" t="s">
        <v>177</v>
      </c>
      <c r="E979" t="s">
        <v>1081</v>
      </c>
      <c r="F979" t="s">
        <v>956</v>
      </c>
      <c r="G979" t="s">
        <v>1217</v>
      </c>
      <c r="I979" t="s">
        <v>1082</v>
      </c>
      <c r="J979" t="s">
        <v>938</v>
      </c>
      <c r="K979" s="12" t="s">
        <v>1620</v>
      </c>
      <c r="O979" s="1"/>
      <c r="P979" s="1"/>
      <c r="Q979" s="1"/>
      <c r="R979" s="1"/>
    </row>
    <row r="980" spans="4:18" x14ac:dyDescent="0.35">
      <c r="D980" t="s">
        <v>1315</v>
      </c>
      <c r="E980" t="s">
        <v>1082</v>
      </c>
      <c r="F980" t="s">
        <v>938</v>
      </c>
      <c r="G980" t="s">
        <v>1620</v>
      </c>
      <c r="I980" t="s">
        <v>1308</v>
      </c>
      <c r="J980" t="s">
        <v>938</v>
      </c>
      <c r="K980" t="s">
        <v>1655</v>
      </c>
      <c r="O980" s="1"/>
      <c r="P980" s="1"/>
      <c r="Q980" s="1"/>
      <c r="R980" s="1"/>
    </row>
    <row r="981" spans="4:18" x14ac:dyDescent="0.35">
      <c r="D981" t="s">
        <v>149</v>
      </c>
      <c r="E981" t="s">
        <v>1082</v>
      </c>
      <c r="F981" t="s">
        <v>938</v>
      </c>
      <c r="G981" t="s">
        <v>1620</v>
      </c>
      <c r="I981" t="s">
        <v>1082</v>
      </c>
      <c r="J981" t="s">
        <v>938</v>
      </c>
      <c r="K981" t="s">
        <v>1617</v>
      </c>
      <c r="O981" s="1"/>
      <c r="P981" s="1"/>
      <c r="Q981" s="1"/>
      <c r="R981" s="1"/>
    </row>
    <row r="982" spans="4:18" x14ac:dyDescent="0.35">
      <c r="D982" t="s">
        <v>177</v>
      </c>
      <c r="E982" t="s">
        <v>1081</v>
      </c>
      <c r="F982" t="s">
        <v>956</v>
      </c>
      <c r="G982" t="s">
        <v>1217</v>
      </c>
      <c r="I982" t="s">
        <v>1082</v>
      </c>
      <c r="J982" t="s">
        <v>938</v>
      </c>
      <c r="K982" s="12" t="s">
        <v>1623</v>
      </c>
      <c r="O982" s="1"/>
      <c r="P982" s="1"/>
      <c r="Q982" s="1"/>
      <c r="R982" s="1"/>
    </row>
    <row r="983" spans="4:18" x14ac:dyDescent="0.35">
      <c r="D983" t="s">
        <v>1315</v>
      </c>
      <c r="E983" t="s">
        <v>1082</v>
      </c>
      <c r="F983" t="s">
        <v>938</v>
      </c>
      <c r="G983" t="s">
        <v>1623</v>
      </c>
      <c r="I983" t="s">
        <v>1308</v>
      </c>
      <c r="J983" t="s">
        <v>938</v>
      </c>
      <c r="K983" t="s">
        <v>1658</v>
      </c>
      <c r="O983" s="1"/>
      <c r="P983" s="1"/>
      <c r="Q983" s="1"/>
      <c r="R983" s="1"/>
    </row>
    <row r="984" spans="4:18" x14ac:dyDescent="0.35">
      <c r="D984" t="s">
        <v>1315</v>
      </c>
      <c r="E984" t="s">
        <v>1082</v>
      </c>
      <c r="F984" t="s">
        <v>938</v>
      </c>
      <c r="G984" t="s">
        <v>1623</v>
      </c>
      <c r="I984" t="s">
        <v>1308</v>
      </c>
      <c r="J984" t="s">
        <v>938</v>
      </c>
      <c r="K984" t="s">
        <v>1715</v>
      </c>
      <c r="O984" s="1"/>
      <c r="P984" s="1"/>
      <c r="Q984" s="1"/>
      <c r="R984" s="1"/>
    </row>
    <row r="985" spans="4:18" x14ac:dyDescent="0.35">
      <c r="D985" t="s">
        <v>1315</v>
      </c>
      <c r="E985" t="s">
        <v>1082</v>
      </c>
      <c r="F985" t="s">
        <v>938</v>
      </c>
      <c r="G985" t="s">
        <v>1623</v>
      </c>
      <c r="I985" t="s">
        <v>1308</v>
      </c>
      <c r="J985" t="s">
        <v>938</v>
      </c>
      <c r="K985" t="s">
        <v>1718</v>
      </c>
      <c r="O985" s="1"/>
      <c r="P985" s="1"/>
      <c r="Q985" s="1"/>
      <c r="R985" s="1"/>
    </row>
    <row r="986" spans="4:18" x14ac:dyDescent="0.35">
      <c r="D986" t="s">
        <v>1314</v>
      </c>
      <c r="E986" t="s">
        <v>1082</v>
      </c>
      <c r="F986" t="s">
        <v>938</v>
      </c>
      <c r="G986" t="s">
        <v>1623</v>
      </c>
      <c r="I986" t="s">
        <v>1082</v>
      </c>
      <c r="J986" t="s">
        <v>938</v>
      </c>
      <c r="K986" t="s">
        <v>1454</v>
      </c>
      <c r="O986" s="1"/>
      <c r="P986" s="1" t="s">
        <v>1356</v>
      </c>
      <c r="Q986" s="1" t="s">
        <v>1723</v>
      </c>
      <c r="R986" s="1"/>
    </row>
    <row r="987" spans="4:18" x14ac:dyDescent="0.35">
      <c r="D987" t="s">
        <v>2215</v>
      </c>
      <c r="E987" t="s">
        <v>1082</v>
      </c>
      <c r="F987" t="s">
        <v>938</v>
      </c>
      <c r="G987" t="s">
        <v>1623</v>
      </c>
      <c r="I987" t="s">
        <v>1308</v>
      </c>
      <c r="J987" t="s">
        <v>938</v>
      </c>
      <c r="K987" t="s">
        <v>1655</v>
      </c>
      <c r="O987" s="1"/>
      <c r="P987" s="1"/>
      <c r="Q987" s="1"/>
      <c r="R987" s="1"/>
    </row>
    <row r="988" spans="4:18" x14ac:dyDescent="0.35">
      <c r="D988" t="s">
        <v>1315</v>
      </c>
      <c r="E988" t="s">
        <v>1308</v>
      </c>
      <c r="F988" t="s">
        <v>938</v>
      </c>
      <c r="G988" t="s">
        <v>1658</v>
      </c>
      <c r="I988" t="s">
        <v>1308</v>
      </c>
      <c r="J988" t="s">
        <v>938</v>
      </c>
      <c r="K988" t="s">
        <v>1383</v>
      </c>
      <c r="O988" s="1"/>
      <c r="P988" s="1"/>
      <c r="Q988" s="1"/>
      <c r="R988" s="1"/>
    </row>
    <row r="989" spans="4:18" x14ac:dyDescent="0.35">
      <c r="D989" t="s">
        <v>177</v>
      </c>
      <c r="E989" t="s">
        <v>1081</v>
      </c>
      <c r="F989" t="s">
        <v>956</v>
      </c>
      <c r="G989" t="s">
        <v>1217</v>
      </c>
      <c r="I989" t="s">
        <v>1082</v>
      </c>
      <c r="J989" t="s">
        <v>938</v>
      </c>
      <c r="K989" s="12" t="s">
        <v>1626</v>
      </c>
      <c r="O989" s="1"/>
      <c r="P989" s="1"/>
      <c r="Q989" s="1"/>
      <c r="R989" s="1"/>
    </row>
    <row r="990" spans="4:18" x14ac:dyDescent="0.35">
      <c r="D990" t="s">
        <v>1315</v>
      </c>
      <c r="E990" t="s">
        <v>1082</v>
      </c>
      <c r="F990" t="s">
        <v>938</v>
      </c>
      <c r="G990" t="s">
        <v>1626</v>
      </c>
      <c r="I990" t="s">
        <v>1308</v>
      </c>
      <c r="J990" t="s">
        <v>938</v>
      </c>
      <c r="K990" t="s">
        <v>1658</v>
      </c>
      <c r="O990" s="1"/>
      <c r="P990" s="1"/>
      <c r="Q990" s="1"/>
      <c r="R990" s="1"/>
    </row>
    <row r="991" spans="4:18" x14ac:dyDescent="0.35">
      <c r="D991" t="s">
        <v>1315</v>
      </c>
      <c r="E991" t="s">
        <v>1082</v>
      </c>
      <c r="F991" t="s">
        <v>938</v>
      </c>
      <c r="G991" t="s">
        <v>1626</v>
      </c>
      <c r="I991" t="s">
        <v>1308</v>
      </c>
      <c r="J991" t="s">
        <v>938</v>
      </c>
      <c r="K991" t="s">
        <v>1715</v>
      </c>
      <c r="O991" s="1"/>
      <c r="P991" s="1"/>
      <c r="Q991" s="1"/>
      <c r="R991" s="1"/>
    </row>
    <row r="992" spans="4:18" x14ac:dyDescent="0.35">
      <c r="D992" t="s">
        <v>1315</v>
      </c>
      <c r="E992" t="s">
        <v>1082</v>
      </c>
      <c r="F992" t="s">
        <v>938</v>
      </c>
      <c r="G992" t="s">
        <v>1626</v>
      </c>
      <c r="I992" t="s">
        <v>1308</v>
      </c>
      <c r="J992" t="s">
        <v>938</v>
      </c>
      <c r="K992" t="s">
        <v>1718</v>
      </c>
      <c r="O992" s="1"/>
      <c r="P992" s="1"/>
      <c r="Q992" s="1"/>
      <c r="R992" s="1"/>
    </row>
    <row r="993" spans="4:18" x14ac:dyDescent="0.35">
      <c r="D993" t="s">
        <v>149</v>
      </c>
      <c r="E993" t="s">
        <v>1082</v>
      </c>
      <c r="F993" t="s">
        <v>938</v>
      </c>
      <c r="G993" t="s">
        <v>1626</v>
      </c>
      <c r="I993" t="s">
        <v>1082</v>
      </c>
      <c r="J993" t="s">
        <v>938</v>
      </c>
      <c r="K993" t="s">
        <v>1623</v>
      </c>
      <c r="O993" s="1"/>
      <c r="P993" s="1"/>
      <c r="Q993" s="1"/>
      <c r="R993" s="1"/>
    </row>
    <row r="994" spans="4:18" x14ac:dyDescent="0.35">
      <c r="D994" t="s">
        <v>1314</v>
      </c>
      <c r="E994" t="s">
        <v>1308</v>
      </c>
      <c r="F994" t="s">
        <v>938</v>
      </c>
      <c r="G994" t="s">
        <v>1715</v>
      </c>
      <c r="I994" t="s">
        <v>1082</v>
      </c>
      <c r="J994" t="s">
        <v>938</v>
      </c>
      <c r="K994" t="s">
        <v>1459</v>
      </c>
      <c r="O994" s="1"/>
      <c r="P994" s="1" t="s">
        <v>1356</v>
      </c>
      <c r="Q994" s="1" t="s">
        <v>1724</v>
      </c>
      <c r="R994" s="1"/>
    </row>
    <row r="995" spans="4:18" x14ac:dyDescent="0.35">
      <c r="D995" t="s">
        <v>177</v>
      </c>
      <c r="E995" t="s">
        <v>1081</v>
      </c>
      <c r="F995" t="s">
        <v>956</v>
      </c>
      <c r="G995" t="s">
        <v>1217</v>
      </c>
      <c r="I995" t="s">
        <v>1082</v>
      </c>
      <c r="J995" t="s">
        <v>938</v>
      </c>
      <c r="K995" s="12" t="s">
        <v>1628</v>
      </c>
      <c r="O995" s="1"/>
      <c r="P995" s="1"/>
      <c r="Q995" s="1"/>
      <c r="R995" s="1"/>
    </row>
    <row r="996" spans="4:18" x14ac:dyDescent="0.35">
      <c r="D996" t="s">
        <v>1315</v>
      </c>
      <c r="E996" t="s">
        <v>1082</v>
      </c>
      <c r="F996" t="s">
        <v>938</v>
      </c>
      <c r="G996" t="s">
        <v>1628</v>
      </c>
      <c r="I996" t="s">
        <v>1308</v>
      </c>
      <c r="J996" t="s">
        <v>938</v>
      </c>
      <c r="K996" t="s">
        <v>1658</v>
      </c>
      <c r="O996" s="1"/>
      <c r="P996" s="1"/>
      <c r="Q996" s="1"/>
      <c r="R996" s="1"/>
    </row>
    <row r="997" spans="4:18" x14ac:dyDescent="0.35">
      <c r="D997" t="s">
        <v>1315</v>
      </c>
      <c r="E997" t="s">
        <v>1082</v>
      </c>
      <c r="F997" t="s">
        <v>938</v>
      </c>
      <c r="G997" t="s">
        <v>1628</v>
      </c>
      <c r="I997" t="s">
        <v>1308</v>
      </c>
      <c r="J997" t="s">
        <v>938</v>
      </c>
      <c r="K997" t="s">
        <v>1718</v>
      </c>
      <c r="O997" s="1"/>
      <c r="P997" s="1"/>
      <c r="Q997" s="1"/>
      <c r="R997" s="1"/>
    </row>
    <row r="998" spans="4:18" x14ac:dyDescent="0.35">
      <c r="D998" t="s">
        <v>149</v>
      </c>
      <c r="E998" t="s">
        <v>1082</v>
      </c>
      <c r="F998" t="s">
        <v>938</v>
      </c>
      <c r="G998" t="s">
        <v>1628</v>
      </c>
      <c r="I998" t="s">
        <v>1082</v>
      </c>
      <c r="J998" t="s">
        <v>938</v>
      </c>
      <c r="K998" t="s">
        <v>1623</v>
      </c>
      <c r="O998" s="1"/>
      <c r="P998" s="1"/>
      <c r="Q998" s="1"/>
      <c r="R998" s="1"/>
    </row>
    <row r="999" spans="4:18" x14ac:dyDescent="0.35">
      <c r="D999" t="s">
        <v>1314</v>
      </c>
      <c r="E999" t="s">
        <v>1308</v>
      </c>
      <c r="F999" t="s">
        <v>938</v>
      </c>
      <c r="G999" t="s">
        <v>1718</v>
      </c>
      <c r="I999" t="s">
        <v>1082</v>
      </c>
      <c r="J999" t="s">
        <v>938</v>
      </c>
      <c r="K999" t="s">
        <v>1464</v>
      </c>
      <c r="O999" s="1"/>
      <c r="P999" s="1" t="s">
        <v>1356</v>
      </c>
      <c r="Q999" s="1" t="s">
        <v>1725</v>
      </c>
      <c r="R999" s="1"/>
    </row>
    <row r="1000" spans="4:18" x14ac:dyDescent="0.35">
      <c r="D1000" t="s">
        <v>177</v>
      </c>
      <c r="E1000" t="s">
        <v>1081</v>
      </c>
      <c r="F1000" t="s">
        <v>956</v>
      </c>
      <c r="G1000" t="s">
        <v>1217</v>
      </c>
      <c r="I1000" t="s">
        <v>1082</v>
      </c>
      <c r="J1000" t="s">
        <v>938</v>
      </c>
      <c r="K1000" s="12" t="s">
        <v>1631</v>
      </c>
      <c r="O1000" s="1"/>
      <c r="P1000" s="1"/>
      <c r="Q1000" s="1"/>
      <c r="R1000" s="1"/>
    </row>
    <row r="1001" spans="4:18" x14ac:dyDescent="0.35">
      <c r="D1001" t="s">
        <v>1315</v>
      </c>
      <c r="E1001" t="s">
        <v>1082</v>
      </c>
      <c r="F1001" t="s">
        <v>938</v>
      </c>
      <c r="G1001" t="s">
        <v>1631</v>
      </c>
      <c r="I1001" t="s">
        <v>1308</v>
      </c>
      <c r="J1001" t="s">
        <v>938</v>
      </c>
      <c r="K1001" t="s">
        <v>1661</v>
      </c>
      <c r="O1001" s="1"/>
      <c r="P1001" s="1"/>
      <c r="Q1001" s="1"/>
      <c r="R1001" s="1"/>
    </row>
    <row r="1002" spans="4:18" x14ac:dyDescent="0.35">
      <c r="D1002" t="s">
        <v>1315</v>
      </c>
      <c r="E1002" t="s">
        <v>1082</v>
      </c>
      <c r="F1002" t="s">
        <v>938</v>
      </c>
      <c r="G1002" t="s">
        <v>1631</v>
      </c>
      <c r="I1002" t="s">
        <v>1308</v>
      </c>
      <c r="J1002" t="s">
        <v>938</v>
      </c>
      <c r="K1002" t="s">
        <v>1728</v>
      </c>
      <c r="O1002" s="1"/>
      <c r="P1002" s="1"/>
      <c r="Q1002" s="1"/>
      <c r="R1002" s="1"/>
    </row>
    <row r="1003" spans="4:18" x14ac:dyDescent="0.35">
      <c r="D1003" t="s">
        <v>1315</v>
      </c>
      <c r="E1003" t="s">
        <v>1082</v>
      </c>
      <c r="F1003" t="s">
        <v>938</v>
      </c>
      <c r="G1003" t="s">
        <v>1631</v>
      </c>
      <c r="I1003" t="s">
        <v>1308</v>
      </c>
      <c r="J1003" t="s">
        <v>938</v>
      </c>
      <c r="K1003" t="s">
        <v>1731</v>
      </c>
      <c r="O1003" s="1"/>
      <c r="P1003" s="1"/>
      <c r="Q1003" s="1"/>
      <c r="R1003" s="1"/>
    </row>
    <row r="1004" spans="4:18" x14ac:dyDescent="0.35">
      <c r="D1004" t="s">
        <v>2215</v>
      </c>
      <c r="E1004" t="s">
        <v>1082</v>
      </c>
      <c r="F1004" t="s">
        <v>938</v>
      </c>
      <c r="G1004" t="s">
        <v>1631</v>
      </c>
      <c r="I1004" t="s">
        <v>1308</v>
      </c>
      <c r="J1004" t="s">
        <v>938</v>
      </c>
      <c r="K1004" t="s">
        <v>1658</v>
      </c>
      <c r="O1004" s="1"/>
      <c r="P1004" s="1"/>
      <c r="Q1004" s="1"/>
      <c r="R1004" s="1"/>
    </row>
    <row r="1005" spans="4:18" x14ac:dyDescent="0.35">
      <c r="D1005" t="s">
        <v>1314</v>
      </c>
      <c r="E1005" t="s">
        <v>1082</v>
      </c>
      <c r="F1005" t="s">
        <v>938</v>
      </c>
      <c r="G1005" t="s">
        <v>1631</v>
      </c>
      <c r="I1005" t="s">
        <v>1082</v>
      </c>
      <c r="J1005" t="s">
        <v>938</v>
      </c>
      <c r="K1005" t="s">
        <v>1469</v>
      </c>
      <c r="O1005" s="1"/>
      <c r="P1005" s="1" t="s">
        <v>1356</v>
      </c>
      <c r="Q1005" s="1" t="s">
        <v>1727</v>
      </c>
      <c r="R1005" s="1"/>
    </row>
    <row r="1006" spans="4:18" x14ac:dyDescent="0.35">
      <c r="D1006" t="s">
        <v>1315</v>
      </c>
      <c r="E1006" t="s">
        <v>1308</v>
      </c>
      <c r="F1006" t="s">
        <v>938</v>
      </c>
      <c r="G1006" t="s">
        <v>1661</v>
      </c>
      <c r="I1006" t="s">
        <v>1308</v>
      </c>
      <c r="J1006" t="s">
        <v>938</v>
      </c>
      <c r="K1006" t="s">
        <v>1383</v>
      </c>
      <c r="O1006" s="1"/>
      <c r="P1006" s="1"/>
      <c r="Q1006" s="1"/>
      <c r="R1006" s="1"/>
    </row>
    <row r="1007" spans="4:18" x14ac:dyDescent="0.35">
      <c r="D1007" t="s">
        <v>177</v>
      </c>
      <c r="E1007" t="s">
        <v>1081</v>
      </c>
      <c r="F1007" t="s">
        <v>956</v>
      </c>
      <c r="G1007" t="s">
        <v>1217</v>
      </c>
      <c r="I1007" t="s">
        <v>1082</v>
      </c>
      <c r="J1007" t="s">
        <v>938</v>
      </c>
      <c r="K1007" s="12" t="s">
        <v>1634</v>
      </c>
      <c r="O1007" s="1"/>
      <c r="P1007" s="1"/>
      <c r="Q1007" s="1"/>
      <c r="R1007" s="1"/>
    </row>
    <row r="1008" spans="4:18" x14ac:dyDescent="0.35">
      <c r="D1008" t="s">
        <v>1315</v>
      </c>
      <c r="E1008" t="s">
        <v>1082</v>
      </c>
      <c r="F1008" t="s">
        <v>938</v>
      </c>
      <c r="G1008" t="s">
        <v>1634</v>
      </c>
      <c r="I1008" t="s">
        <v>1308</v>
      </c>
      <c r="J1008" t="s">
        <v>938</v>
      </c>
      <c r="K1008" t="s">
        <v>1661</v>
      </c>
      <c r="O1008" s="1"/>
      <c r="P1008" s="1"/>
      <c r="Q1008" s="1"/>
      <c r="R1008" s="1"/>
    </row>
    <row r="1009" spans="4:18" x14ac:dyDescent="0.35">
      <c r="D1009" t="s">
        <v>1315</v>
      </c>
      <c r="E1009" t="s">
        <v>1082</v>
      </c>
      <c r="F1009" t="s">
        <v>938</v>
      </c>
      <c r="G1009" t="s">
        <v>1634</v>
      </c>
      <c r="I1009" t="s">
        <v>1308</v>
      </c>
      <c r="J1009" t="s">
        <v>938</v>
      </c>
      <c r="K1009" t="s">
        <v>1728</v>
      </c>
      <c r="O1009" s="1"/>
      <c r="P1009" s="1"/>
      <c r="Q1009" s="1"/>
      <c r="R1009" s="1"/>
    </row>
    <row r="1010" spans="4:18" x14ac:dyDescent="0.35">
      <c r="D1010" t="s">
        <v>1315</v>
      </c>
      <c r="E1010" t="s">
        <v>1082</v>
      </c>
      <c r="F1010" t="s">
        <v>938</v>
      </c>
      <c r="G1010" t="s">
        <v>1634</v>
      </c>
      <c r="I1010" t="s">
        <v>1308</v>
      </c>
      <c r="J1010" t="s">
        <v>938</v>
      </c>
      <c r="K1010" t="s">
        <v>1731</v>
      </c>
      <c r="O1010" s="1"/>
      <c r="P1010" s="1"/>
      <c r="Q1010" s="1"/>
      <c r="R1010" s="1"/>
    </row>
    <row r="1011" spans="4:18" x14ac:dyDescent="0.35">
      <c r="D1011" t="s">
        <v>149</v>
      </c>
      <c r="E1011" t="s">
        <v>1082</v>
      </c>
      <c r="F1011" t="s">
        <v>938</v>
      </c>
      <c r="G1011" t="s">
        <v>1634</v>
      </c>
      <c r="I1011" t="s">
        <v>1082</v>
      </c>
      <c r="J1011" t="s">
        <v>938</v>
      </c>
      <c r="K1011" t="s">
        <v>1631</v>
      </c>
      <c r="O1011" s="1"/>
      <c r="P1011" s="1"/>
      <c r="Q1011" s="1"/>
      <c r="R1011" s="1"/>
    </row>
    <row r="1012" spans="4:18" x14ac:dyDescent="0.35">
      <c r="D1012" t="s">
        <v>1314</v>
      </c>
      <c r="E1012" t="s">
        <v>1308</v>
      </c>
      <c r="F1012" t="s">
        <v>938</v>
      </c>
      <c r="G1012" t="s">
        <v>1728</v>
      </c>
      <c r="I1012" t="s">
        <v>1082</v>
      </c>
      <c r="J1012" t="s">
        <v>938</v>
      </c>
      <c r="K1012" t="s">
        <v>1474</v>
      </c>
      <c r="O1012" s="1"/>
      <c r="P1012" s="1" t="s">
        <v>1356</v>
      </c>
      <c r="Q1012" s="1" t="s">
        <v>1733</v>
      </c>
      <c r="R1012" s="1"/>
    </row>
    <row r="1013" spans="4:18" x14ac:dyDescent="0.35">
      <c r="D1013" t="s">
        <v>177</v>
      </c>
      <c r="E1013" t="s">
        <v>1081</v>
      </c>
      <c r="F1013" t="s">
        <v>956</v>
      </c>
      <c r="G1013" t="s">
        <v>1217</v>
      </c>
      <c r="I1013" t="s">
        <v>1082</v>
      </c>
      <c r="J1013" t="s">
        <v>938</v>
      </c>
      <c r="K1013" s="12" t="s">
        <v>1637</v>
      </c>
      <c r="O1013" s="1"/>
      <c r="P1013" s="1"/>
      <c r="Q1013" s="1"/>
      <c r="R1013" s="1"/>
    </row>
    <row r="1014" spans="4:18" x14ac:dyDescent="0.35">
      <c r="D1014" t="s">
        <v>1315</v>
      </c>
      <c r="E1014" t="s">
        <v>1082</v>
      </c>
      <c r="F1014" t="s">
        <v>938</v>
      </c>
      <c r="G1014" t="s">
        <v>1637</v>
      </c>
      <c r="I1014" t="s">
        <v>1308</v>
      </c>
      <c r="J1014" t="s">
        <v>938</v>
      </c>
      <c r="K1014" t="s">
        <v>1661</v>
      </c>
      <c r="O1014" s="1"/>
      <c r="P1014" s="1"/>
      <c r="Q1014" s="1"/>
      <c r="R1014" s="1"/>
    </row>
    <row r="1015" spans="4:18" x14ac:dyDescent="0.35">
      <c r="D1015" t="s">
        <v>1315</v>
      </c>
      <c r="E1015" t="s">
        <v>1082</v>
      </c>
      <c r="F1015" t="s">
        <v>938</v>
      </c>
      <c r="G1015" t="s">
        <v>1637</v>
      </c>
      <c r="I1015" t="s">
        <v>1308</v>
      </c>
      <c r="J1015" t="s">
        <v>938</v>
      </c>
      <c r="K1015" t="s">
        <v>1731</v>
      </c>
      <c r="O1015" s="1"/>
      <c r="P1015" s="1"/>
      <c r="Q1015" s="1"/>
      <c r="R1015" s="1"/>
    </row>
    <row r="1016" spans="4:18" x14ac:dyDescent="0.35">
      <c r="D1016" t="s">
        <v>149</v>
      </c>
      <c r="E1016" t="s">
        <v>1082</v>
      </c>
      <c r="F1016" t="s">
        <v>938</v>
      </c>
      <c r="G1016" t="s">
        <v>1637</v>
      </c>
      <c r="I1016" t="s">
        <v>1082</v>
      </c>
      <c r="J1016" t="s">
        <v>938</v>
      </c>
      <c r="K1016" t="s">
        <v>1631</v>
      </c>
      <c r="O1016" s="1"/>
      <c r="P1016" s="1"/>
      <c r="Q1016" s="1"/>
      <c r="R1016" s="1"/>
    </row>
    <row r="1017" spans="4:18" x14ac:dyDescent="0.35">
      <c r="D1017" t="s">
        <v>1314</v>
      </c>
      <c r="E1017" t="s">
        <v>1308</v>
      </c>
      <c r="F1017" t="s">
        <v>938</v>
      </c>
      <c r="G1017" t="s">
        <v>1731</v>
      </c>
      <c r="I1017" t="s">
        <v>1082</v>
      </c>
      <c r="J1017" t="s">
        <v>938</v>
      </c>
      <c r="K1017" t="s">
        <v>1479</v>
      </c>
      <c r="O1017" s="1"/>
      <c r="P1017" s="1" t="s">
        <v>1356</v>
      </c>
      <c r="Q1017" s="1" t="s">
        <v>1734</v>
      </c>
      <c r="R1017" s="1"/>
    </row>
    <row r="1018" spans="4:18" x14ac:dyDescent="0.35">
      <c r="D1018" t="s">
        <v>177</v>
      </c>
      <c r="E1018" t="s">
        <v>1081</v>
      </c>
      <c r="F1018" t="s">
        <v>956</v>
      </c>
      <c r="G1018" t="s">
        <v>1217</v>
      </c>
      <c r="I1018" t="s">
        <v>1082</v>
      </c>
      <c r="J1018" t="s">
        <v>938</v>
      </c>
      <c r="K1018" s="12" t="s">
        <v>1640</v>
      </c>
      <c r="O1018" s="1"/>
      <c r="P1018" s="1"/>
      <c r="Q1018" s="1"/>
      <c r="R1018" s="1"/>
    </row>
    <row r="1019" spans="4:18" x14ac:dyDescent="0.35">
      <c r="D1019" t="s">
        <v>1315</v>
      </c>
      <c r="E1019" t="s">
        <v>1082</v>
      </c>
      <c r="F1019" t="s">
        <v>938</v>
      </c>
      <c r="G1019" t="s">
        <v>1640</v>
      </c>
      <c r="I1019" t="s">
        <v>1308</v>
      </c>
      <c r="J1019" t="s">
        <v>938</v>
      </c>
      <c r="K1019" t="s">
        <v>1664</v>
      </c>
      <c r="O1019" s="1"/>
      <c r="P1019" s="1"/>
      <c r="Q1019" s="1"/>
      <c r="R1019" s="1"/>
    </row>
    <row r="1020" spans="4:18" x14ac:dyDescent="0.35">
      <c r="D1020" t="s">
        <v>1315</v>
      </c>
      <c r="E1020" t="s">
        <v>1082</v>
      </c>
      <c r="F1020" t="s">
        <v>938</v>
      </c>
      <c r="G1020" t="s">
        <v>1640</v>
      </c>
      <c r="I1020" t="s">
        <v>1308</v>
      </c>
      <c r="J1020" t="s">
        <v>938</v>
      </c>
      <c r="K1020" t="s">
        <v>1739</v>
      </c>
      <c r="O1020" s="1"/>
      <c r="P1020" s="1"/>
      <c r="Q1020" s="1"/>
      <c r="R1020" s="1"/>
    </row>
    <row r="1021" spans="4:18" x14ac:dyDescent="0.35">
      <c r="D1021" t="s">
        <v>1315</v>
      </c>
      <c r="E1021" t="s">
        <v>1082</v>
      </c>
      <c r="F1021" t="s">
        <v>938</v>
      </c>
      <c r="G1021" t="s">
        <v>1640</v>
      </c>
      <c r="I1021" t="s">
        <v>1308</v>
      </c>
      <c r="J1021" t="s">
        <v>938</v>
      </c>
      <c r="K1021" t="s">
        <v>1742</v>
      </c>
      <c r="O1021" s="1"/>
      <c r="P1021" s="1"/>
      <c r="Q1021" s="1"/>
      <c r="R1021" s="1"/>
    </row>
    <row r="1022" spans="4:18" x14ac:dyDescent="0.35">
      <c r="D1022" t="s">
        <v>2215</v>
      </c>
      <c r="E1022" t="s">
        <v>1082</v>
      </c>
      <c r="F1022" t="s">
        <v>938</v>
      </c>
      <c r="G1022" t="s">
        <v>1640</v>
      </c>
      <c r="I1022" t="s">
        <v>1308</v>
      </c>
      <c r="J1022" t="s">
        <v>938</v>
      </c>
      <c r="K1022" t="s">
        <v>1661</v>
      </c>
      <c r="O1022" s="1"/>
      <c r="P1022" s="1"/>
      <c r="Q1022" s="1"/>
      <c r="R1022" s="1"/>
    </row>
    <row r="1023" spans="4:18" x14ac:dyDescent="0.35">
      <c r="D1023" t="s">
        <v>1314</v>
      </c>
      <c r="E1023" t="s">
        <v>1082</v>
      </c>
      <c r="F1023" t="s">
        <v>938</v>
      </c>
      <c r="G1023" t="s">
        <v>1640</v>
      </c>
      <c r="I1023" t="s">
        <v>1082</v>
      </c>
      <c r="J1023" t="s">
        <v>938</v>
      </c>
      <c r="K1023" t="s">
        <v>1488</v>
      </c>
      <c r="O1023" s="1"/>
      <c r="P1023" s="1" t="s">
        <v>1356</v>
      </c>
      <c r="Q1023" s="1" t="s">
        <v>1738</v>
      </c>
      <c r="R1023" s="1"/>
    </row>
    <row r="1024" spans="4:18" x14ac:dyDescent="0.35">
      <c r="D1024" t="s">
        <v>1315</v>
      </c>
      <c r="E1024" t="s">
        <v>1308</v>
      </c>
      <c r="F1024" t="s">
        <v>938</v>
      </c>
      <c r="G1024" t="s">
        <v>1664</v>
      </c>
      <c r="I1024" t="s">
        <v>1308</v>
      </c>
      <c r="J1024" t="s">
        <v>938</v>
      </c>
      <c r="K1024" t="s">
        <v>1383</v>
      </c>
      <c r="O1024" s="1"/>
      <c r="P1024" s="1"/>
      <c r="Q1024" s="1"/>
      <c r="R1024" s="1"/>
    </row>
    <row r="1025" spans="4:18" x14ac:dyDescent="0.35">
      <c r="D1025" t="s">
        <v>177</v>
      </c>
      <c r="E1025" t="s">
        <v>1081</v>
      </c>
      <c r="F1025" t="s">
        <v>956</v>
      </c>
      <c r="G1025" t="s">
        <v>1217</v>
      </c>
      <c r="I1025" t="s">
        <v>1082</v>
      </c>
      <c r="J1025" t="s">
        <v>938</v>
      </c>
      <c r="K1025" s="12" t="s">
        <v>1645</v>
      </c>
      <c r="O1025" s="1"/>
      <c r="P1025" s="1"/>
      <c r="Q1025" s="1"/>
      <c r="R1025" s="1"/>
    </row>
    <row r="1026" spans="4:18" x14ac:dyDescent="0.35">
      <c r="D1026" t="s">
        <v>1315</v>
      </c>
      <c r="E1026" t="s">
        <v>1082</v>
      </c>
      <c r="F1026" t="s">
        <v>938</v>
      </c>
      <c r="G1026" t="s">
        <v>1645</v>
      </c>
      <c r="I1026" t="s">
        <v>1308</v>
      </c>
      <c r="J1026" t="s">
        <v>938</v>
      </c>
      <c r="K1026" t="s">
        <v>1664</v>
      </c>
      <c r="O1026" s="1"/>
      <c r="P1026" s="1"/>
      <c r="Q1026" s="1"/>
      <c r="R1026" s="1"/>
    </row>
    <row r="1027" spans="4:18" x14ac:dyDescent="0.35">
      <c r="D1027" t="s">
        <v>1315</v>
      </c>
      <c r="E1027" t="s">
        <v>1082</v>
      </c>
      <c r="F1027" t="s">
        <v>938</v>
      </c>
      <c r="G1027" t="s">
        <v>1645</v>
      </c>
      <c r="I1027" t="s">
        <v>1308</v>
      </c>
      <c r="J1027" t="s">
        <v>938</v>
      </c>
      <c r="K1027" t="s">
        <v>1739</v>
      </c>
      <c r="O1027" s="1"/>
      <c r="P1027" s="1"/>
      <c r="Q1027" s="1"/>
      <c r="R1027" s="1"/>
    </row>
    <row r="1028" spans="4:18" x14ac:dyDescent="0.35">
      <c r="D1028" t="s">
        <v>1315</v>
      </c>
      <c r="E1028" t="s">
        <v>1082</v>
      </c>
      <c r="F1028" t="s">
        <v>938</v>
      </c>
      <c r="G1028" t="s">
        <v>1645</v>
      </c>
      <c r="I1028" t="s">
        <v>1308</v>
      </c>
      <c r="J1028" t="s">
        <v>938</v>
      </c>
      <c r="K1028" t="s">
        <v>1742</v>
      </c>
      <c r="O1028" s="1"/>
      <c r="P1028" s="1"/>
      <c r="Q1028" s="1"/>
      <c r="R1028" s="1"/>
    </row>
    <row r="1029" spans="4:18" x14ac:dyDescent="0.35">
      <c r="D1029" t="s">
        <v>149</v>
      </c>
      <c r="E1029" t="s">
        <v>1082</v>
      </c>
      <c r="F1029" t="s">
        <v>938</v>
      </c>
      <c r="G1029" t="s">
        <v>1645</v>
      </c>
      <c r="I1029" t="s">
        <v>1082</v>
      </c>
      <c r="J1029" t="s">
        <v>938</v>
      </c>
      <c r="K1029" t="s">
        <v>1640</v>
      </c>
      <c r="O1029" s="1"/>
      <c r="P1029" s="1"/>
      <c r="Q1029" s="1"/>
      <c r="R1029" s="1"/>
    </row>
    <row r="1030" spans="4:18" x14ac:dyDescent="0.35">
      <c r="D1030" t="s">
        <v>1314</v>
      </c>
      <c r="E1030" t="s">
        <v>1308</v>
      </c>
      <c r="F1030" t="s">
        <v>938</v>
      </c>
      <c r="G1030" t="s">
        <v>1739</v>
      </c>
      <c r="I1030" t="s">
        <v>1082</v>
      </c>
      <c r="J1030" t="s">
        <v>938</v>
      </c>
      <c r="K1030" t="s">
        <v>1498</v>
      </c>
      <c r="O1030" s="1"/>
      <c r="P1030" s="1" t="s">
        <v>1356</v>
      </c>
      <c r="Q1030" s="1" t="s">
        <v>1744</v>
      </c>
      <c r="R1030" s="1"/>
    </row>
    <row r="1031" spans="4:18" x14ac:dyDescent="0.35">
      <c r="D1031" t="s">
        <v>177</v>
      </c>
      <c r="E1031" t="s">
        <v>1081</v>
      </c>
      <c r="F1031" t="s">
        <v>956</v>
      </c>
      <c r="G1031" t="s">
        <v>1217</v>
      </c>
      <c r="I1031" t="s">
        <v>1082</v>
      </c>
      <c r="J1031" t="s">
        <v>938</v>
      </c>
      <c r="K1031" s="12" t="s">
        <v>1649</v>
      </c>
      <c r="O1031" s="1"/>
      <c r="P1031" s="1"/>
      <c r="Q1031" s="1"/>
      <c r="R1031" s="1"/>
    </row>
    <row r="1032" spans="4:18" x14ac:dyDescent="0.35">
      <c r="D1032" t="s">
        <v>1315</v>
      </c>
      <c r="E1032" t="s">
        <v>1082</v>
      </c>
      <c r="F1032" t="s">
        <v>938</v>
      </c>
      <c r="G1032" t="s">
        <v>1649</v>
      </c>
      <c r="I1032" t="s">
        <v>1308</v>
      </c>
      <c r="J1032" t="s">
        <v>938</v>
      </c>
      <c r="K1032" t="s">
        <v>1664</v>
      </c>
      <c r="O1032" s="1"/>
      <c r="P1032" s="1"/>
      <c r="Q1032" s="1"/>
      <c r="R1032" s="1"/>
    </row>
    <row r="1033" spans="4:18" x14ac:dyDescent="0.35">
      <c r="D1033" t="s">
        <v>1315</v>
      </c>
      <c r="E1033" t="s">
        <v>1082</v>
      </c>
      <c r="F1033" t="s">
        <v>938</v>
      </c>
      <c r="G1033" t="s">
        <v>1649</v>
      </c>
      <c r="I1033" t="s">
        <v>1308</v>
      </c>
      <c r="J1033" t="s">
        <v>938</v>
      </c>
      <c r="K1033" t="s">
        <v>1742</v>
      </c>
      <c r="O1033" s="1"/>
      <c r="P1033" s="1"/>
      <c r="Q1033" s="1"/>
      <c r="R1033" s="1"/>
    </row>
    <row r="1034" spans="4:18" x14ac:dyDescent="0.35">
      <c r="D1034" t="s">
        <v>149</v>
      </c>
      <c r="E1034" t="s">
        <v>1082</v>
      </c>
      <c r="F1034" t="s">
        <v>938</v>
      </c>
      <c r="G1034" t="s">
        <v>1649</v>
      </c>
      <c r="I1034" t="s">
        <v>1082</v>
      </c>
      <c r="J1034" t="s">
        <v>938</v>
      </c>
      <c r="K1034" t="s">
        <v>1640</v>
      </c>
      <c r="O1034" s="1"/>
      <c r="P1034" s="1"/>
      <c r="Q1034" s="1"/>
      <c r="R1034" s="1"/>
    </row>
    <row r="1035" spans="4:18" x14ac:dyDescent="0.35">
      <c r="D1035" t="s">
        <v>1314</v>
      </c>
      <c r="E1035" t="s">
        <v>1308</v>
      </c>
      <c r="F1035" t="s">
        <v>938</v>
      </c>
      <c r="G1035" t="s">
        <v>1742</v>
      </c>
      <c r="I1035" t="s">
        <v>1082</v>
      </c>
      <c r="J1035" t="s">
        <v>938</v>
      </c>
      <c r="K1035" t="s">
        <v>1507</v>
      </c>
      <c r="O1035" s="1"/>
      <c r="P1035" s="1" t="s">
        <v>1356</v>
      </c>
      <c r="Q1035" s="1" t="s">
        <v>1745</v>
      </c>
      <c r="R1035" s="1"/>
    </row>
    <row r="1036" spans="4:18" x14ac:dyDescent="0.35">
      <c r="D1036" t="s">
        <v>181</v>
      </c>
      <c r="E1036" t="s">
        <v>1308</v>
      </c>
      <c r="F1036" t="s">
        <v>938</v>
      </c>
      <c r="G1036" t="s">
        <v>1383</v>
      </c>
      <c r="I1036" t="s">
        <v>2776</v>
      </c>
      <c r="J1036" t="s">
        <v>956</v>
      </c>
      <c r="K1036" t="s">
        <v>2723</v>
      </c>
      <c r="O1036" s="1"/>
      <c r="P1036" s="1"/>
      <c r="Q1036" s="1" t="s">
        <v>2779</v>
      </c>
      <c r="R1036" s="1"/>
    </row>
    <row r="1037" spans="4:18" x14ac:dyDescent="0.35">
      <c r="D1037" t="s">
        <v>181</v>
      </c>
      <c r="E1037" t="s">
        <v>1308</v>
      </c>
      <c r="F1037" t="s">
        <v>938</v>
      </c>
      <c r="G1037" t="s">
        <v>1383</v>
      </c>
      <c r="I1037" t="s">
        <v>2776</v>
      </c>
      <c r="J1037" t="s">
        <v>956</v>
      </c>
      <c r="K1037" t="s">
        <v>2724</v>
      </c>
      <c r="O1037" s="1"/>
      <c r="P1037" s="1"/>
      <c r="Q1037" s="1" t="s">
        <v>2779</v>
      </c>
      <c r="R1037" s="1"/>
    </row>
    <row r="1038" spans="4:18" x14ac:dyDescent="0.35">
      <c r="D1038" t="s">
        <v>181</v>
      </c>
      <c r="E1038" t="s">
        <v>1308</v>
      </c>
      <c r="F1038" t="s">
        <v>938</v>
      </c>
      <c r="G1038" t="s">
        <v>1383</v>
      </c>
      <c r="I1038" t="s">
        <v>2776</v>
      </c>
      <c r="J1038" t="s">
        <v>956</v>
      </c>
      <c r="K1038" t="s">
        <v>2725</v>
      </c>
      <c r="O1038" s="1"/>
      <c r="P1038" s="1"/>
      <c r="Q1038" s="1" t="s">
        <v>2779</v>
      </c>
      <c r="R1038" s="1"/>
    </row>
    <row r="1039" spans="4:18" x14ac:dyDescent="0.35">
      <c r="D1039" t="s">
        <v>181</v>
      </c>
      <c r="E1039" t="s">
        <v>1308</v>
      </c>
      <c r="F1039" t="s">
        <v>938</v>
      </c>
      <c r="G1039" t="s">
        <v>1383</v>
      </c>
      <c r="I1039" t="s">
        <v>2776</v>
      </c>
      <c r="J1039" t="s">
        <v>956</v>
      </c>
      <c r="K1039" t="s">
        <v>2726</v>
      </c>
      <c r="O1039" s="1"/>
      <c r="P1039" s="1"/>
      <c r="Q1039" s="1" t="s">
        <v>2779</v>
      </c>
      <c r="R1039" s="1"/>
    </row>
    <row r="1040" spans="4:18" x14ac:dyDescent="0.35">
      <c r="D1040" t="s">
        <v>181</v>
      </c>
      <c r="E1040" t="s">
        <v>1308</v>
      </c>
      <c r="F1040" t="s">
        <v>938</v>
      </c>
      <c r="G1040" t="s">
        <v>1383</v>
      </c>
      <c r="I1040" t="s">
        <v>2776</v>
      </c>
      <c r="J1040" t="s">
        <v>956</v>
      </c>
      <c r="K1040" t="s">
        <v>2727</v>
      </c>
      <c r="O1040" s="1"/>
      <c r="P1040" s="1"/>
      <c r="Q1040" s="1" t="s">
        <v>2779</v>
      </c>
      <c r="R1040" s="1"/>
    </row>
    <row r="1041" spans="4:18" x14ac:dyDescent="0.35">
      <c r="D1041" t="s">
        <v>181</v>
      </c>
      <c r="E1041" t="s">
        <v>1308</v>
      </c>
      <c r="F1041" t="s">
        <v>938</v>
      </c>
      <c r="G1041" t="s">
        <v>1383</v>
      </c>
      <c r="I1041" t="s">
        <v>2776</v>
      </c>
      <c r="J1041" t="s">
        <v>956</v>
      </c>
      <c r="K1041" t="s">
        <v>2728</v>
      </c>
      <c r="O1041" s="1"/>
      <c r="P1041" s="1"/>
      <c r="Q1041" s="1" t="s">
        <v>2779</v>
      </c>
      <c r="R1041" s="1"/>
    </row>
    <row r="1042" spans="4:18" x14ac:dyDescent="0.35">
      <c r="D1042" t="s">
        <v>181</v>
      </c>
      <c r="E1042" t="s">
        <v>1308</v>
      </c>
      <c r="F1042" t="s">
        <v>938</v>
      </c>
      <c r="G1042" t="s">
        <v>1383</v>
      </c>
      <c r="I1042" t="s">
        <v>2776</v>
      </c>
      <c r="J1042" t="s">
        <v>956</v>
      </c>
      <c r="K1042" t="s">
        <v>2720</v>
      </c>
      <c r="O1042" s="1"/>
      <c r="P1042" s="1"/>
      <c r="Q1042" s="1" t="s">
        <v>2779</v>
      </c>
      <c r="R1042" s="1"/>
    </row>
    <row r="1043" spans="4:18" x14ac:dyDescent="0.35">
      <c r="D1043" t="s">
        <v>177</v>
      </c>
      <c r="E1043" t="s">
        <v>1081</v>
      </c>
      <c r="F1043" t="s">
        <v>956</v>
      </c>
      <c r="G1043" t="s">
        <v>2835</v>
      </c>
      <c r="I1043" t="s">
        <v>1082</v>
      </c>
      <c r="J1043" t="s">
        <v>938</v>
      </c>
      <c r="K1043" s="12" t="s">
        <v>2848</v>
      </c>
      <c r="O1043" s="1"/>
      <c r="P1043" s="1"/>
      <c r="Q1043" s="1"/>
      <c r="R1043" s="1"/>
    </row>
    <row r="1044" spans="4:18" x14ac:dyDescent="0.35">
      <c r="D1044" t="s">
        <v>181</v>
      </c>
      <c r="E1044" t="s">
        <v>1082</v>
      </c>
      <c r="F1044" t="s">
        <v>938</v>
      </c>
      <c r="G1044" t="s">
        <v>2848</v>
      </c>
      <c r="I1044" t="s">
        <v>2776</v>
      </c>
      <c r="J1044" t="s">
        <v>956</v>
      </c>
      <c r="K1044" t="s">
        <v>2720</v>
      </c>
      <c r="O1044" s="1"/>
      <c r="P1044" s="1"/>
      <c r="Q1044" s="1" t="s">
        <v>2847</v>
      </c>
      <c r="R1044" s="1"/>
    </row>
    <row r="1045" spans="4:18" x14ac:dyDescent="0.35">
      <c r="D1045" t="s">
        <v>177</v>
      </c>
      <c r="E1045" t="s">
        <v>1081</v>
      </c>
      <c r="F1045" t="s">
        <v>956</v>
      </c>
      <c r="G1045" t="s">
        <v>3</v>
      </c>
      <c r="I1045" t="s">
        <v>1082</v>
      </c>
      <c r="J1045" t="s">
        <v>938</v>
      </c>
      <c r="K1045" s="12" t="s">
        <v>1862</v>
      </c>
      <c r="O1045" s="1"/>
      <c r="P1045" s="1"/>
      <c r="Q1045" s="1"/>
      <c r="R1045" s="1"/>
    </row>
    <row r="1046" spans="4:18" x14ac:dyDescent="0.35">
      <c r="D1046" t="s">
        <v>27</v>
      </c>
      <c r="E1046" t="s">
        <v>1082</v>
      </c>
      <c r="F1046" t="s">
        <v>938</v>
      </c>
      <c r="G1046" t="s">
        <v>1862</v>
      </c>
      <c r="I1046" t="s">
        <v>1082</v>
      </c>
      <c r="J1046" t="s">
        <v>938</v>
      </c>
      <c r="K1046" t="s">
        <v>2848</v>
      </c>
      <c r="O1046" s="1"/>
      <c r="P1046" s="1"/>
      <c r="Q1046" s="1"/>
      <c r="R1046" s="1"/>
    </row>
    <row r="1047" spans="4:18" x14ac:dyDescent="0.35">
      <c r="D1047" t="s">
        <v>27</v>
      </c>
      <c r="E1047" t="s">
        <v>1082</v>
      </c>
      <c r="F1047" t="s">
        <v>938</v>
      </c>
      <c r="G1047" t="s">
        <v>1862</v>
      </c>
      <c r="I1047" t="s">
        <v>1082</v>
      </c>
      <c r="J1047" t="s">
        <v>938</v>
      </c>
      <c r="K1047" t="s">
        <v>1517</v>
      </c>
      <c r="O1047" s="1"/>
      <c r="P1047" s="1"/>
      <c r="Q1047" s="1"/>
      <c r="R1047" s="1"/>
    </row>
    <row r="1048" spans="4:18" x14ac:dyDescent="0.35">
      <c r="D1048" t="s">
        <v>27</v>
      </c>
      <c r="E1048" t="s">
        <v>1082</v>
      </c>
      <c r="F1048" t="s">
        <v>938</v>
      </c>
      <c r="G1048" t="s">
        <v>1862</v>
      </c>
      <c r="I1048" t="s">
        <v>1082</v>
      </c>
      <c r="J1048" t="s">
        <v>938</v>
      </c>
      <c r="K1048" t="s">
        <v>1670</v>
      </c>
      <c r="O1048" s="1"/>
      <c r="P1048" s="1"/>
      <c r="Q1048" s="1"/>
      <c r="R1048" s="1"/>
    </row>
    <row r="1049" spans="4:18" x14ac:dyDescent="0.35">
      <c r="D1049" t="s">
        <v>27</v>
      </c>
      <c r="E1049" t="s">
        <v>1082</v>
      </c>
      <c r="F1049" t="s">
        <v>938</v>
      </c>
      <c r="G1049" t="s">
        <v>1862</v>
      </c>
      <c r="I1049" t="s">
        <v>1082</v>
      </c>
      <c r="J1049" t="s">
        <v>938</v>
      </c>
      <c r="K1049" t="s">
        <v>1144</v>
      </c>
      <c r="O1049" s="1"/>
      <c r="P1049" s="1"/>
      <c r="Q1049" s="1"/>
      <c r="R1049" s="1"/>
    </row>
    <row r="1050" spans="4:18" x14ac:dyDescent="0.35">
      <c r="D1050" t="s">
        <v>177</v>
      </c>
      <c r="E1050" t="s">
        <v>1081</v>
      </c>
      <c r="F1050" t="s">
        <v>956</v>
      </c>
      <c r="G1050" t="s">
        <v>3</v>
      </c>
      <c r="I1050" t="s">
        <v>1082</v>
      </c>
      <c r="J1050" t="s">
        <v>938</v>
      </c>
      <c r="K1050" s="12" t="s">
        <v>1867</v>
      </c>
      <c r="O1050" s="1"/>
      <c r="P1050" s="1"/>
      <c r="Q1050" s="1"/>
      <c r="R1050" s="1"/>
    </row>
    <row r="1051" spans="4:18" x14ac:dyDescent="0.35">
      <c r="D1051" t="s">
        <v>146</v>
      </c>
      <c r="E1051" t="s">
        <v>1082</v>
      </c>
      <c r="F1051" t="s">
        <v>938</v>
      </c>
      <c r="G1051" t="s">
        <v>1867</v>
      </c>
      <c r="I1051" t="s">
        <v>1082</v>
      </c>
      <c r="J1051" t="s">
        <v>938</v>
      </c>
      <c r="K1051" t="s">
        <v>1862</v>
      </c>
      <c r="O1051" s="1"/>
      <c r="P1051" s="1"/>
      <c r="Q1051" s="1"/>
      <c r="R1051" s="1"/>
    </row>
    <row r="1052" spans="4:18" x14ac:dyDescent="0.35">
      <c r="D1052" t="s">
        <v>27</v>
      </c>
      <c r="E1052" t="s">
        <v>1082</v>
      </c>
      <c r="F1052" t="s">
        <v>938</v>
      </c>
      <c r="G1052" t="s">
        <v>1867</v>
      </c>
      <c r="I1052" t="s">
        <v>1308</v>
      </c>
      <c r="J1052" t="s">
        <v>938</v>
      </c>
      <c r="K1052" t="s">
        <v>1675</v>
      </c>
      <c r="O1052" s="1"/>
      <c r="P1052" s="1"/>
      <c r="Q1052" s="1"/>
      <c r="R1052" s="1"/>
    </row>
    <row r="1053" spans="4:18" x14ac:dyDescent="0.35">
      <c r="D1053" t="s">
        <v>27</v>
      </c>
      <c r="E1053" t="s">
        <v>1082</v>
      </c>
      <c r="F1053" t="s">
        <v>938</v>
      </c>
      <c r="G1053" t="s">
        <v>1867</v>
      </c>
      <c r="I1053" t="s">
        <v>1082</v>
      </c>
      <c r="J1053" t="s">
        <v>938</v>
      </c>
      <c r="K1053" t="s">
        <v>1409</v>
      </c>
      <c r="O1053" s="1"/>
      <c r="P1053" s="1"/>
      <c r="Q1053" s="1"/>
      <c r="R1053" s="1"/>
    </row>
    <row r="1054" spans="4:18" x14ac:dyDescent="0.35">
      <c r="D1054" t="s">
        <v>27</v>
      </c>
      <c r="E1054" t="s">
        <v>1082</v>
      </c>
      <c r="F1054" t="s">
        <v>938</v>
      </c>
      <c r="G1054" t="s">
        <v>1867</v>
      </c>
      <c r="I1054" t="s">
        <v>1082</v>
      </c>
      <c r="J1054" t="s">
        <v>938</v>
      </c>
      <c r="K1054" t="s">
        <v>1144</v>
      </c>
      <c r="O1054" s="1"/>
      <c r="P1054" s="1"/>
      <c r="Q1054" s="1"/>
      <c r="R1054" s="1"/>
    </row>
    <row r="1055" spans="4:18" x14ac:dyDescent="0.35">
      <c r="D1055" t="s">
        <v>177</v>
      </c>
      <c r="E1055" t="s">
        <v>1081</v>
      </c>
      <c r="F1055" t="s">
        <v>956</v>
      </c>
      <c r="G1055" t="s">
        <v>2273</v>
      </c>
      <c r="I1055" t="s">
        <v>1082</v>
      </c>
      <c r="J1055" t="s">
        <v>938</v>
      </c>
      <c r="K1055" s="12" t="s">
        <v>48</v>
      </c>
      <c r="O1055" s="1"/>
      <c r="P1055" s="1"/>
      <c r="Q1055" s="1"/>
      <c r="R1055" s="1"/>
    </row>
    <row r="1056" spans="4:18" x14ac:dyDescent="0.35">
      <c r="D1056" t="s">
        <v>1315</v>
      </c>
      <c r="E1056" t="s">
        <v>1082</v>
      </c>
      <c r="F1056" t="s">
        <v>938</v>
      </c>
      <c r="G1056" t="s">
        <v>48</v>
      </c>
      <c r="I1056" t="s">
        <v>1308</v>
      </c>
      <c r="J1056" t="s">
        <v>938</v>
      </c>
      <c r="K1056" t="s">
        <v>52</v>
      </c>
      <c r="O1056" s="1"/>
      <c r="P1056" s="1"/>
      <c r="Q1056" s="1"/>
      <c r="R1056" s="1"/>
    </row>
    <row r="1057" spans="1:18" x14ac:dyDescent="0.35">
      <c r="D1057" t="s">
        <v>146</v>
      </c>
      <c r="E1057" t="s">
        <v>1082</v>
      </c>
      <c r="F1057" t="s">
        <v>938</v>
      </c>
      <c r="G1057" t="s">
        <v>48</v>
      </c>
      <c r="I1057" t="s">
        <v>1082</v>
      </c>
      <c r="J1057" t="s">
        <v>938</v>
      </c>
      <c r="K1057" t="s">
        <v>1867</v>
      </c>
      <c r="O1057" s="1"/>
      <c r="P1057" s="1"/>
      <c r="Q1057" s="1"/>
      <c r="R1057" s="1"/>
    </row>
    <row r="1058" spans="1:18" x14ac:dyDescent="0.35">
      <c r="D1058" t="s">
        <v>27</v>
      </c>
      <c r="E1058" t="s">
        <v>1082</v>
      </c>
      <c r="F1058" t="s">
        <v>938</v>
      </c>
      <c r="G1058" t="s">
        <v>48</v>
      </c>
      <c r="I1058" t="s">
        <v>1082</v>
      </c>
      <c r="J1058" t="s">
        <v>938</v>
      </c>
      <c r="K1058" t="s">
        <v>14</v>
      </c>
      <c r="N1058" t="s">
        <v>1369</v>
      </c>
      <c r="O1058" s="1"/>
      <c r="P1058" s="1"/>
      <c r="Q1058" s="1"/>
      <c r="R1058" s="1"/>
    </row>
    <row r="1059" spans="1:18" x14ac:dyDescent="0.35">
      <c r="D1059" t="s">
        <v>27</v>
      </c>
      <c r="E1059" t="s">
        <v>1082</v>
      </c>
      <c r="F1059" t="s">
        <v>938</v>
      </c>
      <c r="G1059" t="s">
        <v>48</v>
      </c>
      <c r="I1059" t="s">
        <v>1308</v>
      </c>
      <c r="J1059" t="s">
        <v>938</v>
      </c>
      <c r="K1059" t="s">
        <v>1686</v>
      </c>
      <c r="N1059" t="s">
        <v>1369</v>
      </c>
      <c r="O1059" s="1"/>
      <c r="P1059" s="1"/>
      <c r="Q1059" s="1"/>
      <c r="R1059" s="1"/>
    </row>
    <row r="1060" spans="1:18" x14ac:dyDescent="0.35">
      <c r="D1060" t="s">
        <v>27</v>
      </c>
      <c r="E1060" t="s">
        <v>1082</v>
      </c>
      <c r="F1060" t="s">
        <v>938</v>
      </c>
      <c r="G1060" t="s">
        <v>48</v>
      </c>
      <c r="I1060" t="s">
        <v>1082</v>
      </c>
      <c r="J1060" t="s">
        <v>938</v>
      </c>
      <c r="K1060" t="s">
        <v>1413</v>
      </c>
      <c r="N1060" t="s">
        <v>1369</v>
      </c>
      <c r="O1060" s="1"/>
      <c r="P1060" s="1"/>
      <c r="Q1060" s="1"/>
      <c r="R1060" s="1"/>
    </row>
    <row r="1061" spans="1:18" x14ac:dyDescent="0.35">
      <c r="D1061" t="s">
        <v>27</v>
      </c>
      <c r="E1061" t="s">
        <v>1082</v>
      </c>
      <c r="F1061" t="s">
        <v>938</v>
      </c>
      <c r="G1061" t="s">
        <v>48</v>
      </c>
      <c r="I1061" t="s">
        <v>1308</v>
      </c>
      <c r="J1061" t="s">
        <v>938</v>
      </c>
      <c r="K1061" t="s">
        <v>1383</v>
      </c>
      <c r="N1061" t="s">
        <v>1872</v>
      </c>
      <c r="O1061" s="1"/>
      <c r="P1061" s="1"/>
      <c r="Q1061" s="1" t="s">
        <v>1874</v>
      </c>
      <c r="R1061" s="1"/>
    </row>
    <row r="1062" spans="1:18" x14ac:dyDescent="0.35">
      <c r="D1062" t="s">
        <v>27</v>
      </c>
      <c r="E1062" t="s">
        <v>1082</v>
      </c>
      <c r="F1062" t="s">
        <v>938</v>
      </c>
      <c r="G1062" t="s">
        <v>48</v>
      </c>
      <c r="I1062" t="s">
        <v>1308</v>
      </c>
      <c r="J1062" t="s">
        <v>938</v>
      </c>
      <c r="K1062" t="s">
        <v>1380</v>
      </c>
      <c r="N1062" t="s">
        <v>1872</v>
      </c>
      <c r="O1062" s="1"/>
      <c r="P1062" s="1"/>
      <c r="Q1062" s="1" t="s">
        <v>1875</v>
      </c>
      <c r="R1062" s="1"/>
    </row>
    <row r="1063" spans="1:18" s="21" customFormat="1" x14ac:dyDescent="0.35">
      <c r="A1063"/>
      <c r="B1063"/>
      <c r="C1063"/>
      <c r="D1063"/>
      <c r="E1063"/>
      <c r="F1063"/>
      <c r="G1063"/>
      <c r="H1063"/>
      <c r="I1063"/>
      <c r="J1063"/>
      <c r="K1063" s="12"/>
      <c r="L1063"/>
      <c r="M1063"/>
      <c r="N1063"/>
      <c r="O1063" s="1"/>
      <c r="P1063" s="1"/>
      <c r="Q1063" s="1"/>
      <c r="R1063" s="1"/>
    </row>
    <row r="1064" spans="1:18" ht="28.5" x14ac:dyDescent="0.65">
      <c r="A1064" s="21"/>
      <c r="B1064" s="21"/>
      <c r="C1064" s="27" t="s">
        <v>3187</v>
      </c>
      <c r="D1064" s="21"/>
      <c r="E1064" s="21"/>
      <c r="F1064" s="21"/>
      <c r="G1064" s="21"/>
      <c r="H1064" s="21"/>
      <c r="I1064" s="21"/>
      <c r="J1064" s="21"/>
      <c r="K1064" s="23"/>
      <c r="L1064" s="21"/>
      <c r="M1064" s="21"/>
      <c r="N1064" s="21"/>
      <c r="O1064" s="22"/>
      <c r="P1064" s="22"/>
      <c r="Q1064" s="22"/>
      <c r="R1064" s="22"/>
    </row>
    <row r="1065" spans="1:18" x14ac:dyDescent="0.35">
      <c r="F1065"/>
      <c r="K1065" s="12"/>
      <c r="O1065" s="1"/>
      <c r="P1065" s="1"/>
      <c r="Q1065" s="1"/>
      <c r="R1065" s="1"/>
    </row>
    <row r="1066" spans="1:18" x14ac:dyDescent="0.35">
      <c r="D1066" t="s">
        <v>177</v>
      </c>
      <c r="E1066" t="s">
        <v>1081</v>
      </c>
      <c r="F1066" t="s">
        <v>956</v>
      </c>
      <c r="G1066" t="s">
        <v>3</v>
      </c>
      <c r="I1066" t="s">
        <v>1082</v>
      </c>
      <c r="J1066" t="s">
        <v>938</v>
      </c>
      <c r="K1066" s="12" t="s">
        <v>3122</v>
      </c>
      <c r="O1066" s="1"/>
      <c r="P1066" s="1"/>
      <c r="Q1066" s="1"/>
      <c r="R1066" s="1"/>
    </row>
    <row r="1067" spans="1:18" x14ac:dyDescent="0.35">
      <c r="D1067" t="s">
        <v>1315</v>
      </c>
      <c r="E1067" t="s">
        <v>1082</v>
      </c>
      <c r="F1067" t="s">
        <v>938</v>
      </c>
      <c r="G1067" t="s">
        <v>3122</v>
      </c>
      <c r="I1067" t="s">
        <v>1308</v>
      </c>
      <c r="J1067" t="s">
        <v>938</v>
      </c>
      <c r="K1067" s="33" t="s">
        <v>3143</v>
      </c>
      <c r="O1067" s="1"/>
      <c r="P1067" s="1"/>
      <c r="Q1067" s="1"/>
      <c r="R1067" s="1"/>
    </row>
    <row r="1068" spans="1:18" x14ac:dyDescent="0.35">
      <c r="D1068" t="s">
        <v>177</v>
      </c>
      <c r="E1068" t="s">
        <v>1081</v>
      </c>
      <c r="F1068" t="s">
        <v>956</v>
      </c>
      <c r="G1068" t="s">
        <v>3</v>
      </c>
      <c r="I1068" t="s">
        <v>1082</v>
      </c>
      <c r="J1068" t="s">
        <v>938</v>
      </c>
      <c r="K1068" s="12" t="s">
        <v>2818</v>
      </c>
      <c r="O1068" s="1"/>
      <c r="P1068" s="1"/>
      <c r="Q1068" s="1"/>
      <c r="R1068" s="1"/>
    </row>
    <row r="1069" spans="1:18" x14ac:dyDescent="0.35">
      <c r="D1069" t="s">
        <v>1315</v>
      </c>
      <c r="E1069" t="s">
        <v>1082</v>
      </c>
      <c r="F1069" t="s">
        <v>938</v>
      </c>
      <c r="G1069" t="s">
        <v>2818</v>
      </c>
      <c r="I1069" t="s">
        <v>1308</v>
      </c>
      <c r="J1069" t="s">
        <v>938</v>
      </c>
      <c r="K1069" s="33" t="s">
        <v>3143</v>
      </c>
      <c r="O1069" s="1"/>
      <c r="P1069" s="1"/>
      <c r="Q1069" s="1"/>
      <c r="R1069" s="1"/>
    </row>
    <row r="1070" spans="1:18" x14ac:dyDescent="0.35">
      <c r="D1070" t="s">
        <v>146</v>
      </c>
      <c r="E1070" t="s">
        <v>1082</v>
      </c>
      <c r="F1070" t="s">
        <v>938</v>
      </c>
      <c r="G1070" t="s">
        <v>2818</v>
      </c>
      <c r="I1070" t="s">
        <v>1082</v>
      </c>
      <c r="J1070" t="s">
        <v>938</v>
      </c>
      <c r="K1070" s="33" t="s">
        <v>3122</v>
      </c>
      <c r="O1070" s="1"/>
      <c r="P1070" s="1"/>
      <c r="Q1070" s="1"/>
      <c r="R1070" s="1"/>
    </row>
    <row r="1071" spans="1:18" x14ac:dyDescent="0.35">
      <c r="D1071" t="s">
        <v>177</v>
      </c>
      <c r="E1071" t="s">
        <v>1081</v>
      </c>
      <c r="F1071" t="s">
        <v>956</v>
      </c>
      <c r="G1071" t="s">
        <v>3</v>
      </c>
      <c r="I1071" t="s">
        <v>1082</v>
      </c>
      <c r="J1071" t="s">
        <v>938</v>
      </c>
      <c r="K1071" s="12" t="s">
        <v>2819</v>
      </c>
      <c r="O1071" s="1"/>
      <c r="P1071" s="1"/>
      <c r="Q1071" s="1"/>
      <c r="R1071" s="1"/>
    </row>
    <row r="1072" spans="1:18" x14ac:dyDescent="0.35">
      <c r="D1072" t="s">
        <v>1315</v>
      </c>
      <c r="E1072" t="s">
        <v>1082</v>
      </c>
      <c r="F1072" t="s">
        <v>938</v>
      </c>
      <c r="G1072" t="s">
        <v>2819</v>
      </c>
      <c r="I1072" t="s">
        <v>1308</v>
      </c>
      <c r="J1072" t="s">
        <v>938</v>
      </c>
      <c r="K1072" s="33" t="s">
        <v>3138</v>
      </c>
      <c r="O1072" s="1"/>
      <c r="P1072" s="1"/>
      <c r="Q1072" s="1"/>
      <c r="R1072" s="1"/>
    </row>
    <row r="1073" spans="1:18" x14ac:dyDescent="0.35">
      <c r="D1073" t="s">
        <v>1315</v>
      </c>
      <c r="E1073" t="s">
        <v>1082</v>
      </c>
      <c r="F1073" t="s">
        <v>938</v>
      </c>
      <c r="G1073" t="s">
        <v>2819</v>
      </c>
      <c r="I1073" t="s">
        <v>1308</v>
      </c>
      <c r="J1073" t="s">
        <v>938</v>
      </c>
      <c r="K1073" s="33" t="s">
        <v>3143</v>
      </c>
      <c r="O1073" s="1"/>
      <c r="P1073" s="1"/>
      <c r="Q1073" s="1"/>
      <c r="R1073" s="1"/>
    </row>
    <row r="1074" spans="1:18" x14ac:dyDescent="0.35">
      <c r="D1074" t="s">
        <v>146</v>
      </c>
      <c r="E1074" t="s">
        <v>1082</v>
      </c>
      <c r="F1074" t="s">
        <v>938</v>
      </c>
      <c r="G1074" t="s">
        <v>2819</v>
      </c>
      <c r="I1074" t="s">
        <v>1082</v>
      </c>
      <c r="J1074" t="s">
        <v>938</v>
      </c>
      <c r="K1074" s="33" t="s">
        <v>2818</v>
      </c>
      <c r="O1074" s="1"/>
      <c r="P1074" s="1"/>
      <c r="Q1074" s="1"/>
      <c r="R1074" s="1"/>
    </row>
    <row r="1075" spans="1:18" x14ac:dyDescent="0.35">
      <c r="D1075" t="s">
        <v>177</v>
      </c>
      <c r="E1075" t="s">
        <v>1081</v>
      </c>
      <c r="F1075" t="s">
        <v>956</v>
      </c>
      <c r="G1075" t="s">
        <v>2820</v>
      </c>
      <c r="I1075" t="s">
        <v>1082</v>
      </c>
      <c r="J1075" t="s">
        <v>938</v>
      </c>
      <c r="K1075" s="12" t="s">
        <v>3142</v>
      </c>
      <c r="O1075" s="1"/>
      <c r="P1075" s="1"/>
      <c r="Q1075" s="1"/>
      <c r="R1075" s="1"/>
    </row>
    <row r="1076" spans="1:18" x14ac:dyDescent="0.35">
      <c r="D1076" t="s">
        <v>1315</v>
      </c>
      <c r="E1076" t="s">
        <v>1082</v>
      </c>
      <c r="F1076" t="s">
        <v>938</v>
      </c>
      <c r="G1076" t="s">
        <v>3142</v>
      </c>
      <c r="I1076" t="s">
        <v>1308</v>
      </c>
      <c r="J1076" t="s">
        <v>938</v>
      </c>
      <c r="K1076" s="33" t="s">
        <v>3143</v>
      </c>
      <c r="O1076" s="1"/>
      <c r="P1076" s="1"/>
      <c r="Q1076" s="1"/>
      <c r="R1076" s="1"/>
    </row>
    <row r="1077" spans="1:18" x14ac:dyDescent="0.35">
      <c r="D1077" t="s">
        <v>146</v>
      </c>
      <c r="E1077" t="s">
        <v>1082</v>
      </c>
      <c r="F1077" t="s">
        <v>938</v>
      </c>
      <c r="G1077" t="s">
        <v>3142</v>
      </c>
      <c r="I1077" t="s">
        <v>1082</v>
      </c>
      <c r="J1077" t="s">
        <v>938</v>
      </c>
      <c r="K1077" s="33" t="s">
        <v>2819</v>
      </c>
      <c r="O1077" s="1"/>
      <c r="P1077" s="1"/>
      <c r="Q1077" s="1"/>
      <c r="R1077" s="1"/>
    </row>
    <row r="1078" spans="1:18" x14ac:dyDescent="0.35">
      <c r="D1078" t="s">
        <v>177</v>
      </c>
      <c r="E1078" t="s">
        <v>1081</v>
      </c>
      <c r="F1078" t="s">
        <v>956</v>
      </c>
      <c r="G1078" t="s">
        <v>2273</v>
      </c>
      <c r="I1078" t="s">
        <v>1082</v>
      </c>
      <c r="J1078" t="s">
        <v>938</v>
      </c>
      <c r="K1078" s="12" t="s">
        <v>3148</v>
      </c>
      <c r="O1078" s="1"/>
      <c r="P1078" s="1"/>
      <c r="Q1078" s="1"/>
      <c r="R1078" s="1"/>
    </row>
    <row r="1079" spans="1:18" x14ac:dyDescent="0.35">
      <c r="D1079" t="s">
        <v>1315</v>
      </c>
      <c r="E1079" t="s">
        <v>1082</v>
      </c>
      <c r="F1079" t="s">
        <v>938</v>
      </c>
      <c r="G1079" t="s">
        <v>3148</v>
      </c>
      <c r="I1079" t="s">
        <v>1308</v>
      </c>
      <c r="J1079" t="s">
        <v>938</v>
      </c>
      <c r="K1079" s="33" t="s">
        <v>3143</v>
      </c>
      <c r="O1079" s="1"/>
      <c r="P1079" s="1"/>
      <c r="Q1079" s="1"/>
      <c r="R1079" s="1"/>
    </row>
    <row r="1080" spans="1:18" x14ac:dyDescent="0.35">
      <c r="D1080" t="s">
        <v>146</v>
      </c>
      <c r="E1080" t="s">
        <v>1082</v>
      </c>
      <c r="F1080" t="s">
        <v>938</v>
      </c>
      <c r="G1080" t="s">
        <v>3148</v>
      </c>
      <c r="I1080" t="s">
        <v>1082</v>
      </c>
      <c r="J1080" t="s">
        <v>938</v>
      </c>
      <c r="K1080" s="33" t="s">
        <v>3142</v>
      </c>
      <c r="O1080" s="1"/>
      <c r="P1080" s="1"/>
      <c r="Q1080" s="1"/>
      <c r="R1080" s="1"/>
    </row>
    <row r="1081" spans="1:18" x14ac:dyDescent="0.35">
      <c r="D1081" t="s">
        <v>181</v>
      </c>
      <c r="E1081" t="s">
        <v>1308</v>
      </c>
      <c r="F1081" t="s">
        <v>938</v>
      </c>
      <c r="G1081" t="s">
        <v>3143</v>
      </c>
      <c r="I1081" t="s">
        <v>2776</v>
      </c>
      <c r="J1081" t="s">
        <v>956</v>
      </c>
      <c r="K1081" s="33" t="s">
        <v>3143</v>
      </c>
      <c r="O1081" s="1"/>
      <c r="P1081" s="1"/>
      <c r="Q1081" s="1"/>
      <c r="R1081" s="1"/>
    </row>
    <row r="1082" spans="1:18" s="21" customFormat="1" x14ac:dyDescent="0.35">
      <c r="A1082"/>
      <c r="B1082"/>
      <c r="C1082"/>
      <c r="D1082"/>
      <c r="E1082"/>
      <c r="F1082"/>
      <c r="G1082"/>
      <c r="H1082"/>
      <c r="I1082"/>
      <c r="J1082"/>
      <c r="K1082" s="12"/>
      <c r="L1082"/>
      <c r="M1082"/>
      <c r="N1082"/>
      <c r="O1082" s="1"/>
      <c r="P1082" s="1"/>
      <c r="Q1082" s="1"/>
      <c r="R1082" s="1"/>
    </row>
    <row r="1083" spans="1:18" ht="28.5" x14ac:dyDescent="0.65">
      <c r="A1083" s="21"/>
      <c r="B1083" s="21"/>
      <c r="C1083" s="27" t="s">
        <v>2809</v>
      </c>
      <c r="D1083" s="21"/>
      <c r="E1083" s="21"/>
      <c r="F1083" s="21"/>
      <c r="G1083" s="21"/>
      <c r="H1083" s="21"/>
      <c r="I1083" s="21"/>
      <c r="J1083" s="21"/>
      <c r="K1083" s="23"/>
      <c r="L1083" s="21"/>
      <c r="M1083" s="21"/>
      <c r="N1083" s="21"/>
      <c r="O1083" s="22"/>
      <c r="P1083" s="22"/>
      <c r="Q1083" s="22"/>
      <c r="R1083" s="22"/>
    </row>
    <row r="1084" spans="1:18" x14ac:dyDescent="0.35">
      <c r="F1084"/>
      <c r="K1084" s="12"/>
      <c r="O1084" s="1"/>
      <c r="P1084" s="1"/>
      <c r="Q1084" s="1"/>
      <c r="R1084" s="1"/>
    </row>
    <row r="1085" spans="1:18" x14ac:dyDescent="0.35">
      <c r="D1085" t="s">
        <v>177</v>
      </c>
      <c r="E1085" t="s">
        <v>1081</v>
      </c>
      <c r="F1085" t="s">
        <v>956</v>
      </c>
      <c r="G1085" t="s">
        <v>3</v>
      </c>
      <c r="I1085" t="s">
        <v>1082</v>
      </c>
      <c r="J1085" t="s">
        <v>938</v>
      </c>
      <c r="K1085" s="12" t="s">
        <v>14</v>
      </c>
      <c r="O1085" s="1"/>
      <c r="P1085" s="1"/>
      <c r="Q1085" s="1"/>
      <c r="R1085" s="1"/>
    </row>
    <row r="1086" spans="1:18" x14ac:dyDescent="0.35">
      <c r="D1086" t="s">
        <v>1315</v>
      </c>
      <c r="E1086" t="s">
        <v>1082</v>
      </c>
      <c r="F1086" t="s">
        <v>938</v>
      </c>
      <c r="G1086" t="s">
        <v>14</v>
      </c>
      <c r="I1086" t="s">
        <v>1308</v>
      </c>
      <c r="J1086" t="s">
        <v>938</v>
      </c>
      <c r="K1086" t="s">
        <v>18</v>
      </c>
      <c r="O1086" s="1"/>
      <c r="P1086" s="1"/>
      <c r="Q1086" s="1"/>
      <c r="R1086" s="1"/>
    </row>
    <row r="1087" spans="1:18" x14ac:dyDescent="0.35">
      <c r="D1087" t="s">
        <v>177</v>
      </c>
      <c r="E1087" t="s">
        <v>1081</v>
      </c>
      <c r="F1087" t="s">
        <v>956</v>
      </c>
      <c r="G1087" t="s">
        <v>3</v>
      </c>
      <c r="I1087" t="s">
        <v>1082</v>
      </c>
      <c r="J1087" t="s">
        <v>938</v>
      </c>
      <c r="K1087" s="12" t="s">
        <v>22</v>
      </c>
      <c r="O1087" s="1"/>
      <c r="P1087" s="1"/>
      <c r="Q1087" s="1"/>
      <c r="R1087" s="1"/>
    </row>
    <row r="1088" spans="1:18" x14ac:dyDescent="0.35">
      <c r="D1088" t="s">
        <v>1315</v>
      </c>
      <c r="E1088" t="s">
        <v>1082</v>
      </c>
      <c r="F1088" t="s">
        <v>938</v>
      </c>
      <c r="G1088" t="s">
        <v>22</v>
      </c>
      <c r="I1088" t="s">
        <v>1308</v>
      </c>
      <c r="J1088" t="s">
        <v>938</v>
      </c>
      <c r="K1088" t="s">
        <v>18</v>
      </c>
      <c r="O1088" s="1"/>
      <c r="P1088" s="1"/>
      <c r="Q1088" s="1"/>
      <c r="R1088" s="1"/>
    </row>
    <row r="1089" spans="4:18" x14ac:dyDescent="0.35">
      <c r="D1089" t="s">
        <v>149</v>
      </c>
      <c r="E1089" t="s">
        <v>1082</v>
      </c>
      <c r="F1089" t="s">
        <v>938</v>
      </c>
      <c r="G1089" t="s">
        <v>22</v>
      </c>
      <c r="I1089" t="s">
        <v>1082</v>
      </c>
      <c r="J1089" t="s">
        <v>938</v>
      </c>
      <c r="K1089" t="s">
        <v>14</v>
      </c>
      <c r="O1089" s="1"/>
      <c r="P1089" s="1"/>
      <c r="Q1089" s="1"/>
      <c r="R1089" s="1"/>
    </row>
    <row r="1090" spans="4:18" x14ac:dyDescent="0.35">
      <c r="D1090" t="s">
        <v>27</v>
      </c>
      <c r="E1090" t="s">
        <v>1082</v>
      </c>
      <c r="F1090" t="s">
        <v>938</v>
      </c>
      <c r="G1090" t="s">
        <v>22</v>
      </c>
      <c r="I1090" t="s">
        <v>1082</v>
      </c>
      <c r="J1090" t="s">
        <v>938</v>
      </c>
      <c r="K1090" t="s">
        <v>14</v>
      </c>
      <c r="N1090" t="s">
        <v>1369</v>
      </c>
      <c r="O1090" s="1"/>
      <c r="P1090" s="1"/>
      <c r="Q1090" s="1"/>
      <c r="R1090" s="1"/>
    </row>
    <row r="1091" spans="4:18" x14ac:dyDescent="0.35">
      <c r="D1091" t="s">
        <v>177</v>
      </c>
      <c r="E1091" t="s">
        <v>1081</v>
      </c>
      <c r="F1091" t="s">
        <v>956</v>
      </c>
      <c r="G1091" t="s">
        <v>2820</v>
      </c>
      <c r="I1091" t="s">
        <v>1082</v>
      </c>
      <c r="J1091" t="s">
        <v>938</v>
      </c>
      <c r="K1091" s="12" t="s">
        <v>2812</v>
      </c>
      <c r="O1091" s="1"/>
      <c r="P1091" s="1"/>
      <c r="Q1091" s="1"/>
      <c r="R1091" s="1"/>
    </row>
    <row r="1092" spans="4:18" x14ac:dyDescent="0.35">
      <c r="D1092" t="s">
        <v>1315</v>
      </c>
      <c r="E1092" t="s">
        <v>1082</v>
      </c>
      <c r="F1092" t="s">
        <v>938</v>
      </c>
      <c r="G1092" t="s">
        <v>2812</v>
      </c>
      <c r="I1092" t="s">
        <v>1308</v>
      </c>
      <c r="J1092" t="s">
        <v>938</v>
      </c>
      <c r="K1092" s="33" t="s">
        <v>3157</v>
      </c>
      <c r="O1092" s="1"/>
      <c r="P1092" s="1"/>
      <c r="Q1092" s="1"/>
      <c r="R1092" s="1"/>
    </row>
    <row r="1093" spans="4:18" x14ac:dyDescent="0.35">
      <c r="D1093" t="s">
        <v>27</v>
      </c>
      <c r="E1093" t="s">
        <v>1082</v>
      </c>
      <c r="F1093" t="s">
        <v>938</v>
      </c>
      <c r="G1093" t="s">
        <v>2812</v>
      </c>
      <c r="I1093" t="s">
        <v>1082</v>
      </c>
      <c r="J1093" t="s">
        <v>938</v>
      </c>
      <c r="K1093" t="s">
        <v>1144</v>
      </c>
      <c r="O1093" s="1"/>
      <c r="P1093" s="1"/>
      <c r="Q1093" s="1"/>
      <c r="R1093" s="1"/>
    </row>
    <row r="1094" spans="4:18" x14ac:dyDescent="0.35">
      <c r="D1094" t="s">
        <v>27</v>
      </c>
      <c r="E1094" t="s">
        <v>1082</v>
      </c>
      <c r="F1094" t="s">
        <v>938</v>
      </c>
      <c r="G1094" t="s">
        <v>2812</v>
      </c>
      <c r="I1094" t="s">
        <v>1082</v>
      </c>
      <c r="J1094" t="s">
        <v>938</v>
      </c>
      <c r="K1094" t="s">
        <v>2818</v>
      </c>
      <c r="O1094" s="1"/>
      <c r="P1094" s="1"/>
      <c r="Q1094" s="1"/>
      <c r="R1094" s="1"/>
    </row>
    <row r="1095" spans="4:18" x14ac:dyDescent="0.35">
      <c r="D1095" t="s">
        <v>27</v>
      </c>
      <c r="E1095" t="s">
        <v>1082</v>
      </c>
      <c r="F1095" t="s">
        <v>938</v>
      </c>
      <c r="G1095" t="s">
        <v>2812</v>
      </c>
      <c r="I1095" t="s">
        <v>1082</v>
      </c>
      <c r="J1095" t="s">
        <v>938</v>
      </c>
      <c r="K1095" t="s">
        <v>2819</v>
      </c>
      <c r="O1095" s="1"/>
      <c r="P1095" s="1"/>
      <c r="Q1095" s="1"/>
      <c r="R1095" s="1"/>
    </row>
    <row r="1096" spans="4:18" x14ac:dyDescent="0.35">
      <c r="D1096" t="s">
        <v>177</v>
      </c>
      <c r="E1096" t="s">
        <v>1081</v>
      </c>
      <c r="F1096" t="s">
        <v>956</v>
      </c>
      <c r="G1096" t="s">
        <v>2273</v>
      </c>
      <c r="I1096" t="s">
        <v>1082</v>
      </c>
      <c r="J1096" t="s">
        <v>938</v>
      </c>
      <c r="K1096" s="12" t="s">
        <v>2817</v>
      </c>
      <c r="O1096" s="1"/>
      <c r="P1096" s="1"/>
      <c r="Q1096" s="1"/>
      <c r="R1096" s="1"/>
    </row>
    <row r="1097" spans="4:18" x14ac:dyDescent="0.35">
      <c r="D1097" t="s">
        <v>1315</v>
      </c>
      <c r="E1097" t="s">
        <v>1082</v>
      </c>
      <c r="F1097" t="s">
        <v>938</v>
      </c>
      <c r="G1097" t="s">
        <v>2817</v>
      </c>
      <c r="I1097" t="s">
        <v>1308</v>
      </c>
      <c r="J1097" t="s">
        <v>938</v>
      </c>
      <c r="K1097" s="33" t="s">
        <v>3157</v>
      </c>
      <c r="O1097" s="1"/>
      <c r="P1097" s="1"/>
      <c r="Q1097" s="1"/>
      <c r="R1097" s="1"/>
    </row>
    <row r="1098" spans="4:18" x14ac:dyDescent="0.35">
      <c r="D1098" t="s">
        <v>146</v>
      </c>
      <c r="E1098" t="s">
        <v>1082</v>
      </c>
      <c r="F1098" t="s">
        <v>938</v>
      </c>
      <c r="G1098" t="s">
        <v>2817</v>
      </c>
      <c r="I1098" t="s">
        <v>1082</v>
      </c>
      <c r="J1098" t="s">
        <v>938</v>
      </c>
      <c r="K1098" t="s">
        <v>2812</v>
      </c>
      <c r="O1098" s="1"/>
      <c r="P1098" s="1"/>
      <c r="Q1098" s="1"/>
      <c r="R1098" s="1"/>
    </row>
    <row r="1099" spans="4:18" x14ac:dyDescent="0.35">
      <c r="D1099" t="s">
        <v>27</v>
      </c>
      <c r="E1099" t="s">
        <v>1082</v>
      </c>
      <c r="F1099" t="s">
        <v>938</v>
      </c>
      <c r="G1099" t="s">
        <v>2817</v>
      </c>
      <c r="I1099" t="s">
        <v>1082</v>
      </c>
      <c r="J1099" t="s">
        <v>938</v>
      </c>
      <c r="K1099" t="s">
        <v>1144</v>
      </c>
      <c r="N1099" t="s">
        <v>1369</v>
      </c>
      <c r="O1099" s="1"/>
      <c r="P1099" s="1"/>
      <c r="Q1099" s="1"/>
      <c r="R1099" s="1"/>
    </row>
    <row r="1100" spans="4:18" x14ac:dyDescent="0.35">
      <c r="D1100" t="s">
        <v>27</v>
      </c>
      <c r="E1100" t="s">
        <v>1082</v>
      </c>
      <c r="F1100" t="s">
        <v>938</v>
      </c>
      <c r="G1100" t="s">
        <v>2817</v>
      </c>
      <c r="I1100" t="s">
        <v>1082</v>
      </c>
      <c r="J1100" t="s">
        <v>938</v>
      </c>
      <c r="K1100" t="s">
        <v>2812</v>
      </c>
      <c r="N1100" t="s">
        <v>1370</v>
      </c>
      <c r="O1100" s="1"/>
      <c r="P1100" s="1"/>
      <c r="Q1100" s="1"/>
      <c r="R1100" s="1"/>
    </row>
    <row r="1101" spans="4:18" x14ac:dyDescent="0.35">
      <c r="D1101" t="s">
        <v>27</v>
      </c>
      <c r="E1101" t="s">
        <v>1082</v>
      </c>
      <c r="F1101" t="s">
        <v>938</v>
      </c>
      <c r="G1101" t="s">
        <v>2817</v>
      </c>
      <c r="I1101" t="s">
        <v>1082</v>
      </c>
      <c r="J1101" t="s">
        <v>938</v>
      </c>
      <c r="K1101" t="s">
        <v>2818</v>
      </c>
      <c r="N1101" t="s">
        <v>1370</v>
      </c>
      <c r="O1101" s="1"/>
      <c r="P1101" s="1"/>
      <c r="Q1101" s="1"/>
      <c r="R1101" s="1"/>
    </row>
    <row r="1102" spans="4:18" x14ac:dyDescent="0.35">
      <c r="D1102" t="s">
        <v>27</v>
      </c>
      <c r="E1102" t="s">
        <v>1082</v>
      </c>
      <c r="F1102" t="s">
        <v>938</v>
      </c>
      <c r="G1102" t="s">
        <v>2817</v>
      </c>
      <c r="I1102" t="s">
        <v>1082</v>
      </c>
      <c r="J1102" t="s">
        <v>938</v>
      </c>
      <c r="K1102" t="s">
        <v>2819</v>
      </c>
      <c r="N1102" t="s">
        <v>1370</v>
      </c>
      <c r="O1102" s="1"/>
      <c r="P1102" s="1"/>
      <c r="Q1102" s="1"/>
      <c r="R1102" s="1"/>
    </row>
    <row r="1103" spans="4:18" x14ac:dyDescent="0.35">
      <c r="D1103" t="s">
        <v>177</v>
      </c>
      <c r="E1103" t="s">
        <v>1081</v>
      </c>
      <c r="F1103" t="s">
        <v>956</v>
      </c>
      <c r="G1103" t="s">
        <v>2273</v>
      </c>
      <c r="I1103" t="s">
        <v>1082</v>
      </c>
      <c r="J1103" t="s">
        <v>938</v>
      </c>
      <c r="K1103" s="12" t="s">
        <v>80</v>
      </c>
      <c r="O1103" s="1"/>
      <c r="P1103" s="1"/>
      <c r="Q1103" s="1"/>
      <c r="R1103" s="1"/>
    </row>
    <row r="1104" spans="4:18" x14ac:dyDescent="0.35">
      <c r="D1104" t="s">
        <v>1315</v>
      </c>
      <c r="E1104" t="s">
        <v>1082</v>
      </c>
      <c r="F1104" t="s">
        <v>938</v>
      </c>
      <c r="G1104" t="s">
        <v>80</v>
      </c>
      <c r="I1104" t="s">
        <v>1308</v>
      </c>
      <c r="J1104" t="s">
        <v>938</v>
      </c>
      <c r="K1104" s="33" t="s">
        <v>78</v>
      </c>
      <c r="O1104" s="1"/>
      <c r="P1104" s="1"/>
      <c r="Q1104" s="1"/>
      <c r="R1104" s="1"/>
    </row>
    <row r="1105" spans="1:18" x14ac:dyDescent="0.35">
      <c r="D1105" t="s">
        <v>1315</v>
      </c>
      <c r="E1105" t="s">
        <v>1082</v>
      </c>
      <c r="F1105" t="s">
        <v>938</v>
      </c>
      <c r="G1105" t="s">
        <v>80</v>
      </c>
      <c r="I1105" t="s">
        <v>1308</v>
      </c>
      <c r="J1105" t="s">
        <v>938</v>
      </c>
      <c r="K1105" s="33" t="s">
        <v>3157</v>
      </c>
      <c r="O1105" s="1"/>
      <c r="P1105" s="1"/>
      <c r="Q1105" s="1"/>
      <c r="R1105" s="1"/>
    </row>
    <row r="1106" spans="1:18" x14ac:dyDescent="0.35">
      <c r="D1106" t="s">
        <v>146</v>
      </c>
      <c r="E1106" t="s">
        <v>1082</v>
      </c>
      <c r="F1106" t="s">
        <v>938</v>
      </c>
      <c r="G1106" t="s">
        <v>80</v>
      </c>
      <c r="I1106" t="s">
        <v>1082</v>
      </c>
      <c r="J1106" t="s">
        <v>938</v>
      </c>
      <c r="K1106" s="33" t="s">
        <v>2817</v>
      </c>
      <c r="O1106" s="1"/>
      <c r="P1106" s="1"/>
      <c r="Q1106" s="1"/>
      <c r="R1106" s="1"/>
    </row>
    <row r="1107" spans="1:18" x14ac:dyDescent="0.35">
      <c r="D1107" t="s">
        <v>27</v>
      </c>
      <c r="E1107" t="s">
        <v>1082</v>
      </c>
      <c r="F1107" t="s">
        <v>938</v>
      </c>
      <c r="G1107" t="s">
        <v>80</v>
      </c>
      <c r="I1107" t="s">
        <v>1082</v>
      </c>
      <c r="J1107" t="s">
        <v>938</v>
      </c>
      <c r="K1107" s="33" t="s">
        <v>1140</v>
      </c>
      <c r="N1107" t="s">
        <v>1369</v>
      </c>
      <c r="O1107" s="1"/>
      <c r="P1107" s="1"/>
      <c r="Q1107" s="1"/>
      <c r="R1107" s="1"/>
    </row>
    <row r="1108" spans="1:18" x14ac:dyDescent="0.35">
      <c r="D1108" t="s">
        <v>27</v>
      </c>
      <c r="E1108" t="s">
        <v>1082</v>
      </c>
      <c r="F1108" t="s">
        <v>938</v>
      </c>
      <c r="G1108" t="s">
        <v>80</v>
      </c>
      <c r="I1108" t="s">
        <v>1082</v>
      </c>
      <c r="J1108" t="s">
        <v>938</v>
      </c>
      <c r="K1108" s="33" t="s">
        <v>2818</v>
      </c>
      <c r="N1108" t="s">
        <v>1370</v>
      </c>
      <c r="O1108" s="1"/>
      <c r="P1108" s="1"/>
      <c r="Q1108" s="1"/>
      <c r="R1108" s="1"/>
    </row>
    <row r="1109" spans="1:18" x14ac:dyDescent="0.35">
      <c r="D1109" t="s">
        <v>27</v>
      </c>
      <c r="E1109" t="s">
        <v>1082</v>
      </c>
      <c r="F1109" t="s">
        <v>938</v>
      </c>
      <c r="G1109" t="s">
        <v>80</v>
      </c>
      <c r="I1109" t="s">
        <v>1082</v>
      </c>
      <c r="J1109" t="s">
        <v>938</v>
      </c>
      <c r="K1109" s="33" t="s">
        <v>2819</v>
      </c>
      <c r="N1109" t="s">
        <v>1370</v>
      </c>
      <c r="O1109" s="1"/>
      <c r="P1109" s="1"/>
      <c r="Q1109" s="1"/>
      <c r="R1109" s="1"/>
    </row>
    <row r="1110" spans="1:18" x14ac:dyDescent="0.35">
      <c r="D1110" t="s">
        <v>177</v>
      </c>
      <c r="E1110" t="s">
        <v>1081</v>
      </c>
      <c r="F1110" t="s">
        <v>956</v>
      </c>
      <c r="G1110" t="s">
        <v>2273</v>
      </c>
      <c r="I1110" t="s">
        <v>1082</v>
      </c>
      <c r="J1110" t="s">
        <v>938</v>
      </c>
      <c r="K1110" s="12" t="s">
        <v>3161</v>
      </c>
      <c r="O1110" s="1"/>
      <c r="P1110" s="1"/>
      <c r="Q1110" s="1"/>
      <c r="R1110" s="1"/>
    </row>
    <row r="1111" spans="1:18" x14ac:dyDescent="0.35">
      <c r="D1111" t="s">
        <v>1315</v>
      </c>
      <c r="E1111" t="s">
        <v>1082</v>
      </c>
      <c r="F1111" t="s">
        <v>938</v>
      </c>
      <c r="G1111" t="s">
        <v>3161</v>
      </c>
      <c r="I1111" t="s">
        <v>1308</v>
      </c>
      <c r="J1111" t="s">
        <v>938</v>
      </c>
      <c r="K1111" s="33" t="s">
        <v>3157</v>
      </c>
      <c r="O1111" s="1"/>
      <c r="P1111" s="1"/>
      <c r="Q1111" s="1"/>
      <c r="R1111" s="1"/>
    </row>
    <row r="1112" spans="1:18" x14ac:dyDescent="0.35">
      <c r="D1112" t="s">
        <v>149</v>
      </c>
      <c r="E1112" t="s">
        <v>1082</v>
      </c>
      <c r="F1112" t="s">
        <v>938</v>
      </c>
      <c r="G1112" t="s">
        <v>3161</v>
      </c>
      <c r="I1112" t="s">
        <v>1082</v>
      </c>
      <c r="J1112" t="s">
        <v>938</v>
      </c>
      <c r="K1112" s="33" t="s">
        <v>80</v>
      </c>
      <c r="O1112" s="1"/>
      <c r="P1112" s="1"/>
      <c r="Q1112" s="1"/>
      <c r="R1112" s="1"/>
    </row>
    <row r="1113" spans="1:18" x14ac:dyDescent="0.35">
      <c r="D1113" t="s">
        <v>27</v>
      </c>
      <c r="E1113" t="s">
        <v>1082</v>
      </c>
      <c r="F1113" t="s">
        <v>938</v>
      </c>
      <c r="G1113" t="s">
        <v>3161</v>
      </c>
      <c r="I1113" t="s">
        <v>1082</v>
      </c>
      <c r="J1113" t="s">
        <v>938</v>
      </c>
      <c r="K1113" s="33" t="s">
        <v>80</v>
      </c>
      <c r="N1113" t="s">
        <v>1369</v>
      </c>
      <c r="O1113" s="1"/>
      <c r="P1113" s="1"/>
      <c r="Q1113" s="1"/>
      <c r="R1113" s="1"/>
    </row>
    <row r="1114" spans="1:18" s="21" customFormat="1" x14ac:dyDescent="0.35">
      <c r="A1114"/>
      <c r="B1114"/>
      <c r="C1114"/>
      <c r="D1114"/>
      <c r="E1114"/>
      <c r="F1114"/>
      <c r="G1114"/>
      <c r="H1114"/>
      <c r="I1114"/>
      <c r="J1114"/>
      <c r="K1114" s="12"/>
      <c r="L1114"/>
      <c r="M1114"/>
      <c r="N1114"/>
      <c r="O1114" s="1"/>
      <c r="P1114" s="1"/>
      <c r="Q1114" s="1"/>
      <c r="R1114" s="1"/>
    </row>
    <row r="1115" spans="1:18" ht="28.5" x14ac:dyDescent="0.65">
      <c r="A1115" s="21"/>
      <c r="B1115" s="21"/>
      <c r="C1115" s="27" t="s">
        <v>3178</v>
      </c>
      <c r="D1115" s="21"/>
      <c r="E1115" s="21"/>
      <c r="F1115" s="21"/>
      <c r="G1115" s="21"/>
      <c r="H1115" s="21"/>
      <c r="I1115" s="21"/>
      <c r="J1115" s="21"/>
      <c r="K1115" s="23"/>
      <c r="L1115" s="21"/>
      <c r="M1115" s="21"/>
      <c r="N1115" s="21"/>
      <c r="O1115" s="22"/>
      <c r="P1115" s="22"/>
      <c r="Q1115" s="22"/>
      <c r="R1115" s="22"/>
    </row>
    <row r="1116" spans="1:18" x14ac:dyDescent="0.35">
      <c r="F1116"/>
      <c r="K1116" s="12"/>
      <c r="O1116" s="1"/>
      <c r="P1116" s="1"/>
      <c r="Q1116" s="1"/>
      <c r="R1116" s="1"/>
    </row>
    <row r="1117" spans="1:18" x14ac:dyDescent="0.35">
      <c r="D1117" t="s">
        <v>177</v>
      </c>
      <c r="E1117" t="s">
        <v>1081</v>
      </c>
      <c r="F1117" t="s">
        <v>956</v>
      </c>
      <c r="G1117" t="s">
        <v>400</v>
      </c>
      <c r="I1117" t="s">
        <v>1082</v>
      </c>
      <c r="J1117" t="s">
        <v>938</v>
      </c>
      <c r="K1117" s="12" t="s">
        <v>3196</v>
      </c>
      <c r="O1117" s="1"/>
      <c r="P1117" s="1"/>
      <c r="Q1117" s="1"/>
      <c r="R1117" s="1"/>
    </row>
    <row r="1118" spans="1:18" x14ac:dyDescent="0.35">
      <c r="D1118" t="s">
        <v>1315</v>
      </c>
      <c r="E1118" t="s">
        <v>1082</v>
      </c>
      <c r="F1118" t="s">
        <v>938</v>
      </c>
      <c r="G1118" t="s">
        <v>3196</v>
      </c>
      <c r="I1118" t="s">
        <v>1308</v>
      </c>
      <c r="J1118" t="s">
        <v>938</v>
      </c>
      <c r="K1118" s="33" t="s">
        <v>3202</v>
      </c>
      <c r="O1118" s="1"/>
      <c r="P1118" s="1"/>
      <c r="Q1118" s="1"/>
      <c r="R1118" s="1"/>
    </row>
    <row r="1119" spans="1:18" x14ac:dyDescent="0.35">
      <c r="D1119" t="s">
        <v>177</v>
      </c>
      <c r="E1119" t="s">
        <v>1081</v>
      </c>
      <c r="F1119" t="s">
        <v>956</v>
      </c>
      <c r="G1119" t="s">
        <v>3204</v>
      </c>
      <c r="I1119" t="s">
        <v>1082</v>
      </c>
      <c r="J1119" t="s">
        <v>938</v>
      </c>
      <c r="K1119" s="12" t="s">
        <v>3195</v>
      </c>
      <c r="O1119" s="1"/>
      <c r="P1119" s="1"/>
      <c r="Q1119" s="1"/>
      <c r="R1119" s="1"/>
    </row>
    <row r="1120" spans="1:18" x14ac:dyDescent="0.35">
      <c r="D1120" t="s">
        <v>1315</v>
      </c>
      <c r="E1120" t="s">
        <v>1082</v>
      </c>
      <c r="F1120" t="s">
        <v>938</v>
      </c>
      <c r="G1120" t="s">
        <v>3195</v>
      </c>
      <c r="I1120" t="s">
        <v>1308</v>
      </c>
      <c r="J1120" t="s">
        <v>938</v>
      </c>
      <c r="K1120" s="33" t="s">
        <v>3202</v>
      </c>
      <c r="O1120" s="1"/>
      <c r="P1120" s="1"/>
      <c r="Q1120" s="1"/>
      <c r="R1120" s="1"/>
    </row>
    <row r="1121" spans="4:18" x14ac:dyDescent="0.35">
      <c r="D1121" t="s">
        <v>2215</v>
      </c>
      <c r="E1121" t="s">
        <v>1082</v>
      </c>
      <c r="F1121" t="s">
        <v>938</v>
      </c>
      <c r="G1121" t="s">
        <v>3195</v>
      </c>
      <c r="I1121" t="s">
        <v>1082</v>
      </c>
      <c r="J1121" t="s">
        <v>938</v>
      </c>
      <c r="K1121" s="33" t="s">
        <v>3196</v>
      </c>
      <c r="O1121" s="1"/>
      <c r="P1121" s="1"/>
      <c r="Q1121" s="1"/>
      <c r="R1121" s="1"/>
    </row>
    <row r="1122" spans="4:18" x14ac:dyDescent="0.35">
      <c r="D1122" t="s">
        <v>1314</v>
      </c>
      <c r="E1122" t="s">
        <v>1082</v>
      </c>
      <c r="F1122" t="s">
        <v>938</v>
      </c>
      <c r="G1122" t="s">
        <v>3195</v>
      </c>
      <c r="I1122" t="s">
        <v>1082</v>
      </c>
      <c r="J1122" t="s">
        <v>938</v>
      </c>
      <c r="K1122" s="33" t="s">
        <v>3196</v>
      </c>
      <c r="O1122" s="1"/>
      <c r="P1122" s="1" t="s">
        <v>1355</v>
      </c>
      <c r="Q1122" s="1"/>
      <c r="R1122" s="1"/>
    </row>
    <row r="1123" spans="4:18" x14ac:dyDescent="0.35">
      <c r="D1123" t="s">
        <v>177</v>
      </c>
      <c r="E1123" t="s">
        <v>1081</v>
      </c>
      <c r="F1123" t="s">
        <v>956</v>
      </c>
      <c r="G1123" t="s">
        <v>400</v>
      </c>
      <c r="I1123" t="s">
        <v>1082</v>
      </c>
      <c r="J1123" t="s">
        <v>938</v>
      </c>
      <c r="K1123" s="12" t="s">
        <v>3207</v>
      </c>
      <c r="O1123" s="1"/>
      <c r="P1123" s="1"/>
      <c r="Q1123" s="1"/>
      <c r="R1123" s="1"/>
    </row>
    <row r="1124" spans="4:18" x14ac:dyDescent="0.35">
      <c r="D1124" t="s">
        <v>1315</v>
      </c>
      <c r="E1124" t="s">
        <v>1082</v>
      </c>
      <c r="F1124" t="s">
        <v>938</v>
      </c>
      <c r="G1124" t="s">
        <v>3207</v>
      </c>
      <c r="I1124" t="s">
        <v>1308</v>
      </c>
      <c r="J1124" t="s">
        <v>938</v>
      </c>
      <c r="K1124" s="33" t="s">
        <v>3202</v>
      </c>
      <c r="O1124" s="1"/>
      <c r="P1124" s="1"/>
      <c r="Q1124" s="1"/>
      <c r="R1124" s="1"/>
    </row>
    <row r="1125" spans="4:18" x14ac:dyDescent="0.35">
      <c r="D1125" t="s">
        <v>177</v>
      </c>
      <c r="E1125" t="s">
        <v>1081</v>
      </c>
      <c r="F1125" t="s">
        <v>956</v>
      </c>
      <c r="G1125" t="s">
        <v>3204</v>
      </c>
      <c r="I1125" t="s">
        <v>1082</v>
      </c>
      <c r="J1125" t="s">
        <v>938</v>
      </c>
      <c r="K1125" s="12" t="s">
        <v>3209</v>
      </c>
      <c r="O1125" s="1"/>
      <c r="P1125" s="1"/>
      <c r="Q1125" s="1"/>
      <c r="R1125" s="1"/>
    </row>
    <row r="1126" spans="4:18" x14ac:dyDescent="0.35">
      <c r="D1126" t="s">
        <v>1315</v>
      </c>
      <c r="E1126" t="s">
        <v>1082</v>
      </c>
      <c r="F1126" t="s">
        <v>938</v>
      </c>
      <c r="G1126" t="s">
        <v>3209</v>
      </c>
      <c r="I1126" t="s">
        <v>1308</v>
      </c>
      <c r="J1126" t="s">
        <v>938</v>
      </c>
      <c r="K1126" s="33" t="s">
        <v>3202</v>
      </c>
      <c r="O1126" s="1"/>
      <c r="P1126" s="1"/>
      <c r="Q1126" s="1"/>
      <c r="R1126" s="1"/>
    </row>
    <row r="1127" spans="4:18" x14ac:dyDescent="0.35">
      <c r="D1127" t="s">
        <v>2215</v>
      </c>
      <c r="E1127" t="s">
        <v>1082</v>
      </c>
      <c r="F1127" t="s">
        <v>938</v>
      </c>
      <c r="G1127" t="s">
        <v>3209</v>
      </c>
      <c r="I1127" t="s">
        <v>1082</v>
      </c>
      <c r="J1127" t="s">
        <v>938</v>
      </c>
      <c r="K1127" s="33" t="s">
        <v>3207</v>
      </c>
      <c r="O1127" s="1"/>
      <c r="P1127" s="1"/>
      <c r="Q1127" s="1"/>
      <c r="R1127" s="1"/>
    </row>
    <row r="1128" spans="4:18" x14ac:dyDescent="0.35">
      <c r="D1128" t="s">
        <v>1314</v>
      </c>
      <c r="E1128" t="s">
        <v>1082</v>
      </c>
      <c r="F1128" t="s">
        <v>938</v>
      </c>
      <c r="G1128" t="s">
        <v>3209</v>
      </c>
      <c r="I1128" t="s">
        <v>1082</v>
      </c>
      <c r="J1128" t="s">
        <v>938</v>
      </c>
      <c r="K1128" s="33" t="s">
        <v>3207</v>
      </c>
      <c r="O1128" s="1"/>
      <c r="P1128" s="1"/>
      <c r="Q1128" s="1"/>
      <c r="R1128" s="1"/>
    </row>
    <row r="1129" spans="4:18" x14ac:dyDescent="0.35">
      <c r="D1129" t="s">
        <v>177</v>
      </c>
      <c r="E1129" t="s">
        <v>1081</v>
      </c>
      <c r="F1129" t="s">
        <v>956</v>
      </c>
      <c r="G1129" t="s">
        <v>3204</v>
      </c>
      <c r="I1129" t="s">
        <v>1082</v>
      </c>
      <c r="J1129" t="s">
        <v>938</v>
      </c>
      <c r="K1129" s="12" t="s">
        <v>3212</v>
      </c>
      <c r="O1129" s="1"/>
      <c r="P1129" s="1"/>
      <c r="Q1129" s="1"/>
      <c r="R1129" s="1"/>
    </row>
    <row r="1130" spans="4:18" x14ac:dyDescent="0.35">
      <c r="D1130" t="s">
        <v>1315</v>
      </c>
      <c r="E1130" t="s">
        <v>1082</v>
      </c>
      <c r="F1130" t="s">
        <v>938</v>
      </c>
      <c r="G1130" t="s">
        <v>3212</v>
      </c>
      <c r="I1130" t="s">
        <v>1308</v>
      </c>
      <c r="J1130" t="s">
        <v>938</v>
      </c>
      <c r="K1130" s="33" t="s">
        <v>3202</v>
      </c>
      <c r="O1130" s="1"/>
      <c r="P1130" s="1"/>
      <c r="Q1130" s="1"/>
      <c r="R1130" s="1"/>
    </row>
    <row r="1131" spans="4:18" x14ac:dyDescent="0.35">
      <c r="D1131" t="s">
        <v>177</v>
      </c>
      <c r="E1131" t="s">
        <v>1081</v>
      </c>
      <c r="F1131" t="s">
        <v>956</v>
      </c>
      <c r="G1131" t="s">
        <v>3204</v>
      </c>
      <c r="I1131" t="s">
        <v>1082</v>
      </c>
      <c r="J1131" t="s">
        <v>938</v>
      </c>
      <c r="K1131" s="12" t="s">
        <v>3215</v>
      </c>
      <c r="O1131" s="1"/>
      <c r="P1131" s="1"/>
      <c r="Q1131" s="1"/>
      <c r="R1131" s="1"/>
    </row>
    <row r="1132" spans="4:18" x14ac:dyDescent="0.35">
      <c r="D1132" t="s">
        <v>1315</v>
      </c>
      <c r="E1132" t="s">
        <v>1082</v>
      </c>
      <c r="F1132" t="s">
        <v>938</v>
      </c>
      <c r="G1132" t="s">
        <v>3215</v>
      </c>
      <c r="I1132" t="s">
        <v>1308</v>
      </c>
      <c r="J1132" t="s">
        <v>938</v>
      </c>
      <c r="K1132" s="33" t="s">
        <v>3202</v>
      </c>
      <c r="O1132" s="1"/>
      <c r="P1132" s="1"/>
      <c r="Q1132" s="1"/>
      <c r="R1132" s="1"/>
    </row>
    <row r="1133" spans="4:18" x14ac:dyDescent="0.35">
      <c r="D1133" t="s">
        <v>177</v>
      </c>
      <c r="E1133" t="s">
        <v>1081</v>
      </c>
      <c r="F1133" t="s">
        <v>956</v>
      </c>
      <c r="G1133" t="s">
        <v>3204</v>
      </c>
      <c r="I1133" t="s">
        <v>1082</v>
      </c>
      <c r="J1133" t="s">
        <v>938</v>
      </c>
      <c r="K1133" s="12" t="s">
        <v>3218</v>
      </c>
      <c r="O1133" s="1"/>
      <c r="P1133" s="1"/>
      <c r="Q1133" s="1"/>
      <c r="R1133" s="1"/>
    </row>
    <row r="1134" spans="4:18" x14ac:dyDescent="0.35">
      <c r="D1134" t="s">
        <v>1315</v>
      </c>
      <c r="E1134" t="s">
        <v>1082</v>
      </c>
      <c r="F1134" t="s">
        <v>938</v>
      </c>
      <c r="G1134" t="s">
        <v>3218</v>
      </c>
      <c r="I1134" t="s">
        <v>1308</v>
      </c>
      <c r="J1134" t="s">
        <v>938</v>
      </c>
      <c r="K1134" s="33" t="s">
        <v>3202</v>
      </c>
      <c r="O1134" s="1"/>
      <c r="P1134" s="1"/>
      <c r="Q1134" s="1"/>
      <c r="R1134" s="1"/>
    </row>
    <row r="1135" spans="4:18" x14ac:dyDescent="0.35">
      <c r="D1135" t="s">
        <v>177</v>
      </c>
      <c r="E1135" t="s">
        <v>1081</v>
      </c>
      <c r="F1135" t="s">
        <v>956</v>
      </c>
      <c r="G1135" t="s">
        <v>3204</v>
      </c>
      <c r="I1135" t="s">
        <v>1082</v>
      </c>
      <c r="J1135" t="s">
        <v>938</v>
      </c>
      <c r="K1135" s="12" t="s">
        <v>3295</v>
      </c>
      <c r="O1135" s="1"/>
      <c r="P1135" s="1"/>
      <c r="Q1135" s="1"/>
      <c r="R1135" s="1"/>
    </row>
    <row r="1136" spans="4:18" x14ac:dyDescent="0.35">
      <c r="D1136" t="s">
        <v>1315</v>
      </c>
      <c r="E1136" t="s">
        <v>1082</v>
      </c>
      <c r="F1136" t="s">
        <v>938</v>
      </c>
      <c r="G1136" t="s">
        <v>3295</v>
      </c>
      <c r="I1136" t="s">
        <v>1308</v>
      </c>
      <c r="J1136" t="s">
        <v>938</v>
      </c>
      <c r="K1136" s="33" t="s">
        <v>3326</v>
      </c>
      <c r="O1136" s="1"/>
      <c r="P1136" s="1"/>
      <c r="Q1136" s="1"/>
      <c r="R1136" s="1"/>
    </row>
    <row r="1137" spans="4:18" x14ac:dyDescent="0.35">
      <c r="D1137" t="s">
        <v>2215</v>
      </c>
      <c r="E1137" t="s">
        <v>1082</v>
      </c>
      <c r="F1137" t="s">
        <v>938</v>
      </c>
      <c r="G1137" t="s">
        <v>3295</v>
      </c>
      <c r="I1137" t="s">
        <v>1082</v>
      </c>
      <c r="J1137" t="s">
        <v>938</v>
      </c>
      <c r="K1137" s="33" t="s">
        <v>3195</v>
      </c>
      <c r="O1137" s="1"/>
      <c r="P1137" s="1"/>
      <c r="Q1137" s="1"/>
      <c r="R1137" s="1"/>
    </row>
    <row r="1138" spans="4:18" x14ac:dyDescent="0.35">
      <c r="D1138" t="s">
        <v>2215</v>
      </c>
      <c r="E1138" t="s">
        <v>1082</v>
      </c>
      <c r="F1138" t="s">
        <v>938</v>
      </c>
      <c r="G1138" t="s">
        <v>3295</v>
      </c>
      <c r="I1138" t="s">
        <v>1082</v>
      </c>
      <c r="J1138" t="s">
        <v>938</v>
      </c>
      <c r="K1138" s="33" t="s">
        <v>3209</v>
      </c>
      <c r="O1138" s="1"/>
      <c r="P1138" s="1"/>
      <c r="Q1138" s="1"/>
      <c r="R1138" s="1"/>
    </row>
    <row r="1139" spans="4:18" x14ac:dyDescent="0.35">
      <c r="D1139" t="s">
        <v>2215</v>
      </c>
      <c r="E1139" t="s">
        <v>1082</v>
      </c>
      <c r="F1139" t="s">
        <v>938</v>
      </c>
      <c r="G1139" t="s">
        <v>3295</v>
      </c>
      <c r="I1139" t="s">
        <v>1082</v>
      </c>
      <c r="J1139" t="s">
        <v>938</v>
      </c>
      <c r="K1139" s="33" t="s">
        <v>3212</v>
      </c>
      <c r="O1139" s="1"/>
      <c r="P1139" s="1"/>
      <c r="Q1139" s="1"/>
      <c r="R1139" s="1"/>
    </row>
    <row r="1140" spans="4:18" x14ac:dyDescent="0.35">
      <c r="D1140" t="s">
        <v>2215</v>
      </c>
      <c r="E1140" t="s">
        <v>1082</v>
      </c>
      <c r="F1140" t="s">
        <v>938</v>
      </c>
      <c r="G1140" t="s">
        <v>3295</v>
      </c>
      <c r="I1140" t="s">
        <v>1082</v>
      </c>
      <c r="J1140" t="s">
        <v>938</v>
      </c>
      <c r="K1140" s="33" t="s">
        <v>3215</v>
      </c>
      <c r="O1140" s="1"/>
      <c r="P1140" s="1"/>
      <c r="Q1140" s="1"/>
      <c r="R1140" s="1"/>
    </row>
    <row r="1141" spans="4:18" x14ac:dyDescent="0.35">
      <c r="D1141" t="s">
        <v>2215</v>
      </c>
      <c r="E1141" t="s">
        <v>1082</v>
      </c>
      <c r="F1141" t="s">
        <v>938</v>
      </c>
      <c r="G1141" t="s">
        <v>3295</v>
      </c>
      <c r="I1141" t="s">
        <v>1082</v>
      </c>
      <c r="J1141" t="s">
        <v>938</v>
      </c>
      <c r="K1141" s="33" t="s">
        <v>3218</v>
      </c>
      <c r="O1141" s="1"/>
      <c r="P1141" s="1"/>
      <c r="Q1141" s="1"/>
      <c r="R1141" s="1"/>
    </row>
    <row r="1142" spans="4:18" x14ac:dyDescent="0.35">
      <c r="D1142" t="s">
        <v>177</v>
      </c>
      <c r="E1142" t="s">
        <v>1081</v>
      </c>
      <c r="F1142" t="s">
        <v>956</v>
      </c>
      <c r="G1142" t="s">
        <v>3204</v>
      </c>
      <c r="I1142" t="s">
        <v>1082</v>
      </c>
      <c r="J1142" t="s">
        <v>938</v>
      </c>
      <c r="K1142" s="12" t="s">
        <v>3297</v>
      </c>
      <c r="O1142" s="1"/>
      <c r="P1142" s="1"/>
      <c r="Q1142" s="1"/>
      <c r="R1142" s="1"/>
    </row>
    <row r="1143" spans="4:18" x14ac:dyDescent="0.35">
      <c r="D1143" t="s">
        <v>1315</v>
      </c>
      <c r="E1143" t="s">
        <v>1082</v>
      </c>
      <c r="F1143" t="s">
        <v>938</v>
      </c>
      <c r="G1143" t="s">
        <v>3297</v>
      </c>
      <c r="I1143" t="s">
        <v>1308</v>
      </c>
      <c r="J1143" t="s">
        <v>938</v>
      </c>
      <c r="K1143" s="33" t="s">
        <v>3326</v>
      </c>
      <c r="O1143" s="1"/>
      <c r="P1143" s="1"/>
      <c r="Q1143" s="1"/>
      <c r="R1143" s="1"/>
    </row>
    <row r="1144" spans="4:18" x14ac:dyDescent="0.35">
      <c r="D1144" t="s">
        <v>149</v>
      </c>
      <c r="E1144" t="s">
        <v>1082</v>
      </c>
      <c r="F1144" t="s">
        <v>938</v>
      </c>
      <c r="G1144" t="s">
        <v>3297</v>
      </c>
      <c r="I1144" t="s">
        <v>1082</v>
      </c>
      <c r="J1144" t="s">
        <v>938</v>
      </c>
      <c r="K1144" s="33" t="s">
        <v>3295</v>
      </c>
      <c r="O1144" s="1"/>
      <c r="P1144" s="1"/>
      <c r="Q1144" s="1"/>
      <c r="R1144" s="1"/>
    </row>
    <row r="1145" spans="4:18" x14ac:dyDescent="0.35">
      <c r="D1145" t="s">
        <v>1315</v>
      </c>
      <c r="E1145" t="s">
        <v>1308</v>
      </c>
      <c r="F1145" t="s">
        <v>938</v>
      </c>
      <c r="G1145" t="s">
        <v>3326</v>
      </c>
      <c r="I1145" t="s">
        <v>1308</v>
      </c>
      <c r="J1145" t="s">
        <v>938</v>
      </c>
      <c r="K1145" s="33" t="s">
        <v>3202</v>
      </c>
      <c r="O1145" s="1"/>
      <c r="P1145" s="1"/>
      <c r="Q1145" s="1"/>
      <c r="R1145" s="1"/>
    </row>
    <row r="1146" spans="4:18" x14ac:dyDescent="0.35">
      <c r="D1146" t="s">
        <v>177</v>
      </c>
      <c r="E1146" t="s">
        <v>1081</v>
      </c>
      <c r="F1146" t="s">
        <v>956</v>
      </c>
      <c r="G1146" t="s">
        <v>3204</v>
      </c>
      <c r="I1146" t="s">
        <v>1082</v>
      </c>
      <c r="J1146" t="s">
        <v>938</v>
      </c>
      <c r="K1146" s="12" t="s">
        <v>3301</v>
      </c>
      <c r="O1146" s="1"/>
      <c r="P1146" s="1"/>
      <c r="Q1146" s="1"/>
      <c r="R1146" s="1"/>
    </row>
    <row r="1147" spans="4:18" x14ac:dyDescent="0.35">
      <c r="D1147" t="s">
        <v>1315</v>
      </c>
      <c r="E1147" t="s">
        <v>1082</v>
      </c>
      <c r="F1147" t="s">
        <v>938</v>
      </c>
      <c r="G1147" t="s">
        <v>3301</v>
      </c>
      <c r="I1147" t="s">
        <v>1308</v>
      </c>
      <c r="J1147" t="s">
        <v>938</v>
      </c>
      <c r="K1147" s="33" t="s">
        <v>3202</v>
      </c>
      <c r="O1147" s="1"/>
      <c r="P1147" s="1"/>
      <c r="Q1147" s="1"/>
      <c r="R1147" s="1"/>
    </row>
    <row r="1148" spans="4:18" x14ac:dyDescent="0.35">
      <c r="D1148" t="s">
        <v>2215</v>
      </c>
      <c r="E1148" t="s">
        <v>1082</v>
      </c>
      <c r="F1148" t="s">
        <v>938</v>
      </c>
      <c r="G1148" t="s">
        <v>3301</v>
      </c>
      <c r="I1148" t="s">
        <v>1308</v>
      </c>
      <c r="J1148" t="s">
        <v>938</v>
      </c>
      <c r="K1148" s="33" t="s">
        <v>3326</v>
      </c>
      <c r="O1148" s="1"/>
      <c r="P1148" s="1"/>
      <c r="Q1148" s="1"/>
      <c r="R1148" s="1"/>
    </row>
    <row r="1149" spans="4:18" x14ac:dyDescent="0.35">
      <c r="D1149" t="s">
        <v>177</v>
      </c>
      <c r="E1149" t="s">
        <v>1081</v>
      </c>
      <c r="F1149" t="s">
        <v>956</v>
      </c>
      <c r="G1149" t="s">
        <v>3204</v>
      </c>
      <c r="I1149" t="s">
        <v>1082</v>
      </c>
      <c r="J1149" t="s">
        <v>938</v>
      </c>
      <c r="K1149" s="12" t="s">
        <v>3304</v>
      </c>
      <c r="O1149" s="1"/>
      <c r="P1149" s="1"/>
      <c r="Q1149" s="1"/>
      <c r="R1149" s="1"/>
    </row>
    <row r="1150" spans="4:18" x14ac:dyDescent="0.35">
      <c r="D1150" t="s">
        <v>1315</v>
      </c>
      <c r="E1150" t="s">
        <v>1082</v>
      </c>
      <c r="F1150" t="s">
        <v>938</v>
      </c>
      <c r="G1150" t="s">
        <v>3304</v>
      </c>
      <c r="I1150" t="s">
        <v>1308</v>
      </c>
      <c r="J1150" t="s">
        <v>938</v>
      </c>
      <c r="K1150" s="33" t="s">
        <v>3202</v>
      </c>
      <c r="O1150" s="1"/>
      <c r="P1150" s="1"/>
      <c r="Q1150" s="1"/>
      <c r="R1150" s="1"/>
    </row>
    <row r="1151" spans="4:18" x14ac:dyDescent="0.35">
      <c r="D1151" t="s">
        <v>2215</v>
      </c>
      <c r="E1151" t="s">
        <v>1082</v>
      </c>
      <c r="F1151" t="s">
        <v>938</v>
      </c>
      <c r="G1151" t="s">
        <v>3304</v>
      </c>
      <c r="I1151" t="s">
        <v>1082</v>
      </c>
      <c r="J1151" t="s">
        <v>938</v>
      </c>
      <c r="K1151" s="33" t="s">
        <v>3301</v>
      </c>
      <c r="O1151" s="1"/>
      <c r="P1151" s="1"/>
      <c r="Q1151" s="1"/>
      <c r="R1151" s="1"/>
    </row>
    <row r="1152" spans="4:18" x14ac:dyDescent="0.35">
      <c r="D1152" t="s">
        <v>177</v>
      </c>
      <c r="E1152" t="s">
        <v>1081</v>
      </c>
      <c r="F1152" t="s">
        <v>956</v>
      </c>
      <c r="G1152" t="s">
        <v>3204</v>
      </c>
      <c r="I1152" t="s">
        <v>1082</v>
      </c>
      <c r="J1152" t="s">
        <v>938</v>
      </c>
      <c r="K1152" s="12" t="s">
        <v>3307</v>
      </c>
      <c r="O1152" s="1"/>
      <c r="P1152" s="1"/>
      <c r="Q1152" s="1"/>
      <c r="R1152" s="1"/>
    </row>
    <row r="1153" spans="4:18" x14ac:dyDescent="0.35">
      <c r="D1153" t="s">
        <v>1315</v>
      </c>
      <c r="E1153" t="s">
        <v>1082</v>
      </c>
      <c r="F1153" t="s">
        <v>938</v>
      </c>
      <c r="G1153" t="s">
        <v>3307</v>
      </c>
      <c r="I1153" t="s">
        <v>1308</v>
      </c>
      <c r="J1153" t="s">
        <v>938</v>
      </c>
      <c r="K1153" s="33" t="s">
        <v>3327</v>
      </c>
      <c r="O1153" s="1"/>
      <c r="P1153" s="1"/>
      <c r="Q1153" s="1"/>
      <c r="R1153" s="1"/>
    </row>
    <row r="1154" spans="4:18" x14ac:dyDescent="0.35">
      <c r="D1154" t="s">
        <v>1315</v>
      </c>
      <c r="E1154" t="s">
        <v>1082</v>
      </c>
      <c r="F1154" t="s">
        <v>938</v>
      </c>
      <c r="G1154" t="s">
        <v>3307</v>
      </c>
      <c r="I1154" t="s">
        <v>1308</v>
      </c>
      <c r="J1154" t="s">
        <v>938</v>
      </c>
      <c r="K1154" s="1" t="s">
        <v>3331</v>
      </c>
      <c r="O1154" s="1"/>
      <c r="P1154" s="1"/>
      <c r="Q1154" s="1"/>
      <c r="R1154" s="1"/>
    </row>
    <row r="1155" spans="4:18" x14ac:dyDescent="0.35">
      <c r="D1155" t="s">
        <v>177</v>
      </c>
      <c r="E1155" t="s">
        <v>1081</v>
      </c>
      <c r="F1155" t="s">
        <v>956</v>
      </c>
      <c r="G1155" t="s">
        <v>3204</v>
      </c>
      <c r="I1155" t="s">
        <v>1082</v>
      </c>
      <c r="J1155" t="s">
        <v>938</v>
      </c>
      <c r="K1155" s="12" t="s">
        <v>3319</v>
      </c>
      <c r="O1155" s="1"/>
      <c r="P1155" s="1"/>
      <c r="Q1155" s="1"/>
      <c r="R1155" s="1"/>
    </row>
    <row r="1156" spans="4:18" x14ac:dyDescent="0.35">
      <c r="D1156" t="s">
        <v>1315</v>
      </c>
      <c r="E1156" t="s">
        <v>1082</v>
      </c>
      <c r="F1156" t="s">
        <v>938</v>
      </c>
      <c r="G1156" t="s">
        <v>3319</v>
      </c>
      <c r="I1156" t="s">
        <v>1308</v>
      </c>
      <c r="J1156" t="s">
        <v>938</v>
      </c>
      <c r="K1156" s="33" t="s">
        <v>3328</v>
      </c>
      <c r="O1156" s="1"/>
      <c r="P1156" s="1"/>
      <c r="Q1156" s="1"/>
      <c r="R1156" s="1"/>
    </row>
    <row r="1157" spans="4:18" x14ac:dyDescent="0.35">
      <c r="D1157" t="s">
        <v>1315</v>
      </c>
      <c r="E1157" t="s">
        <v>1082</v>
      </c>
      <c r="F1157" t="s">
        <v>938</v>
      </c>
      <c r="G1157" t="s">
        <v>3319</v>
      </c>
      <c r="I1157" t="s">
        <v>1308</v>
      </c>
      <c r="J1157" t="s">
        <v>938</v>
      </c>
      <c r="K1157" s="1" t="s">
        <v>3331</v>
      </c>
      <c r="O1157" s="1"/>
      <c r="P1157" s="1"/>
      <c r="Q1157" s="1"/>
      <c r="R1157" s="1"/>
    </row>
    <row r="1158" spans="4:18" x14ac:dyDescent="0.35">
      <c r="D1158" t="s">
        <v>2215</v>
      </c>
      <c r="E1158" t="s">
        <v>1308</v>
      </c>
      <c r="F1158" t="s">
        <v>938</v>
      </c>
      <c r="G1158" s="1" t="s">
        <v>3331</v>
      </c>
      <c r="I1158" t="s">
        <v>1082</v>
      </c>
      <c r="J1158" t="s">
        <v>938</v>
      </c>
      <c r="K1158" s="33" t="s">
        <v>3304</v>
      </c>
      <c r="O1158" s="1"/>
      <c r="P1158" s="1"/>
      <c r="Q1158" s="1"/>
      <c r="R1158" s="1"/>
    </row>
    <row r="1159" spans="4:18" x14ac:dyDescent="0.35">
      <c r="D1159" t="s">
        <v>177</v>
      </c>
      <c r="E1159" t="s">
        <v>1081</v>
      </c>
      <c r="F1159" t="s">
        <v>956</v>
      </c>
      <c r="G1159" t="s">
        <v>3204</v>
      </c>
      <c r="I1159" t="s">
        <v>1082</v>
      </c>
      <c r="J1159" t="s">
        <v>938</v>
      </c>
      <c r="K1159" s="12" t="s">
        <v>3310</v>
      </c>
      <c r="O1159" s="1"/>
      <c r="P1159" s="1"/>
      <c r="Q1159" s="1"/>
      <c r="R1159" s="1"/>
    </row>
    <row r="1160" spans="4:18" x14ac:dyDescent="0.35">
      <c r="D1160" t="s">
        <v>1315</v>
      </c>
      <c r="E1160" t="s">
        <v>1082</v>
      </c>
      <c r="F1160" t="s">
        <v>938</v>
      </c>
      <c r="G1160" t="s">
        <v>3310</v>
      </c>
      <c r="I1160" t="s">
        <v>1308</v>
      </c>
      <c r="J1160" t="s">
        <v>938</v>
      </c>
      <c r="K1160" s="33" t="s">
        <v>3327</v>
      </c>
      <c r="O1160" s="1"/>
      <c r="P1160" s="1"/>
      <c r="Q1160" s="1"/>
      <c r="R1160" s="1"/>
    </row>
    <row r="1161" spans="4:18" x14ac:dyDescent="0.35">
      <c r="D1161" t="s">
        <v>149</v>
      </c>
      <c r="E1161" t="s">
        <v>1082</v>
      </c>
      <c r="F1161" t="s">
        <v>938</v>
      </c>
      <c r="G1161" t="s">
        <v>3310</v>
      </c>
      <c r="I1161" t="s">
        <v>1082</v>
      </c>
      <c r="J1161" t="s">
        <v>938</v>
      </c>
      <c r="K1161" s="33" t="s">
        <v>3307</v>
      </c>
      <c r="O1161" s="1"/>
      <c r="P1161" s="1"/>
      <c r="Q1161" s="1"/>
      <c r="R1161" s="1"/>
    </row>
    <row r="1162" spans="4:18" x14ac:dyDescent="0.35">
      <c r="D1162" t="s">
        <v>177</v>
      </c>
      <c r="E1162" t="s">
        <v>1081</v>
      </c>
      <c r="F1162" t="s">
        <v>956</v>
      </c>
      <c r="G1162" t="s">
        <v>3204</v>
      </c>
      <c r="I1162" t="s">
        <v>1082</v>
      </c>
      <c r="J1162" t="s">
        <v>938</v>
      </c>
      <c r="K1162" s="12" t="s">
        <v>3322</v>
      </c>
      <c r="O1162" s="1"/>
      <c r="P1162" s="1"/>
      <c r="Q1162" s="1"/>
      <c r="R1162" s="1"/>
    </row>
    <row r="1163" spans="4:18" x14ac:dyDescent="0.35">
      <c r="D1163" t="s">
        <v>1315</v>
      </c>
      <c r="E1163" t="s">
        <v>1082</v>
      </c>
      <c r="F1163" t="s">
        <v>938</v>
      </c>
      <c r="G1163" t="s">
        <v>3322</v>
      </c>
      <c r="I1163" t="s">
        <v>1308</v>
      </c>
      <c r="J1163" t="s">
        <v>938</v>
      </c>
      <c r="K1163" s="33" t="s">
        <v>3328</v>
      </c>
      <c r="O1163" s="1"/>
      <c r="P1163" s="1"/>
      <c r="Q1163" s="1"/>
      <c r="R1163" s="1"/>
    </row>
    <row r="1164" spans="4:18" x14ac:dyDescent="0.35">
      <c r="D1164" t="s">
        <v>149</v>
      </c>
      <c r="E1164" t="s">
        <v>1082</v>
      </c>
      <c r="F1164" t="s">
        <v>938</v>
      </c>
      <c r="G1164" t="s">
        <v>3322</v>
      </c>
      <c r="I1164" t="s">
        <v>1082</v>
      </c>
      <c r="J1164" t="s">
        <v>938</v>
      </c>
      <c r="K1164" s="33" t="s">
        <v>3319</v>
      </c>
      <c r="O1164" s="1"/>
      <c r="P1164" s="1"/>
      <c r="Q1164" s="1"/>
      <c r="R1164" s="1"/>
    </row>
    <row r="1165" spans="4:18" x14ac:dyDescent="0.35">
      <c r="D1165" t="s">
        <v>1315</v>
      </c>
      <c r="E1165" t="s">
        <v>1308</v>
      </c>
      <c r="F1165" t="s">
        <v>938</v>
      </c>
      <c r="G1165" t="s">
        <v>3327</v>
      </c>
      <c r="I1165" t="s">
        <v>1308</v>
      </c>
      <c r="J1165" t="s">
        <v>938</v>
      </c>
      <c r="K1165" s="33" t="s">
        <v>3202</v>
      </c>
      <c r="O1165" s="1"/>
      <c r="P1165" s="1"/>
      <c r="Q1165" s="1"/>
      <c r="R1165" s="1"/>
    </row>
    <row r="1166" spans="4:18" x14ac:dyDescent="0.35">
      <c r="D1166" t="s">
        <v>1315</v>
      </c>
      <c r="E1166" t="s">
        <v>1308</v>
      </c>
      <c r="F1166" t="s">
        <v>938</v>
      </c>
      <c r="G1166" t="s">
        <v>3328</v>
      </c>
      <c r="I1166" t="s">
        <v>1308</v>
      </c>
      <c r="J1166" t="s">
        <v>938</v>
      </c>
      <c r="K1166" s="33" t="s">
        <v>3202</v>
      </c>
      <c r="O1166" s="1"/>
      <c r="P1166" s="1"/>
      <c r="Q1166" s="1"/>
      <c r="R1166" s="1"/>
    </row>
    <row r="1167" spans="4:18" x14ac:dyDescent="0.35">
      <c r="F1167"/>
      <c r="K1167" s="33"/>
      <c r="O1167" s="1"/>
      <c r="P1167" s="1"/>
      <c r="Q1167" s="1"/>
      <c r="R1167" s="1"/>
    </row>
    <row r="1168" spans="4:18" x14ac:dyDescent="0.35">
      <c r="D1168" t="s">
        <v>177</v>
      </c>
      <c r="E1168" t="s">
        <v>1081</v>
      </c>
      <c r="F1168" t="s">
        <v>956</v>
      </c>
      <c r="G1168" t="s">
        <v>3360</v>
      </c>
      <c r="I1168" t="s">
        <v>1082</v>
      </c>
      <c r="J1168" t="s">
        <v>938</v>
      </c>
      <c r="K1168" s="12" t="s">
        <v>3332</v>
      </c>
      <c r="O1168" s="1"/>
      <c r="P1168" s="1"/>
      <c r="Q1168" s="1"/>
      <c r="R1168" s="1"/>
    </row>
    <row r="1169" spans="4:18" x14ac:dyDescent="0.35">
      <c r="D1169" t="s">
        <v>1315</v>
      </c>
      <c r="E1169" t="s">
        <v>1082</v>
      </c>
      <c r="F1169" t="s">
        <v>938</v>
      </c>
      <c r="G1169" t="s">
        <v>3332</v>
      </c>
      <c r="I1169" t="s">
        <v>1308</v>
      </c>
      <c r="J1169" t="s">
        <v>938</v>
      </c>
      <c r="K1169" s="33" t="s">
        <v>3194</v>
      </c>
      <c r="O1169" s="1"/>
      <c r="P1169" s="1"/>
      <c r="Q1169" s="1"/>
      <c r="R1169" s="1"/>
    </row>
    <row r="1170" spans="4:18" x14ac:dyDescent="0.35">
      <c r="D1170" t="s">
        <v>177</v>
      </c>
      <c r="E1170" t="s">
        <v>1081</v>
      </c>
      <c r="F1170" t="s">
        <v>956</v>
      </c>
      <c r="G1170" t="s">
        <v>3360</v>
      </c>
      <c r="I1170" t="s">
        <v>1082</v>
      </c>
      <c r="J1170" t="s">
        <v>938</v>
      </c>
      <c r="K1170" s="12" t="s">
        <v>3334</v>
      </c>
      <c r="O1170" s="1"/>
      <c r="P1170" s="1"/>
      <c r="Q1170" s="1"/>
      <c r="R1170" s="1"/>
    </row>
    <row r="1171" spans="4:18" x14ac:dyDescent="0.35">
      <c r="D1171" t="s">
        <v>1315</v>
      </c>
      <c r="E1171" t="s">
        <v>1082</v>
      </c>
      <c r="F1171" t="s">
        <v>938</v>
      </c>
      <c r="G1171" t="s">
        <v>3334</v>
      </c>
      <c r="I1171" t="s">
        <v>1308</v>
      </c>
      <c r="J1171" t="s">
        <v>938</v>
      </c>
      <c r="K1171" s="33" t="s">
        <v>3194</v>
      </c>
      <c r="O1171" s="1"/>
      <c r="P1171" s="1"/>
      <c r="Q1171" s="1"/>
      <c r="R1171" s="1"/>
    </row>
    <row r="1172" spans="4:18" x14ac:dyDescent="0.35">
      <c r="D1172" t="s">
        <v>2215</v>
      </c>
      <c r="E1172" t="s">
        <v>1082</v>
      </c>
      <c r="F1172" t="s">
        <v>938</v>
      </c>
      <c r="G1172" t="s">
        <v>3334</v>
      </c>
      <c r="I1172" t="s">
        <v>1082</v>
      </c>
      <c r="J1172" t="s">
        <v>938</v>
      </c>
      <c r="K1172" s="33" t="s">
        <v>3332</v>
      </c>
      <c r="O1172" s="1"/>
      <c r="P1172" s="1"/>
      <c r="Q1172" s="1"/>
      <c r="R1172" s="1"/>
    </row>
    <row r="1173" spans="4:18" x14ac:dyDescent="0.35">
      <c r="D1173" t="s">
        <v>177</v>
      </c>
      <c r="E1173" t="s">
        <v>1081</v>
      </c>
      <c r="F1173" t="s">
        <v>956</v>
      </c>
      <c r="G1173" t="s">
        <v>3360</v>
      </c>
      <c r="I1173" t="s">
        <v>1082</v>
      </c>
      <c r="J1173" t="s">
        <v>938</v>
      </c>
      <c r="K1173" s="12" t="s">
        <v>3333</v>
      </c>
      <c r="O1173" s="1"/>
      <c r="P1173" s="1"/>
      <c r="Q1173" s="1"/>
      <c r="R1173" s="1"/>
    </row>
    <row r="1174" spans="4:18" x14ac:dyDescent="0.35">
      <c r="D1174" t="s">
        <v>1315</v>
      </c>
      <c r="E1174" t="s">
        <v>1082</v>
      </c>
      <c r="F1174" t="s">
        <v>938</v>
      </c>
      <c r="G1174" t="s">
        <v>3333</v>
      </c>
      <c r="I1174" t="s">
        <v>1308</v>
      </c>
      <c r="J1174" t="s">
        <v>938</v>
      </c>
      <c r="K1174" s="33" t="s">
        <v>3194</v>
      </c>
      <c r="O1174" s="1"/>
      <c r="P1174" s="1"/>
      <c r="Q1174" s="1"/>
      <c r="R1174" s="1"/>
    </row>
    <row r="1175" spans="4:18" x14ac:dyDescent="0.35">
      <c r="D1175" t="s">
        <v>2215</v>
      </c>
      <c r="E1175" t="s">
        <v>1082</v>
      </c>
      <c r="F1175" t="s">
        <v>938</v>
      </c>
      <c r="G1175" t="s">
        <v>3333</v>
      </c>
      <c r="I1175" t="s">
        <v>1082</v>
      </c>
      <c r="J1175" t="s">
        <v>938</v>
      </c>
      <c r="K1175" s="33" t="s">
        <v>3334</v>
      </c>
      <c r="O1175" s="1"/>
      <c r="P1175" s="1"/>
      <c r="Q1175" s="1"/>
      <c r="R1175" s="1"/>
    </row>
    <row r="1176" spans="4:18" x14ac:dyDescent="0.35">
      <c r="D1176" t="s">
        <v>177</v>
      </c>
      <c r="E1176" t="s">
        <v>1081</v>
      </c>
      <c r="F1176" t="s">
        <v>956</v>
      </c>
      <c r="G1176" t="s">
        <v>3360</v>
      </c>
      <c r="I1176" t="s">
        <v>1082</v>
      </c>
      <c r="J1176" t="s">
        <v>938</v>
      </c>
      <c r="K1176" s="12" t="s">
        <v>3335</v>
      </c>
      <c r="O1176" s="1"/>
      <c r="P1176" s="1"/>
      <c r="Q1176" s="1"/>
      <c r="R1176" s="1"/>
    </row>
    <row r="1177" spans="4:18" x14ac:dyDescent="0.35">
      <c r="D1177" t="s">
        <v>1315</v>
      </c>
      <c r="E1177" t="s">
        <v>1082</v>
      </c>
      <c r="F1177" t="s">
        <v>938</v>
      </c>
      <c r="G1177" t="s">
        <v>3335</v>
      </c>
      <c r="I1177" t="s">
        <v>1308</v>
      </c>
      <c r="J1177" t="s">
        <v>938</v>
      </c>
      <c r="K1177" s="33" t="s">
        <v>3194</v>
      </c>
      <c r="O1177" s="1"/>
      <c r="P1177" s="1"/>
      <c r="Q1177" s="1"/>
      <c r="R1177" s="1"/>
    </row>
    <row r="1178" spans="4:18" x14ac:dyDescent="0.35">
      <c r="D1178" t="s">
        <v>2215</v>
      </c>
      <c r="E1178" t="s">
        <v>1082</v>
      </c>
      <c r="F1178" t="s">
        <v>938</v>
      </c>
      <c r="G1178" t="s">
        <v>3335</v>
      </c>
      <c r="I1178" t="s">
        <v>1082</v>
      </c>
      <c r="J1178" t="s">
        <v>938</v>
      </c>
      <c r="K1178" s="33" t="s">
        <v>3333</v>
      </c>
      <c r="O1178" s="1"/>
      <c r="P1178" s="1"/>
      <c r="Q1178" s="1"/>
      <c r="R1178" s="1"/>
    </row>
    <row r="1179" spans="4:18" x14ac:dyDescent="0.35">
      <c r="D1179" t="s">
        <v>177</v>
      </c>
      <c r="E1179" t="s">
        <v>1081</v>
      </c>
      <c r="F1179" t="s">
        <v>956</v>
      </c>
      <c r="G1179" t="s">
        <v>3360</v>
      </c>
      <c r="I1179" t="s">
        <v>1082</v>
      </c>
      <c r="J1179" t="s">
        <v>938</v>
      </c>
      <c r="K1179" s="12" t="s">
        <v>3336</v>
      </c>
      <c r="O1179" s="1"/>
      <c r="P1179" s="1"/>
      <c r="Q1179" s="1"/>
      <c r="R1179" s="1"/>
    </row>
    <row r="1180" spans="4:18" x14ac:dyDescent="0.35">
      <c r="D1180" t="s">
        <v>1315</v>
      </c>
      <c r="E1180" t="s">
        <v>1082</v>
      </c>
      <c r="F1180" t="s">
        <v>938</v>
      </c>
      <c r="G1180" t="s">
        <v>3336</v>
      </c>
      <c r="I1180" t="s">
        <v>1308</v>
      </c>
      <c r="J1180" t="s">
        <v>938</v>
      </c>
      <c r="K1180" s="33" t="s">
        <v>3194</v>
      </c>
      <c r="O1180" s="1"/>
      <c r="P1180" s="1"/>
      <c r="Q1180" s="1"/>
      <c r="R1180" s="1"/>
    </row>
    <row r="1181" spans="4:18" x14ac:dyDescent="0.35">
      <c r="D1181" t="s">
        <v>2215</v>
      </c>
      <c r="E1181" t="s">
        <v>1082</v>
      </c>
      <c r="F1181" t="s">
        <v>938</v>
      </c>
      <c r="G1181" t="s">
        <v>3336</v>
      </c>
      <c r="I1181" t="s">
        <v>1082</v>
      </c>
      <c r="J1181" t="s">
        <v>938</v>
      </c>
      <c r="K1181" s="33" t="s">
        <v>3335</v>
      </c>
      <c r="O1181" s="1"/>
      <c r="P1181" s="1"/>
      <c r="Q1181" s="1"/>
      <c r="R1181" s="1"/>
    </row>
    <row r="1182" spans="4:18" x14ac:dyDescent="0.35">
      <c r="D1182" t="s">
        <v>177</v>
      </c>
      <c r="E1182" t="s">
        <v>1081</v>
      </c>
      <c r="F1182" t="s">
        <v>956</v>
      </c>
      <c r="G1182" t="s">
        <v>3360</v>
      </c>
      <c r="I1182" t="s">
        <v>1082</v>
      </c>
      <c r="J1182" t="s">
        <v>938</v>
      </c>
      <c r="K1182" s="12" t="s">
        <v>3337</v>
      </c>
      <c r="O1182" s="1"/>
      <c r="P1182" s="1"/>
      <c r="Q1182" s="1"/>
      <c r="R1182" s="1"/>
    </row>
    <row r="1183" spans="4:18" x14ac:dyDescent="0.35">
      <c r="D1183" t="s">
        <v>1315</v>
      </c>
      <c r="E1183" t="s">
        <v>1082</v>
      </c>
      <c r="F1183" t="s">
        <v>938</v>
      </c>
      <c r="G1183" t="s">
        <v>3337</v>
      </c>
      <c r="I1183" t="s">
        <v>1308</v>
      </c>
      <c r="J1183" t="s">
        <v>938</v>
      </c>
      <c r="K1183" s="33" t="s">
        <v>3382</v>
      </c>
      <c r="O1183" s="1"/>
      <c r="P1183" s="1"/>
      <c r="Q1183" s="1"/>
      <c r="R1183" s="1"/>
    </row>
    <row r="1184" spans="4:18" x14ac:dyDescent="0.35">
      <c r="D1184" t="s">
        <v>2215</v>
      </c>
      <c r="E1184" t="s">
        <v>1082</v>
      </c>
      <c r="F1184" t="s">
        <v>938</v>
      </c>
      <c r="G1184" t="s">
        <v>3337</v>
      </c>
      <c r="I1184" t="s">
        <v>1082</v>
      </c>
      <c r="J1184" t="s">
        <v>938</v>
      </c>
      <c r="K1184" s="33" t="s">
        <v>3336</v>
      </c>
      <c r="O1184" s="1"/>
      <c r="P1184" s="1"/>
      <c r="Q1184" s="1"/>
      <c r="R1184" s="1"/>
    </row>
    <row r="1185" spans="4:18" x14ac:dyDescent="0.35">
      <c r="D1185" t="s">
        <v>177</v>
      </c>
      <c r="E1185" t="s">
        <v>1081</v>
      </c>
      <c r="F1185" t="s">
        <v>956</v>
      </c>
      <c r="G1185" t="s">
        <v>3360</v>
      </c>
      <c r="I1185" t="s">
        <v>1082</v>
      </c>
      <c r="J1185" t="s">
        <v>938</v>
      </c>
      <c r="K1185" s="12" t="s">
        <v>3338</v>
      </c>
      <c r="O1185" s="1"/>
      <c r="P1185" s="1"/>
      <c r="Q1185" s="1"/>
      <c r="R1185" s="1"/>
    </row>
    <row r="1186" spans="4:18" x14ac:dyDescent="0.35">
      <c r="D1186" t="s">
        <v>1315</v>
      </c>
      <c r="E1186" t="s">
        <v>1082</v>
      </c>
      <c r="F1186" t="s">
        <v>938</v>
      </c>
      <c r="G1186" t="s">
        <v>3338</v>
      </c>
      <c r="I1186" t="s">
        <v>1308</v>
      </c>
      <c r="J1186" t="s">
        <v>938</v>
      </c>
      <c r="K1186" s="33" t="s">
        <v>3382</v>
      </c>
      <c r="O1186" s="1"/>
      <c r="P1186" s="1"/>
      <c r="Q1186" s="1"/>
      <c r="R1186" s="1"/>
    </row>
    <row r="1187" spans="4:18" x14ac:dyDescent="0.35">
      <c r="D1187" t="s">
        <v>149</v>
      </c>
      <c r="E1187" t="s">
        <v>1082</v>
      </c>
      <c r="F1187" t="s">
        <v>938</v>
      </c>
      <c r="G1187" t="s">
        <v>3338</v>
      </c>
      <c r="I1187" t="s">
        <v>1082</v>
      </c>
      <c r="J1187" t="s">
        <v>938</v>
      </c>
      <c r="K1187" s="33" t="s">
        <v>3337</v>
      </c>
      <c r="O1187" s="1"/>
      <c r="P1187" s="1"/>
      <c r="Q1187" s="1"/>
      <c r="R1187" s="1"/>
    </row>
    <row r="1188" spans="4:18" x14ac:dyDescent="0.35">
      <c r="D1188" t="s">
        <v>1315</v>
      </c>
      <c r="E1188" t="s">
        <v>1308</v>
      </c>
      <c r="F1188" t="s">
        <v>938</v>
      </c>
      <c r="G1188" t="s">
        <v>3382</v>
      </c>
      <c r="I1188" t="s">
        <v>1308</v>
      </c>
      <c r="J1188" t="s">
        <v>938</v>
      </c>
      <c r="K1188" s="33" t="s">
        <v>3194</v>
      </c>
      <c r="O1188" s="1"/>
      <c r="P1188" s="1"/>
      <c r="Q1188" s="1"/>
      <c r="R1188" s="1"/>
    </row>
    <row r="1189" spans="4:18" x14ac:dyDescent="0.35">
      <c r="D1189" t="s">
        <v>177</v>
      </c>
      <c r="E1189" t="s">
        <v>1081</v>
      </c>
      <c r="F1189" t="s">
        <v>956</v>
      </c>
      <c r="G1189" t="s">
        <v>3360</v>
      </c>
      <c r="I1189" t="s">
        <v>1082</v>
      </c>
      <c r="J1189" t="s">
        <v>938</v>
      </c>
      <c r="K1189" s="12" t="s">
        <v>3339</v>
      </c>
      <c r="O1189" s="1"/>
      <c r="P1189" s="1"/>
      <c r="Q1189" s="1"/>
      <c r="R1189" s="1"/>
    </row>
    <row r="1190" spans="4:18" x14ac:dyDescent="0.35">
      <c r="D1190" t="s">
        <v>1315</v>
      </c>
      <c r="E1190" t="s">
        <v>1082</v>
      </c>
      <c r="F1190" t="s">
        <v>938</v>
      </c>
      <c r="G1190" t="s">
        <v>3339</v>
      </c>
      <c r="I1190" t="s">
        <v>1308</v>
      </c>
      <c r="J1190" t="s">
        <v>938</v>
      </c>
      <c r="K1190" s="33" t="s">
        <v>3194</v>
      </c>
      <c r="O1190" s="1"/>
      <c r="P1190" s="1"/>
      <c r="Q1190" s="1"/>
      <c r="R1190" s="1"/>
    </row>
    <row r="1191" spans="4:18" x14ac:dyDescent="0.35">
      <c r="D1191" t="s">
        <v>2215</v>
      </c>
      <c r="E1191" t="s">
        <v>1082</v>
      </c>
      <c r="F1191" t="s">
        <v>938</v>
      </c>
      <c r="G1191" t="s">
        <v>3339</v>
      </c>
      <c r="I1191" t="s">
        <v>1308</v>
      </c>
      <c r="J1191" t="s">
        <v>938</v>
      </c>
      <c r="K1191" s="33" t="s">
        <v>3382</v>
      </c>
      <c r="O1191" s="1"/>
      <c r="P1191" s="1"/>
      <c r="Q1191" s="1"/>
      <c r="R1191" s="1"/>
    </row>
    <row r="1192" spans="4:18" x14ac:dyDescent="0.35">
      <c r="D1192" t="s">
        <v>177</v>
      </c>
      <c r="E1192" t="s">
        <v>1081</v>
      </c>
      <c r="F1192" t="s">
        <v>956</v>
      </c>
      <c r="G1192" t="s">
        <v>3360</v>
      </c>
      <c r="I1192" t="s">
        <v>1082</v>
      </c>
      <c r="J1192" t="s">
        <v>938</v>
      </c>
      <c r="K1192" s="12" t="s">
        <v>3340</v>
      </c>
      <c r="O1192" s="1"/>
      <c r="P1192" s="1"/>
      <c r="Q1192" s="1"/>
      <c r="R1192" s="1"/>
    </row>
    <row r="1193" spans="4:18" x14ac:dyDescent="0.35">
      <c r="D1193" t="s">
        <v>1315</v>
      </c>
      <c r="E1193" t="s">
        <v>1082</v>
      </c>
      <c r="F1193" t="s">
        <v>938</v>
      </c>
      <c r="G1193" t="s">
        <v>3340</v>
      </c>
      <c r="I1193" t="s">
        <v>1308</v>
      </c>
      <c r="J1193" t="s">
        <v>938</v>
      </c>
      <c r="K1193" s="33" t="s">
        <v>3194</v>
      </c>
      <c r="O1193" s="1"/>
      <c r="P1193" s="1"/>
      <c r="Q1193" s="1"/>
      <c r="R1193" s="1"/>
    </row>
    <row r="1194" spans="4:18" x14ac:dyDescent="0.35">
      <c r="D1194" t="s">
        <v>2215</v>
      </c>
      <c r="E1194" t="s">
        <v>1082</v>
      </c>
      <c r="F1194" t="s">
        <v>938</v>
      </c>
      <c r="G1194" t="s">
        <v>3340</v>
      </c>
      <c r="I1194" t="s">
        <v>1082</v>
      </c>
      <c r="J1194" t="s">
        <v>938</v>
      </c>
      <c r="K1194" s="33" t="s">
        <v>3339</v>
      </c>
      <c r="O1194" s="1"/>
      <c r="P1194" s="1"/>
      <c r="Q1194" s="1"/>
      <c r="R1194" s="1"/>
    </row>
    <row r="1195" spans="4:18" x14ac:dyDescent="0.35">
      <c r="D1195" t="s">
        <v>177</v>
      </c>
      <c r="E1195" t="s">
        <v>1081</v>
      </c>
      <c r="F1195" t="s">
        <v>956</v>
      </c>
      <c r="G1195" t="s">
        <v>3360</v>
      </c>
      <c r="I1195" t="s">
        <v>1082</v>
      </c>
      <c r="J1195" t="s">
        <v>938</v>
      </c>
      <c r="K1195" s="12" t="s">
        <v>3341</v>
      </c>
      <c r="O1195" s="1"/>
      <c r="P1195" s="1"/>
      <c r="Q1195" s="1"/>
      <c r="R1195" s="1"/>
    </row>
    <row r="1196" spans="4:18" x14ac:dyDescent="0.35">
      <c r="D1196" t="s">
        <v>1315</v>
      </c>
      <c r="E1196" t="s">
        <v>1082</v>
      </c>
      <c r="F1196" t="s">
        <v>938</v>
      </c>
      <c r="G1196" t="s">
        <v>3341</v>
      </c>
      <c r="I1196" t="s">
        <v>1308</v>
      </c>
      <c r="J1196" t="s">
        <v>938</v>
      </c>
      <c r="K1196" s="33" t="s">
        <v>3194</v>
      </c>
      <c r="O1196" s="1"/>
      <c r="P1196" s="1"/>
      <c r="Q1196" s="1"/>
      <c r="R1196" s="1"/>
    </row>
    <row r="1197" spans="4:18" x14ac:dyDescent="0.35">
      <c r="D1197" t="s">
        <v>177</v>
      </c>
      <c r="E1197" t="s">
        <v>1081</v>
      </c>
      <c r="F1197" t="s">
        <v>956</v>
      </c>
      <c r="G1197" t="s">
        <v>3360</v>
      </c>
      <c r="I1197" t="s">
        <v>1082</v>
      </c>
      <c r="J1197" t="s">
        <v>938</v>
      </c>
      <c r="K1197" s="12" t="s">
        <v>3342</v>
      </c>
      <c r="O1197" s="1"/>
      <c r="P1197" s="1"/>
      <c r="Q1197" s="1"/>
      <c r="R1197" s="1"/>
    </row>
    <row r="1198" spans="4:18" x14ac:dyDescent="0.35">
      <c r="D1198" t="s">
        <v>1315</v>
      </c>
      <c r="E1198" t="s">
        <v>1082</v>
      </c>
      <c r="F1198" t="s">
        <v>938</v>
      </c>
      <c r="G1198" t="s">
        <v>3342</v>
      </c>
      <c r="I1198" t="s">
        <v>1308</v>
      </c>
      <c r="J1198" t="s">
        <v>938</v>
      </c>
      <c r="K1198" s="33" t="s">
        <v>3194</v>
      </c>
      <c r="O1198" s="1"/>
      <c r="P1198" s="1"/>
      <c r="Q1198" s="1"/>
      <c r="R1198" s="1"/>
    </row>
    <row r="1199" spans="4:18" x14ac:dyDescent="0.35">
      <c r="D1199" t="s">
        <v>2215</v>
      </c>
      <c r="E1199" t="s">
        <v>1082</v>
      </c>
      <c r="F1199" t="s">
        <v>938</v>
      </c>
      <c r="G1199" t="s">
        <v>3342</v>
      </c>
      <c r="I1199" t="s">
        <v>1082</v>
      </c>
      <c r="J1199" t="s">
        <v>938</v>
      </c>
      <c r="K1199" s="33" t="s">
        <v>3341</v>
      </c>
      <c r="O1199" s="1"/>
      <c r="P1199" s="1"/>
      <c r="Q1199" s="1"/>
      <c r="R1199" s="1"/>
    </row>
    <row r="1200" spans="4:18" x14ac:dyDescent="0.35">
      <c r="D1200" t="s">
        <v>177</v>
      </c>
      <c r="E1200" t="s">
        <v>1081</v>
      </c>
      <c r="F1200" t="s">
        <v>956</v>
      </c>
      <c r="G1200" t="s">
        <v>3360</v>
      </c>
      <c r="I1200" t="s">
        <v>1082</v>
      </c>
      <c r="J1200" t="s">
        <v>938</v>
      </c>
      <c r="K1200" s="12" t="s">
        <v>3343</v>
      </c>
      <c r="O1200" s="1"/>
      <c r="P1200" s="1"/>
      <c r="Q1200" s="1"/>
      <c r="R1200" s="1"/>
    </row>
    <row r="1201" spans="4:18" x14ac:dyDescent="0.35">
      <c r="D1201" t="s">
        <v>1315</v>
      </c>
      <c r="E1201" t="s">
        <v>1082</v>
      </c>
      <c r="F1201" t="s">
        <v>938</v>
      </c>
      <c r="G1201" t="s">
        <v>3343</v>
      </c>
      <c r="I1201" t="s">
        <v>1308</v>
      </c>
      <c r="J1201" t="s">
        <v>938</v>
      </c>
      <c r="K1201" s="33" t="s">
        <v>3194</v>
      </c>
      <c r="O1201" s="1"/>
      <c r="P1201" s="1"/>
      <c r="Q1201" s="1"/>
      <c r="R1201" s="1"/>
    </row>
    <row r="1202" spans="4:18" x14ac:dyDescent="0.35">
      <c r="D1202" t="s">
        <v>2215</v>
      </c>
      <c r="E1202" t="s">
        <v>1082</v>
      </c>
      <c r="F1202" t="s">
        <v>938</v>
      </c>
      <c r="G1202" t="s">
        <v>3343</v>
      </c>
      <c r="I1202" t="s">
        <v>1082</v>
      </c>
      <c r="J1202" t="s">
        <v>938</v>
      </c>
      <c r="K1202" s="33" t="s">
        <v>3342</v>
      </c>
      <c r="O1202" s="1"/>
      <c r="P1202" s="1"/>
      <c r="Q1202" s="1"/>
      <c r="R1202" s="1"/>
    </row>
    <row r="1203" spans="4:18" x14ac:dyDescent="0.35">
      <c r="D1203" t="s">
        <v>177</v>
      </c>
      <c r="E1203" t="s">
        <v>1081</v>
      </c>
      <c r="F1203" t="s">
        <v>956</v>
      </c>
      <c r="G1203" t="s">
        <v>3360</v>
      </c>
      <c r="I1203" t="s">
        <v>1082</v>
      </c>
      <c r="J1203" t="s">
        <v>938</v>
      </c>
      <c r="K1203" s="12" t="s">
        <v>3344</v>
      </c>
      <c r="O1203" s="1"/>
      <c r="P1203" s="1"/>
      <c r="Q1203" s="1"/>
      <c r="R1203" s="1"/>
    </row>
    <row r="1204" spans="4:18" x14ac:dyDescent="0.35">
      <c r="D1204" t="s">
        <v>1315</v>
      </c>
      <c r="E1204" t="s">
        <v>1082</v>
      </c>
      <c r="F1204" t="s">
        <v>938</v>
      </c>
      <c r="G1204" t="s">
        <v>3344</v>
      </c>
      <c r="I1204" t="s">
        <v>1308</v>
      </c>
      <c r="J1204" t="s">
        <v>938</v>
      </c>
      <c r="K1204" s="33" t="s">
        <v>3194</v>
      </c>
      <c r="O1204" s="1"/>
      <c r="P1204" s="1"/>
      <c r="Q1204" s="1"/>
      <c r="R1204" s="1"/>
    </row>
    <row r="1205" spans="4:18" x14ac:dyDescent="0.35">
      <c r="D1205" t="s">
        <v>2215</v>
      </c>
      <c r="E1205" t="s">
        <v>1082</v>
      </c>
      <c r="F1205" t="s">
        <v>938</v>
      </c>
      <c r="G1205" t="s">
        <v>3344</v>
      </c>
      <c r="I1205" t="s">
        <v>1082</v>
      </c>
      <c r="J1205" t="s">
        <v>938</v>
      </c>
      <c r="K1205" s="33" t="s">
        <v>3343</v>
      </c>
      <c r="O1205" s="1"/>
      <c r="P1205" s="1"/>
      <c r="Q1205" s="1"/>
      <c r="R1205" s="1"/>
    </row>
    <row r="1206" spans="4:18" x14ac:dyDescent="0.35">
      <c r="D1206" t="s">
        <v>177</v>
      </c>
      <c r="E1206" t="s">
        <v>1081</v>
      </c>
      <c r="F1206" t="s">
        <v>956</v>
      </c>
      <c r="G1206" t="s">
        <v>3360</v>
      </c>
      <c r="I1206" t="s">
        <v>1082</v>
      </c>
      <c r="J1206" t="s">
        <v>938</v>
      </c>
      <c r="K1206" s="12" t="s">
        <v>3345</v>
      </c>
      <c r="O1206" s="1"/>
      <c r="P1206" s="1"/>
      <c r="Q1206" s="1"/>
      <c r="R1206" s="1"/>
    </row>
    <row r="1207" spans="4:18" x14ac:dyDescent="0.35">
      <c r="D1207" t="s">
        <v>1315</v>
      </c>
      <c r="E1207" t="s">
        <v>1082</v>
      </c>
      <c r="F1207" t="s">
        <v>938</v>
      </c>
      <c r="G1207" t="s">
        <v>3345</v>
      </c>
      <c r="I1207" t="s">
        <v>1308</v>
      </c>
      <c r="J1207" t="s">
        <v>938</v>
      </c>
      <c r="K1207" s="33" t="s">
        <v>3194</v>
      </c>
      <c r="O1207" s="1"/>
      <c r="P1207" s="1"/>
      <c r="Q1207" s="1"/>
      <c r="R1207" s="1"/>
    </row>
    <row r="1208" spans="4:18" x14ac:dyDescent="0.35">
      <c r="D1208" t="s">
        <v>177</v>
      </c>
      <c r="E1208" t="s">
        <v>1081</v>
      </c>
      <c r="F1208" t="s">
        <v>956</v>
      </c>
      <c r="G1208" t="s">
        <v>3360</v>
      </c>
      <c r="I1208" t="s">
        <v>1082</v>
      </c>
      <c r="J1208" t="s">
        <v>938</v>
      </c>
      <c r="K1208" s="12" t="s">
        <v>3346</v>
      </c>
      <c r="O1208" s="1"/>
      <c r="P1208" s="1"/>
      <c r="Q1208" s="1"/>
      <c r="R1208" s="1"/>
    </row>
    <row r="1209" spans="4:18" x14ac:dyDescent="0.35">
      <c r="D1209" t="s">
        <v>1315</v>
      </c>
      <c r="E1209" t="s">
        <v>1082</v>
      </c>
      <c r="F1209" t="s">
        <v>938</v>
      </c>
      <c r="G1209" t="s">
        <v>3346</v>
      </c>
      <c r="I1209" t="s">
        <v>1308</v>
      </c>
      <c r="J1209" t="s">
        <v>938</v>
      </c>
      <c r="K1209" s="33" t="s">
        <v>3194</v>
      </c>
      <c r="O1209" s="1"/>
      <c r="P1209" s="1"/>
      <c r="Q1209" s="1"/>
      <c r="R1209" s="1"/>
    </row>
    <row r="1210" spans="4:18" x14ac:dyDescent="0.35">
      <c r="D1210" t="s">
        <v>2215</v>
      </c>
      <c r="E1210" t="s">
        <v>1082</v>
      </c>
      <c r="F1210" t="s">
        <v>938</v>
      </c>
      <c r="G1210" t="s">
        <v>3346</v>
      </c>
      <c r="I1210" t="s">
        <v>1082</v>
      </c>
      <c r="J1210" t="s">
        <v>938</v>
      </c>
      <c r="K1210" s="33" t="s">
        <v>3345</v>
      </c>
      <c r="O1210" s="1"/>
      <c r="P1210" s="1"/>
      <c r="Q1210" s="1"/>
      <c r="R1210" s="1"/>
    </row>
    <row r="1211" spans="4:18" x14ac:dyDescent="0.35">
      <c r="D1211" t="s">
        <v>177</v>
      </c>
      <c r="E1211" t="s">
        <v>1081</v>
      </c>
      <c r="F1211" t="s">
        <v>956</v>
      </c>
      <c r="G1211" t="s">
        <v>3360</v>
      </c>
      <c r="I1211" t="s">
        <v>1082</v>
      </c>
      <c r="J1211" t="s">
        <v>938</v>
      </c>
      <c r="K1211" s="12" t="s">
        <v>3347</v>
      </c>
      <c r="O1211" s="1"/>
      <c r="P1211" s="1"/>
      <c r="Q1211" s="1"/>
      <c r="R1211" s="1"/>
    </row>
    <row r="1212" spans="4:18" x14ac:dyDescent="0.35">
      <c r="D1212" t="s">
        <v>1315</v>
      </c>
      <c r="E1212" t="s">
        <v>1082</v>
      </c>
      <c r="F1212" t="s">
        <v>938</v>
      </c>
      <c r="G1212" t="s">
        <v>3347</v>
      </c>
      <c r="I1212" t="s">
        <v>1308</v>
      </c>
      <c r="J1212" t="s">
        <v>938</v>
      </c>
      <c r="K1212" s="33" t="s">
        <v>3194</v>
      </c>
      <c r="O1212" s="1"/>
      <c r="P1212" s="1"/>
      <c r="Q1212" s="1"/>
      <c r="R1212" s="1"/>
    </row>
    <row r="1213" spans="4:18" x14ac:dyDescent="0.35">
      <c r="D1213" t="s">
        <v>2215</v>
      </c>
      <c r="E1213" t="s">
        <v>1082</v>
      </c>
      <c r="F1213" t="s">
        <v>938</v>
      </c>
      <c r="G1213" t="s">
        <v>3347</v>
      </c>
      <c r="I1213" t="s">
        <v>1082</v>
      </c>
      <c r="J1213" t="s">
        <v>938</v>
      </c>
      <c r="K1213" s="33" t="s">
        <v>3346</v>
      </c>
      <c r="O1213" s="1"/>
      <c r="P1213" s="1"/>
      <c r="Q1213" s="1"/>
      <c r="R1213" s="1"/>
    </row>
    <row r="1214" spans="4:18" x14ac:dyDescent="0.35">
      <c r="F1214"/>
      <c r="K1214" s="33"/>
      <c r="O1214" s="1"/>
      <c r="P1214" s="1"/>
      <c r="Q1214" s="1"/>
      <c r="R1214" s="1"/>
    </row>
    <row r="1215" spans="4:18" x14ac:dyDescent="0.35">
      <c r="D1215" t="s">
        <v>177</v>
      </c>
      <c r="E1215" t="s">
        <v>1081</v>
      </c>
      <c r="F1215" t="s">
        <v>956</v>
      </c>
      <c r="G1215" t="s">
        <v>1316</v>
      </c>
      <c r="I1215" t="s">
        <v>1082</v>
      </c>
      <c r="J1215" t="s">
        <v>938</v>
      </c>
      <c r="K1215" s="12" t="s">
        <v>3400</v>
      </c>
      <c r="O1215" s="1"/>
      <c r="P1215" s="1"/>
      <c r="Q1215" s="1"/>
      <c r="R1215" s="1"/>
    </row>
    <row r="1216" spans="4:18" x14ac:dyDescent="0.35">
      <c r="D1216" t="s">
        <v>1315</v>
      </c>
      <c r="E1216" t="s">
        <v>1082</v>
      </c>
      <c r="F1216" t="s">
        <v>938</v>
      </c>
      <c r="G1216" t="s">
        <v>3400</v>
      </c>
      <c r="I1216" t="s">
        <v>1308</v>
      </c>
      <c r="J1216" t="s">
        <v>938</v>
      </c>
      <c r="K1216" s="33" t="s">
        <v>3443</v>
      </c>
      <c r="O1216" s="1"/>
      <c r="P1216" s="1"/>
      <c r="Q1216" s="1"/>
      <c r="R1216" s="1"/>
    </row>
    <row r="1217" spans="4:18" x14ac:dyDescent="0.35">
      <c r="D1217" t="s">
        <v>177</v>
      </c>
      <c r="E1217" t="s">
        <v>1081</v>
      </c>
      <c r="F1217" t="s">
        <v>956</v>
      </c>
      <c r="G1217" t="s">
        <v>3419</v>
      </c>
      <c r="I1217" t="s">
        <v>1082</v>
      </c>
      <c r="J1217" t="s">
        <v>938</v>
      </c>
      <c r="K1217" s="12" t="s">
        <v>3401</v>
      </c>
      <c r="O1217" s="1"/>
      <c r="P1217" s="1"/>
      <c r="Q1217" s="1"/>
      <c r="R1217" s="1"/>
    </row>
    <row r="1218" spans="4:18" x14ac:dyDescent="0.35">
      <c r="D1218" t="s">
        <v>1315</v>
      </c>
      <c r="E1218" t="s">
        <v>1082</v>
      </c>
      <c r="F1218" t="s">
        <v>938</v>
      </c>
      <c r="G1218" t="s">
        <v>3401</v>
      </c>
      <c r="I1218" t="s">
        <v>1308</v>
      </c>
      <c r="J1218" t="s">
        <v>938</v>
      </c>
      <c r="K1218" s="33" t="s">
        <v>3443</v>
      </c>
      <c r="O1218" s="1"/>
      <c r="P1218" s="1"/>
      <c r="Q1218" s="1"/>
      <c r="R1218" s="1"/>
    </row>
    <row r="1219" spans="4:18" x14ac:dyDescent="0.35">
      <c r="D1219" t="s">
        <v>149</v>
      </c>
      <c r="E1219" t="s">
        <v>1082</v>
      </c>
      <c r="F1219" t="s">
        <v>938</v>
      </c>
      <c r="G1219" t="s">
        <v>3401</v>
      </c>
      <c r="I1219" t="s">
        <v>1082</v>
      </c>
      <c r="J1219" t="s">
        <v>938</v>
      </c>
      <c r="K1219" s="33" t="s">
        <v>3400</v>
      </c>
      <c r="O1219" s="1"/>
      <c r="P1219" s="1"/>
      <c r="Q1219" s="1"/>
      <c r="R1219" s="1"/>
    </row>
    <row r="1220" spans="4:18" x14ac:dyDescent="0.35">
      <c r="D1220" t="s">
        <v>1315</v>
      </c>
      <c r="E1220" t="s">
        <v>1308</v>
      </c>
      <c r="F1220" t="s">
        <v>938</v>
      </c>
      <c r="G1220" t="s">
        <v>3443</v>
      </c>
      <c r="I1220" t="s">
        <v>1308</v>
      </c>
      <c r="J1220" t="s">
        <v>938</v>
      </c>
      <c r="K1220" s="33" t="s">
        <v>3447</v>
      </c>
      <c r="O1220" s="1"/>
      <c r="P1220" s="1"/>
      <c r="Q1220" s="1"/>
      <c r="R1220" s="1"/>
    </row>
    <row r="1221" spans="4:18" x14ac:dyDescent="0.35">
      <c r="D1221" t="s">
        <v>2215</v>
      </c>
      <c r="E1221" t="s">
        <v>1308</v>
      </c>
      <c r="F1221" t="s">
        <v>938</v>
      </c>
      <c r="G1221" t="s">
        <v>3444</v>
      </c>
      <c r="I1221" t="s">
        <v>1308</v>
      </c>
      <c r="J1221" t="s">
        <v>938</v>
      </c>
      <c r="K1221" s="33" t="s">
        <v>3443</v>
      </c>
      <c r="O1221" s="1"/>
      <c r="P1221" s="1"/>
      <c r="Q1221" s="1"/>
      <c r="R1221" s="1"/>
    </row>
    <row r="1222" spans="4:18" x14ac:dyDescent="0.35">
      <c r="D1222" t="s">
        <v>177</v>
      </c>
      <c r="E1222" t="s">
        <v>1081</v>
      </c>
      <c r="F1222" t="s">
        <v>956</v>
      </c>
      <c r="G1222" t="s">
        <v>3422</v>
      </c>
      <c r="I1222" t="s">
        <v>1082</v>
      </c>
      <c r="J1222" t="s">
        <v>938</v>
      </c>
      <c r="K1222" s="12" t="s">
        <v>3402</v>
      </c>
      <c r="O1222" s="1"/>
      <c r="P1222" s="1"/>
      <c r="Q1222" s="1"/>
      <c r="R1222" s="1"/>
    </row>
    <row r="1223" spans="4:18" x14ac:dyDescent="0.35">
      <c r="D1223" t="s">
        <v>1315</v>
      </c>
      <c r="E1223" t="s">
        <v>1082</v>
      </c>
      <c r="F1223" t="s">
        <v>938</v>
      </c>
      <c r="G1223" t="s">
        <v>3402</v>
      </c>
      <c r="I1223" t="s">
        <v>1308</v>
      </c>
      <c r="J1223" t="s">
        <v>938</v>
      </c>
      <c r="K1223" s="33" t="s">
        <v>3444</v>
      </c>
      <c r="O1223" s="1"/>
      <c r="P1223" s="1"/>
      <c r="Q1223" s="1"/>
      <c r="R1223" s="1"/>
    </row>
    <row r="1224" spans="4:18" x14ac:dyDescent="0.35">
      <c r="D1224" t="s">
        <v>1315</v>
      </c>
      <c r="E1224" t="s">
        <v>1082</v>
      </c>
      <c r="F1224" t="s">
        <v>938</v>
      </c>
      <c r="G1224" t="s">
        <v>3402</v>
      </c>
      <c r="I1224" t="s">
        <v>1308</v>
      </c>
      <c r="J1224" t="s">
        <v>938</v>
      </c>
      <c r="K1224" s="33" t="s">
        <v>3447</v>
      </c>
      <c r="O1224" s="1"/>
      <c r="P1224" s="1"/>
      <c r="Q1224" s="1"/>
      <c r="R1224" s="1"/>
    </row>
    <row r="1225" spans="4:18" x14ac:dyDescent="0.35">
      <c r="D1225" t="s">
        <v>177</v>
      </c>
      <c r="E1225" t="s">
        <v>1081</v>
      </c>
      <c r="F1225" t="s">
        <v>956</v>
      </c>
      <c r="G1225" t="s">
        <v>3422</v>
      </c>
      <c r="I1225" t="s">
        <v>1082</v>
      </c>
      <c r="J1225" t="s">
        <v>938</v>
      </c>
      <c r="K1225" s="12" t="s">
        <v>3403</v>
      </c>
      <c r="O1225" s="1"/>
      <c r="P1225" s="1"/>
      <c r="Q1225" s="1"/>
      <c r="R1225" s="1"/>
    </row>
    <row r="1226" spans="4:18" x14ac:dyDescent="0.35">
      <c r="D1226" t="s">
        <v>1315</v>
      </c>
      <c r="E1226" t="s">
        <v>1082</v>
      </c>
      <c r="F1226" t="s">
        <v>938</v>
      </c>
      <c r="G1226" t="s">
        <v>3403</v>
      </c>
      <c r="I1226" t="s">
        <v>1308</v>
      </c>
      <c r="J1226" t="s">
        <v>938</v>
      </c>
      <c r="K1226" s="33" t="s">
        <v>3447</v>
      </c>
      <c r="O1226" s="1"/>
      <c r="P1226" s="1"/>
      <c r="Q1226" s="1"/>
      <c r="R1226" s="1"/>
    </row>
    <row r="1227" spans="4:18" x14ac:dyDescent="0.35">
      <c r="D1227" t="s">
        <v>2215</v>
      </c>
      <c r="E1227" t="s">
        <v>1082</v>
      </c>
      <c r="F1227" t="s">
        <v>938</v>
      </c>
      <c r="G1227" t="s">
        <v>3403</v>
      </c>
      <c r="I1227" t="s">
        <v>1082</v>
      </c>
      <c r="J1227" t="s">
        <v>938</v>
      </c>
      <c r="K1227" s="33" t="s">
        <v>3402</v>
      </c>
      <c r="O1227" s="1"/>
      <c r="P1227" s="1"/>
      <c r="Q1227" s="1"/>
      <c r="R1227" s="1"/>
    </row>
    <row r="1228" spans="4:18" x14ac:dyDescent="0.35">
      <c r="D1228" t="s">
        <v>177</v>
      </c>
      <c r="E1228" t="s">
        <v>1081</v>
      </c>
      <c r="F1228" t="s">
        <v>956</v>
      </c>
      <c r="G1228" t="s">
        <v>3422</v>
      </c>
      <c r="I1228" t="s">
        <v>1082</v>
      </c>
      <c r="J1228" t="s">
        <v>938</v>
      </c>
      <c r="K1228" s="12" t="s">
        <v>3404</v>
      </c>
      <c r="O1228" s="1"/>
      <c r="P1228" s="1"/>
      <c r="Q1228" s="1"/>
      <c r="R1228" s="1"/>
    </row>
    <row r="1229" spans="4:18" x14ac:dyDescent="0.35">
      <c r="D1229" t="s">
        <v>1315</v>
      </c>
      <c r="E1229" t="s">
        <v>1082</v>
      </c>
      <c r="F1229" t="s">
        <v>938</v>
      </c>
      <c r="G1229" t="s">
        <v>3404</v>
      </c>
      <c r="I1229" t="s">
        <v>1308</v>
      </c>
      <c r="J1229" t="s">
        <v>938</v>
      </c>
      <c r="K1229" s="33" t="s">
        <v>3444</v>
      </c>
      <c r="O1229" s="1"/>
      <c r="P1229" s="1"/>
      <c r="Q1229" s="1"/>
      <c r="R1229" s="1"/>
    </row>
    <row r="1230" spans="4:18" x14ac:dyDescent="0.35">
      <c r="D1230" t="s">
        <v>1315</v>
      </c>
      <c r="E1230" t="s">
        <v>1082</v>
      </c>
      <c r="F1230" t="s">
        <v>938</v>
      </c>
      <c r="G1230" t="s">
        <v>3404</v>
      </c>
      <c r="I1230" t="s">
        <v>1308</v>
      </c>
      <c r="J1230" t="s">
        <v>938</v>
      </c>
      <c r="K1230" s="33" t="s">
        <v>3447</v>
      </c>
      <c r="O1230" s="1"/>
      <c r="P1230" s="1"/>
      <c r="Q1230" s="1"/>
      <c r="R1230" s="1"/>
    </row>
    <row r="1231" spans="4:18" x14ac:dyDescent="0.35">
      <c r="D1231" t="s">
        <v>177</v>
      </c>
      <c r="E1231" t="s">
        <v>1081</v>
      </c>
      <c r="F1231" t="s">
        <v>956</v>
      </c>
      <c r="G1231" t="s">
        <v>3422</v>
      </c>
      <c r="I1231" t="s">
        <v>1082</v>
      </c>
      <c r="J1231" t="s">
        <v>938</v>
      </c>
      <c r="K1231" s="12" t="s">
        <v>3405</v>
      </c>
      <c r="O1231" s="1"/>
      <c r="P1231" s="1"/>
      <c r="Q1231" s="1"/>
      <c r="R1231" s="1"/>
    </row>
    <row r="1232" spans="4:18" x14ac:dyDescent="0.35">
      <c r="D1232" t="s">
        <v>1315</v>
      </c>
      <c r="E1232" t="s">
        <v>1082</v>
      </c>
      <c r="F1232" t="s">
        <v>938</v>
      </c>
      <c r="G1232" t="s">
        <v>3405</v>
      </c>
      <c r="I1232" t="s">
        <v>1308</v>
      </c>
      <c r="J1232" t="s">
        <v>938</v>
      </c>
      <c r="K1232" s="33" t="s">
        <v>3447</v>
      </c>
      <c r="O1232" s="1"/>
      <c r="P1232" s="1"/>
      <c r="Q1232" s="1"/>
      <c r="R1232" s="1"/>
    </row>
    <row r="1233" spans="1:18" x14ac:dyDescent="0.35">
      <c r="D1233" t="s">
        <v>2215</v>
      </c>
      <c r="E1233" t="s">
        <v>1082</v>
      </c>
      <c r="F1233" t="s">
        <v>938</v>
      </c>
      <c r="G1233" t="s">
        <v>3405</v>
      </c>
      <c r="I1233" t="s">
        <v>1082</v>
      </c>
      <c r="J1233" t="s">
        <v>938</v>
      </c>
      <c r="K1233" s="33" t="s">
        <v>3404</v>
      </c>
      <c r="O1233" s="1"/>
      <c r="P1233" s="1"/>
      <c r="Q1233" s="1"/>
      <c r="R1233" s="1"/>
    </row>
    <row r="1234" spans="1:18" x14ac:dyDescent="0.35">
      <c r="F1234"/>
      <c r="K1234" s="33"/>
      <c r="O1234" s="1"/>
      <c r="P1234" s="1"/>
      <c r="Q1234" s="1"/>
      <c r="R1234" s="1"/>
    </row>
    <row r="1235" spans="1:18" x14ac:dyDescent="0.35">
      <c r="D1235" t="s">
        <v>177</v>
      </c>
      <c r="E1235" t="s">
        <v>1081</v>
      </c>
      <c r="F1235" t="s">
        <v>956</v>
      </c>
      <c r="G1235" t="s">
        <v>3176</v>
      </c>
      <c r="I1235" t="s">
        <v>1082</v>
      </c>
      <c r="J1235" t="s">
        <v>938</v>
      </c>
      <c r="K1235" s="12" t="s">
        <v>2780</v>
      </c>
      <c r="O1235" s="1"/>
      <c r="P1235" s="1"/>
      <c r="Q1235" s="1"/>
      <c r="R1235" s="1"/>
    </row>
    <row r="1236" spans="1:18" x14ac:dyDescent="0.35">
      <c r="D1236" t="s">
        <v>1315</v>
      </c>
      <c r="E1236" t="s">
        <v>1082</v>
      </c>
      <c r="F1236" t="s">
        <v>938</v>
      </c>
      <c r="G1236" t="s">
        <v>2780</v>
      </c>
      <c r="I1236" t="s">
        <v>1308</v>
      </c>
      <c r="J1236" t="s">
        <v>938</v>
      </c>
      <c r="K1236" s="33" t="s">
        <v>3179</v>
      </c>
      <c r="O1236" s="1"/>
      <c r="P1236" s="1"/>
      <c r="Q1236" s="1"/>
      <c r="R1236" s="1"/>
    </row>
    <row r="1237" spans="1:18" x14ac:dyDescent="0.35">
      <c r="D1237" t="s">
        <v>177</v>
      </c>
      <c r="E1237" t="s">
        <v>1081</v>
      </c>
      <c r="F1237" t="s">
        <v>956</v>
      </c>
      <c r="G1237" t="s">
        <v>3185</v>
      </c>
      <c r="I1237" t="s">
        <v>1082</v>
      </c>
      <c r="J1237" t="s">
        <v>938</v>
      </c>
      <c r="K1237" s="12" t="s">
        <v>2783</v>
      </c>
      <c r="O1237" s="1"/>
      <c r="P1237" s="1"/>
      <c r="Q1237" s="1"/>
      <c r="R1237" s="1"/>
    </row>
    <row r="1238" spans="1:18" x14ac:dyDescent="0.35">
      <c r="D1238" t="s">
        <v>1315</v>
      </c>
      <c r="E1238" t="s">
        <v>1082</v>
      </c>
      <c r="F1238" t="s">
        <v>938</v>
      </c>
      <c r="G1238" t="s">
        <v>2783</v>
      </c>
      <c r="I1238" t="s">
        <v>1308</v>
      </c>
      <c r="J1238" t="s">
        <v>938</v>
      </c>
      <c r="K1238" s="33" t="s">
        <v>3179</v>
      </c>
      <c r="O1238" s="1"/>
      <c r="P1238" s="1"/>
      <c r="Q1238" s="1"/>
      <c r="R1238" s="1"/>
    </row>
    <row r="1239" spans="1:18" x14ac:dyDescent="0.35">
      <c r="D1239" t="s">
        <v>2215</v>
      </c>
      <c r="E1239" t="s">
        <v>1082</v>
      </c>
      <c r="F1239" t="s">
        <v>938</v>
      </c>
      <c r="G1239" t="s">
        <v>2783</v>
      </c>
      <c r="I1239" t="s">
        <v>1082</v>
      </c>
      <c r="J1239" t="s">
        <v>938</v>
      </c>
      <c r="K1239" s="33" t="s">
        <v>2780</v>
      </c>
      <c r="O1239" s="1"/>
      <c r="P1239" s="1"/>
      <c r="Q1239" s="1"/>
      <c r="R1239" s="1"/>
    </row>
    <row r="1240" spans="1:18" s="21" customFormat="1" x14ac:dyDescent="0.35">
      <c r="A1240"/>
      <c r="B1240"/>
      <c r="C1240"/>
      <c r="D1240"/>
      <c r="E1240"/>
      <c r="F1240"/>
      <c r="G1240"/>
      <c r="H1240"/>
      <c r="I1240"/>
      <c r="J1240"/>
      <c r="K1240" s="12"/>
      <c r="L1240"/>
      <c r="M1240"/>
      <c r="N1240"/>
      <c r="O1240" s="1"/>
      <c r="P1240" s="1"/>
      <c r="Q1240" s="1"/>
      <c r="R1240" s="1"/>
    </row>
    <row r="1241" spans="1:18" x14ac:dyDescent="0.35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  <c r="K1241" s="23"/>
      <c r="L1241" s="21"/>
      <c r="M1241" s="21"/>
      <c r="N1241" s="21"/>
      <c r="O1241" s="22"/>
      <c r="P1241" s="22"/>
      <c r="Q1241" s="22"/>
      <c r="R1241" s="22"/>
    </row>
    <row r="1242" spans="1:18" x14ac:dyDescent="0.35">
      <c r="F1242"/>
      <c r="K1242" s="12"/>
      <c r="O1242" s="1"/>
      <c r="P1242" s="1"/>
      <c r="Q1242" s="1"/>
      <c r="R1242" s="1"/>
    </row>
    <row r="1243" spans="1:18" x14ac:dyDescent="0.35">
      <c r="D1243" t="s">
        <v>177</v>
      </c>
      <c r="E1243" t="s">
        <v>1081</v>
      </c>
      <c r="F1243" t="s">
        <v>956</v>
      </c>
      <c r="G1243" t="s">
        <v>2173</v>
      </c>
      <c r="I1243" t="s">
        <v>1082</v>
      </c>
      <c r="J1243" t="s">
        <v>938</v>
      </c>
      <c r="K1243" s="12" t="s">
        <v>2183</v>
      </c>
      <c r="O1243" s="1"/>
      <c r="P1243" s="1"/>
      <c r="Q1243" s="1"/>
      <c r="R1243" s="1"/>
    </row>
    <row r="1244" spans="1:18" x14ac:dyDescent="0.35">
      <c r="D1244" t="s">
        <v>1315</v>
      </c>
      <c r="E1244" t="s">
        <v>1082</v>
      </c>
      <c r="F1244" t="s">
        <v>938</v>
      </c>
      <c r="G1244" t="s">
        <v>2183</v>
      </c>
      <c r="I1244" t="s">
        <v>1308</v>
      </c>
      <c r="J1244" t="s">
        <v>938</v>
      </c>
      <c r="K1244" t="s">
        <v>1890</v>
      </c>
      <c r="O1244" s="1"/>
      <c r="P1244" s="1"/>
      <c r="Q1244" s="1"/>
      <c r="R1244" s="1"/>
    </row>
    <row r="1245" spans="1:18" x14ac:dyDescent="0.35">
      <c r="D1245" t="s">
        <v>1314</v>
      </c>
      <c r="E1245" t="s">
        <v>1082</v>
      </c>
      <c r="F1245" t="s">
        <v>938</v>
      </c>
      <c r="G1245" t="s">
        <v>2183</v>
      </c>
      <c r="I1245" t="s">
        <v>1082</v>
      </c>
      <c r="J1245" t="s">
        <v>938</v>
      </c>
      <c r="K1245" t="s">
        <v>2167</v>
      </c>
      <c r="O1245" s="1"/>
      <c r="P1245" s="1" t="s">
        <v>1355</v>
      </c>
      <c r="Q1245" s="1" t="s">
        <v>2185</v>
      </c>
      <c r="R1245" s="1"/>
    </row>
    <row r="1246" spans="1:18" x14ac:dyDescent="0.35">
      <c r="D1246" t="s">
        <v>177</v>
      </c>
      <c r="E1246" t="s">
        <v>1081</v>
      </c>
      <c r="F1246" t="s">
        <v>956</v>
      </c>
      <c r="G1246" t="s">
        <v>3</v>
      </c>
      <c r="I1246" t="s">
        <v>1082</v>
      </c>
      <c r="J1246" t="s">
        <v>938</v>
      </c>
      <c r="K1246" s="12" t="s">
        <v>2167</v>
      </c>
      <c r="O1246" s="1"/>
      <c r="P1246" s="1"/>
      <c r="Q1246" s="1"/>
      <c r="R1246" s="1"/>
    </row>
    <row r="1247" spans="1:18" x14ac:dyDescent="0.35">
      <c r="D1247" t="s">
        <v>1315</v>
      </c>
      <c r="E1247" t="s">
        <v>1082</v>
      </c>
      <c r="F1247" t="s">
        <v>938</v>
      </c>
      <c r="G1247" t="s">
        <v>2167</v>
      </c>
      <c r="I1247" t="s">
        <v>1308</v>
      </c>
      <c r="J1247" t="s">
        <v>938</v>
      </c>
      <c r="K1247" t="s">
        <v>1890</v>
      </c>
      <c r="O1247" s="1"/>
      <c r="P1247" s="1"/>
      <c r="Q1247" s="1"/>
      <c r="R1247" s="1"/>
    </row>
    <row r="1248" spans="1:18" x14ac:dyDescent="0.35">
      <c r="D1248" t="s">
        <v>1314</v>
      </c>
      <c r="E1248" t="s">
        <v>1082</v>
      </c>
      <c r="F1248" t="s">
        <v>938</v>
      </c>
      <c r="G1248" t="s">
        <v>2167</v>
      </c>
      <c r="I1248" t="s">
        <v>1082</v>
      </c>
      <c r="J1248" t="s">
        <v>938</v>
      </c>
      <c r="K1248" t="s">
        <v>2183</v>
      </c>
      <c r="O1248" s="1"/>
      <c r="P1248" s="1" t="s">
        <v>1355</v>
      </c>
      <c r="Q1248" s="1" t="s">
        <v>2172</v>
      </c>
      <c r="R1248" s="1"/>
    </row>
    <row r="1249" spans="4:18" x14ac:dyDescent="0.35">
      <c r="D1249" t="s">
        <v>177</v>
      </c>
      <c r="E1249" t="s">
        <v>1081</v>
      </c>
      <c r="F1249" t="s">
        <v>956</v>
      </c>
      <c r="G1249" t="s">
        <v>2173</v>
      </c>
      <c r="I1249" t="s">
        <v>1082</v>
      </c>
      <c r="J1249" t="s">
        <v>938</v>
      </c>
      <c r="K1249" s="12" t="s">
        <v>2188</v>
      </c>
      <c r="O1249" s="1"/>
      <c r="P1249" s="1"/>
      <c r="Q1249" s="1"/>
      <c r="R1249" s="1"/>
    </row>
    <row r="1250" spans="4:18" x14ac:dyDescent="0.35">
      <c r="D1250" t="s">
        <v>1315</v>
      </c>
      <c r="E1250" t="s">
        <v>1082</v>
      </c>
      <c r="F1250" t="s">
        <v>938</v>
      </c>
      <c r="G1250" t="s">
        <v>2188</v>
      </c>
      <c r="I1250" t="s">
        <v>1308</v>
      </c>
      <c r="J1250" t="s">
        <v>938</v>
      </c>
      <c r="K1250" t="s">
        <v>1890</v>
      </c>
      <c r="O1250" s="1"/>
      <c r="P1250" s="1"/>
      <c r="Q1250" s="1"/>
      <c r="R1250" s="1"/>
    </row>
    <row r="1251" spans="4:18" x14ac:dyDescent="0.35">
      <c r="D1251" t="s">
        <v>1314</v>
      </c>
      <c r="E1251" t="s">
        <v>1082</v>
      </c>
      <c r="F1251" t="s">
        <v>938</v>
      </c>
      <c r="G1251" t="s">
        <v>2188</v>
      </c>
      <c r="I1251" t="s">
        <v>1082</v>
      </c>
      <c r="J1251" t="s">
        <v>938</v>
      </c>
      <c r="K1251" t="s">
        <v>2191</v>
      </c>
      <c r="O1251" s="1"/>
      <c r="P1251" s="1" t="s">
        <v>1375</v>
      </c>
      <c r="Q1251" s="1" t="s">
        <v>2196</v>
      </c>
      <c r="R1251" s="1"/>
    </row>
    <row r="1252" spans="4:18" x14ac:dyDescent="0.35">
      <c r="D1252" t="s">
        <v>177</v>
      </c>
      <c r="E1252" t="s">
        <v>1081</v>
      </c>
      <c r="F1252" t="s">
        <v>956</v>
      </c>
      <c r="G1252" t="s">
        <v>1896</v>
      </c>
      <c r="I1252" t="s">
        <v>1082</v>
      </c>
      <c r="J1252" t="s">
        <v>938</v>
      </c>
      <c r="K1252" s="12" t="s">
        <v>2191</v>
      </c>
      <c r="O1252" s="1"/>
      <c r="P1252" s="1"/>
      <c r="Q1252" s="1"/>
      <c r="R1252" s="1"/>
    </row>
    <row r="1253" spans="4:18" x14ac:dyDescent="0.35">
      <c r="D1253" t="s">
        <v>1315</v>
      </c>
      <c r="E1253" t="s">
        <v>1082</v>
      </c>
      <c r="F1253" t="s">
        <v>938</v>
      </c>
      <c r="G1253" t="s">
        <v>2191</v>
      </c>
      <c r="I1253" t="s">
        <v>1308</v>
      </c>
      <c r="J1253" t="s">
        <v>938</v>
      </c>
      <c r="K1253" t="s">
        <v>1890</v>
      </c>
      <c r="O1253" s="1"/>
      <c r="P1253" s="1"/>
      <c r="Q1253" s="1"/>
      <c r="R1253" s="1"/>
    </row>
    <row r="1254" spans="4:18" x14ac:dyDescent="0.35">
      <c r="D1254" t="s">
        <v>1314</v>
      </c>
      <c r="E1254" t="s">
        <v>1082</v>
      </c>
      <c r="F1254" t="s">
        <v>938</v>
      </c>
      <c r="G1254" t="s">
        <v>2191</v>
      </c>
      <c r="I1254" t="s">
        <v>1082</v>
      </c>
      <c r="J1254" t="s">
        <v>938</v>
      </c>
      <c r="K1254" t="s">
        <v>2188</v>
      </c>
      <c r="O1254" s="1"/>
      <c r="P1254" s="1" t="s">
        <v>1375</v>
      </c>
      <c r="Q1254" s="1" t="s">
        <v>2195</v>
      </c>
      <c r="R1254" s="1"/>
    </row>
    <row r="1255" spans="4:18" x14ac:dyDescent="0.35">
      <c r="D1255" t="s">
        <v>177</v>
      </c>
      <c r="E1255" t="s">
        <v>1081</v>
      </c>
      <c r="F1255" t="s">
        <v>956</v>
      </c>
      <c r="G1255" t="s">
        <v>1900</v>
      </c>
      <c r="I1255" t="s">
        <v>1082</v>
      </c>
      <c r="J1255" t="s">
        <v>938</v>
      </c>
      <c r="K1255" s="12" t="s">
        <v>29</v>
      </c>
      <c r="O1255" s="1"/>
      <c r="P1255" s="1"/>
      <c r="Q1255" s="1"/>
      <c r="R1255" s="1"/>
    </row>
    <row r="1256" spans="4:18" x14ac:dyDescent="0.35">
      <c r="D1256" t="s">
        <v>1315</v>
      </c>
      <c r="E1256" t="s">
        <v>1082</v>
      </c>
      <c r="F1256" t="s">
        <v>938</v>
      </c>
      <c r="G1256" t="s">
        <v>29</v>
      </c>
      <c r="I1256" t="s">
        <v>1308</v>
      </c>
      <c r="J1256" t="s">
        <v>938</v>
      </c>
      <c r="K1256" t="s">
        <v>1890</v>
      </c>
      <c r="O1256" s="1"/>
      <c r="P1256" s="1"/>
      <c r="Q1256" s="1"/>
      <c r="R1256" s="1"/>
    </row>
    <row r="1257" spans="4:18" x14ac:dyDescent="0.35">
      <c r="D1257" t="s">
        <v>177</v>
      </c>
      <c r="E1257" t="s">
        <v>1081</v>
      </c>
      <c r="F1257" t="s">
        <v>956</v>
      </c>
      <c r="G1257" t="s">
        <v>1900</v>
      </c>
      <c r="I1257" t="s">
        <v>1082</v>
      </c>
      <c r="J1257" t="s">
        <v>938</v>
      </c>
      <c r="K1257" s="12" t="s">
        <v>1941</v>
      </c>
      <c r="O1257" s="1"/>
      <c r="P1257" s="1"/>
      <c r="Q1257" s="1"/>
      <c r="R1257" s="1"/>
    </row>
    <row r="1258" spans="4:18" x14ac:dyDescent="0.35">
      <c r="D1258" t="s">
        <v>177</v>
      </c>
      <c r="E1258" t="s">
        <v>1081</v>
      </c>
      <c r="F1258" t="s">
        <v>956</v>
      </c>
      <c r="G1258" t="s">
        <v>1900</v>
      </c>
      <c r="I1258" t="s">
        <v>1082</v>
      </c>
      <c r="J1258" t="s">
        <v>938</v>
      </c>
      <c r="K1258" s="12" t="s">
        <v>1884</v>
      </c>
      <c r="O1258" s="1"/>
      <c r="P1258" s="1"/>
      <c r="Q1258" s="1"/>
      <c r="R1258" s="1"/>
    </row>
    <row r="1259" spans="4:18" x14ac:dyDescent="0.35">
      <c r="D1259" t="s">
        <v>149</v>
      </c>
      <c r="E1259" t="s">
        <v>1082</v>
      </c>
      <c r="F1259" t="s">
        <v>938</v>
      </c>
      <c r="G1259" t="s">
        <v>1884</v>
      </c>
      <c r="I1259" t="s">
        <v>1082</v>
      </c>
      <c r="J1259" t="s">
        <v>938</v>
      </c>
      <c r="K1259" t="s">
        <v>29</v>
      </c>
      <c r="O1259" s="1"/>
      <c r="P1259" s="1"/>
      <c r="Q1259" s="1"/>
      <c r="R1259" s="1"/>
    </row>
    <row r="1260" spans="4:18" x14ac:dyDescent="0.35">
      <c r="D1260" t="s">
        <v>177</v>
      </c>
      <c r="E1260" t="s">
        <v>1081</v>
      </c>
      <c r="F1260" t="s">
        <v>956</v>
      </c>
      <c r="G1260" t="s">
        <v>1900</v>
      </c>
      <c r="I1260" t="s">
        <v>1082</v>
      </c>
      <c r="J1260" t="s">
        <v>938</v>
      </c>
      <c r="K1260" s="12" t="s">
        <v>2044</v>
      </c>
      <c r="O1260" s="1"/>
      <c r="P1260" s="1"/>
      <c r="Q1260" s="1"/>
      <c r="R1260" s="1"/>
    </row>
    <row r="1261" spans="4:18" x14ac:dyDescent="0.35">
      <c r="D1261" t="s">
        <v>177</v>
      </c>
      <c r="E1261" t="s">
        <v>1081</v>
      </c>
      <c r="F1261" t="s">
        <v>956</v>
      </c>
      <c r="G1261" t="s">
        <v>1900</v>
      </c>
      <c r="I1261" t="s">
        <v>1082</v>
      </c>
      <c r="J1261" t="s">
        <v>938</v>
      </c>
      <c r="K1261" s="12" t="s">
        <v>1929</v>
      </c>
      <c r="O1261" s="1"/>
      <c r="P1261" s="1"/>
      <c r="Q1261" s="1"/>
      <c r="R1261" s="1"/>
    </row>
    <row r="1262" spans="4:18" x14ac:dyDescent="0.35">
      <c r="D1262" t="s">
        <v>1315</v>
      </c>
      <c r="E1262" t="s">
        <v>1082</v>
      </c>
      <c r="F1262" t="s">
        <v>938</v>
      </c>
      <c r="G1262" t="s">
        <v>1929</v>
      </c>
      <c r="I1262" t="s">
        <v>1308</v>
      </c>
      <c r="J1262" t="s">
        <v>938</v>
      </c>
      <c r="K1262" t="s">
        <v>1890</v>
      </c>
      <c r="O1262" s="1"/>
      <c r="P1262" s="1"/>
      <c r="Q1262" s="1"/>
      <c r="R1262" s="1"/>
    </row>
    <row r="1263" spans="4:18" x14ac:dyDescent="0.35">
      <c r="D1263" t="s">
        <v>146</v>
      </c>
      <c r="E1263" t="s">
        <v>1082</v>
      </c>
      <c r="F1263" t="s">
        <v>938</v>
      </c>
      <c r="G1263" t="s">
        <v>1929</v>
      </c>
      <c r="I1263" t="s">
        <v>1082</v>
      </c>
      <c r="J1263" t="s">
        <v>938</v>
      </c>
      <c r="K1263" t="s">
        <v>29</v>
      </c>
      <c r="O1263" s="1"/>
      <c r="P1263" s="1"/>
      <c r="Q1263" s="1"/>
      <c r="R1263" s="1"/>
    </row>
    <row r="1264" spans="4:18" x14ac:dyDescent="0.35">
      <c r="D1264" t="s">
        <v>177</v>
      </c>
      <c r="E1264" t="s">
        <v>1081</v>
      </c>
      <c r="F1264" t="s">
        <v>956</v>
      </c>
      <c r="G1264" t="s">
        <v>1896</v>
      </c>
      <c r="I1264" t="s">
        <v>1082</v>
      </c>
      <c r="J1264" t="s">
        <v>938</v>
      </c>
      <c r="K1264" s="12" t="s">
        <v>1969</v>
      </c>
      <c r="O1264" s="1"/>
      <c r="P1264" s="1"/>
      <c r="Q1264" s="1"/>
      <c r="R1264" s="1"/>
    </row>
    <row r="1265" spans="4:18" x14ac:dyDescent="0.35">
      <c r="D1265" t="s">
        <v>1315</v>
      </c>
      <c r="E1265" t="s">
        <v>1082</v>
      </c>
      <c r="F1265" t="s">
        <v>938</v>
      </c>
      <c r="G1265" t="s">
        <v>1969</v>
      </c>
      <c r="I1265" t="s">
        <v>1308</v>
      </c>
      <c r="J1265" t="s">
        <v>938</v>
      </c>
      <c r="K1265" t="s">
        <v>2147</v>
      </c>
      <c r="O1265" s="1"/>
      <c r="P1265" s="1"/>
      <c r="Q1265" s="1"/>
      <c r="R1265" s="1"/>
    </row>
    <row r="1266" spans="4:18" x14ac:dyDescent="0.35">
      <c r="D1266" t="s">
        <v>177</v>
      </c>
      <c r="E1266" t="s">
        <v>1081</v>
      </c>
      <c r="F1266" t="s">
        <v>956</v>
      </c>
      <c r="G1266" t="s">
        <v>1900</v>
      </c>
      <c r="I1266" t="s">
        <v>1082</v>
      </c>
      <c r="J1266" t="s">
        <v>938</v>
      </c>
      <c r="K1266" s="12" t="s">
        <v>1934</v>
      </c>
      <c r="O1266" s="1"/>
      <c r="P1266" s="1"/>
      <c r="Q1266" s="1"/>
      <c r="R1266" s="1"/>
    </row>
    <row r="1267" spans="4:18" x14ac:dyDescent="0.35">
      <c r="D1267" t="s">
        <v>146</v>
      </c>
      <c r="E1267" t="s">
        <v>1082</v>
      </c>
      <c r="F1267" t="s">
        <v>938</v>
      </c>
      <c r="G1267" t="s">
        <v>1934</v>
      </c>
      <c r="I1267" t="s">
        <v>1082</v>
      </c>
      <c r="J1267" t="s">
        <v>938</v>
      </c>
      <c r="K1267" t="s">
        <v>1884</v>
      </c>
      <c r="O1267" s="1"/>
      <c r="P1267" s="1"/>
      <c r="Q1267" s="1"/>
      <c r="R1267" s="1"/>
    </row>
    <row r="1268" spans="4:18" x14ac:dyDescent="0.35">
      <c r="D1268" t="s">
        <v>149</v>
      </c>
      <c r="E1268" t="s">
        <v>1082</v>
      </c>
      <c r="F1268" t="s">
        <v>938</v>
      </c>
      <c r="G1268" t="s">
        <v>1934</v>
      </c>
      <c r="I1268" t="s">
        <v>1082</v>
      </c>
      <c r="J1268" t="s">
        <v>938</v>
      </c>
      <c r="K1268" t="s">
        <v>1929</v>
      </c>
      <c r="O1268" s="1"/>
      <c r="P1268" s="1"/>
      <c r="Q1268" s="1"/>
      <c r="R1268" s="1"/>
    </row>
    <row r="1269" spans="4:18" x14ac:dyDescent="0.35">
      <c r="D1269" t="s">
        <v>177</v>
      </c>
      <c r="E1269" t="s">
        <v>1081</v>
      </c>
      <c r="F1269" t="s">
        <v>956</v>
      </c>
      <c r="G1269" t="s">
        <v>1900</v>
      </c>
      <c r="I1269" t="s">
        <v>1082</v>
      </c>
      <c r="J1269" t="s">
        <v>938</v>
      </c>
      <c r="K1269" s="12" t="s">
        <v>1940</v>
      </c>
      <c r="O1269" s="1"/>
      <c r="P1269" s="1"/>
      <c r="Q1269" s="1"/>
      <c r="R1269" s="1"/>
    </row>
    <row r="1270" spans="4:18" x14ac:dyDescent="0.35">
      <c r="D1270" t="s">
        <v>177</v>
      </c>
      <c r="E1270" t="s">
        <v>1081</v>
      </c>
      <c r="F1270" t="s">
        <v>956</v>
      </c>
      <c r="G1270" t="s">
        <v>1896</v>
      </c>
      <c r="I1270" t="s">
        <v>1082</v>
      </c>
      <c r="J1270" t="s">
        <v>938</v>
      </c>
      <c r="K1270" s="12" t="s">
        <v>2024</v>
      </c>
      <c r="O1270" s="1"/>
      <c r="P1270" s="1"/>
      <c r="Q1270" s="1"/>
      <c r="R1270" s="1"/>
    </row>
    <row r="1271" spans="4:18" x14ac:dyDescent="0.35">
      <c r="D1271" t="s">
        <v>177</v>
      </c>
      <c r="E1271" t="s">
        <v>1081</v>
      </c>
      <c r="F1271" t="s">
        <v>956</v>
      </c>
      <c r="G1271" t="s">
        <v>1896</v>
      </c>
      <c r="I1271" t="s">
        <v>1082</v>
      </c>
      <c r="J1271" t="s">
        <v>938</v>
      </c>
      <c r="K1271" s="12" t="s">
        <v>1938</v>
      </c>
      <c r="O1271" s="1"/>
      <c r="P1271" s="1"/>
      <c r="Q1271" s="1"/>
      <c r="R1271" s="1"/>
    </row>
    <row r="1272" spans="4:18" x14ac:dyDescent="0.35">
      <c r="D1272" t="s">
        <v>149</v>
      </c>
      <c r="E1272" t="s">
        <v>1082</v>
      </c>
      <c r="F1272" t="s">
        <v>938</v>
      </c>
      <c r="G1272" t="s">
        <v>1938</v>
      </c>
      <c r="I1272" t="s">
        <v>1082</v>
      </c>
      <c r="J1272" t="s">
        <v>938</v>
      </c>
      <c r="K1272" t="s">
        <v>1929</v>
      </c>
      <c r="O1272" s="1"/>
      <c r="P1272" s="1"/>
      <c r="Q1272" s="1"/>
      <c r="R1272" s="1"/>
    </row>
    <row r="1273" spans="4:18" x14ac:dyDescent="0.35">
      <c r="D1273" t="s">
        <v>177</v>
      </c>
      <c r="E1273" t="s">
        <v>1081</v>
      </c>
      <c r="F1273" t="s">
        <v>956</v>
      </c>
      <c r="G1273" t="s">
        <v>1896</v>
      </c>
      <c r="I1273" t="s">
        <v>1082</v>
      </c>
      <c r="J1273" t="s">
        <v>938</v>
      </c>
      <c r="K1273" s="12" t="s">
        <v>1939</v>
      </c>
      <c r="O1273" s="1"/>
      <c r="P1273" s="1"/>
      <c r="Q1273" s="1"/>
      <c r="R1273" s="1"/>
    </row>
    <row r="1274" spans="4:18" x14ac:dyDescent="0.35">
      <c r="D1274" t="s">
        <v>149</v>
      </c>
      <c r="E1274" t="s">
        <v>1082</v>
      </c>
      <c r="F1274" t="s">
        <v>938</v>
      </c>
      <c r="G1274" t="s">
        <v>1939</v>
      </c>
      <c r="I1274" t="s">
        <v>1082</v>
      </c>
      <c r="J1274" t="s">
        <v>938</v>
      </c>
      <c r="K1274" t="s">
        <v>1929</v>
      </c>
      <c r="O1274" s="1"/>
      <c r="P1274" s="1"/>
      <c r="Q1274" s="1"/>
      <c r="R1274" s="1"/>
    </row>
    <row r="1275" spans="4:18" x14ac:dyDescent="0.35">
      <c r="D1275" t="s">
        <v>177</v>
      </c>
      <c r="E1275" t="s">
        <v>1081</v>
      </c>
      <c r="F1275" t="s">
        <v>956</v>
      </c>
      <c r="G1275" t="s">
        <v>1896</v>
      </c>
      <c r="I1275" t="s">
        <v>1082</v>
      </c>
      <c r="J1275" t="s">
        <v>938</v>
      </c>
      <c r="K1275" s="12" t="s">
        <v>2021</v>
      </c>
      <c r="O1275" s="1"/>
      <c r="P1275" s="1"/>
      <c r="Q1275" s="1"/>
      <c r="R1275" s="1"/>
    </row>
    <row r="1276" spans="4:18" x14ac:dyDescent="0.35">
      <c r="D1276" t="s">
        <v>146</v>
      </c>
      <c r="E1276" t="s">
        <v>1082</v>
      </c>
      <c r="F1276" t="s">
        <v>938</v>
      </c>
      <c r="G1276" t="s">
        <v>2021</v>
      </c>
      <c r="I1276" t="s">
        <v>1082</v>
      </c>
      <c r="J1276" t="s">
        <v>938</v>
      </c>
      <c r="K1276" t="s">
        <v>2024</v>
      </c>
      <c r="O1276" s="1"/>
      <c r="P1276" s="1"/>
      <c r="Q1276" s="1"/>
      <c r="R1276" s="1"/>
    </row>
    <row r="1277" spans="4:18" x14ac:dyDescent="0.35">
      <c r="D1277" t="s">
        <v>177</v>
      </c>
      <c r="E1277" t="s">
        <v>1081</v>
      </c>
      <c r="F1277" t="s">
        <v>956</v>
      </c>
      <c r="G1277" t="s">
        <v>1900</v>
      </c>
      <c r="I1277" t="s">
        <v>1082</v>
      </c>
      <c r="J1277" t="s">
        <v>938</v>
      </c>
      <c r="K1277" s="12" t="s">
        <v>85</v>
      </c>
      <c r="O1277" s="1"/>
      <c r="P1277" s="1"/>
      <c r="Q1277" s="1"/>
      <c r="R1277" s="1"/>
    </row>
    <row r="1278" spans="4:18" x14ac:dyDescent="0.35">
      <c r="D1278" t="s">
        <v>1315</v>
      </c>
      <c r="E1278" t="s">
        <v>1082</v>
      </c>
      <c r="F1278" t="s">
        <v>938</v>
      </c>
      <c r="G1278" t="s">
        <v>85</v>
      </c>
      <c r="I1278" t="s">
        <v>1308</v>
      </c>
      <c r="J1278" t="s">
        <v>938</v>
      </c>
      <c r="K1278" t="s">
        <v>1890</v>
      </c>
      <c r="O1278" s="1"/>
      <c r="P1278" s="1"/>
      <c r="Q1278" s="1"/>
      <c r="R1278" s="1"/>
    </row>
    <row r="1279" spans="4:18" x14ac:dyDescent="0.35">
      <c r="D1279" t="s">
        <v>146</v>
      </c>
      <c r="E1279" t="s">
        <v>1082</v>
      </c>
      <c r="F1279" t="s">
        <v>938</v>
      </c>
      <c r="G1279" t="s">
        <v>85</v>
      </c>
      <c r="I1279" t="s">
        <v>1082</v>
      </c>
      <c r="J1279" t="s">
        <v>938</v>
      </c>
      <c r="K1279" t="s">
        <v>1929</v>
      </c>
      <c r="O1279" s="1"/>
      <c r="P1279" s="1"/>
      <c r="Q1279" s="1"/>
      <c r="R1279" s="1"/>
    </row>
    <row r="1280" spans="4:18" x14ac:dyDescent="0.35">
      <c r="D1280" t="s">
        <v>146</v>
      </c>
      <c r="E1280" t="s">
        <v>1082</v>
      </c>
      <c r="F1280" t="s">
        <v>938</v>
      </c>
      <c r="G1280" t="s">
        <v>85</v>
      </c>
      <c r="I1280" t="s">
        <v>1082</v>
      </c>
      <c r="J1280" t="s">
        <v>938</v>
      </c>
      <c r="K1280" t="s">
        <v>1934</v>
      </c>
      <c r="O1280" s="1"/>
      <c r="P1280" s="1"/>
      <c r="Q1280" s="1"/>
      <c r="R1280" s="1"/>
    </row>
    <row r="1281" spans="4:18" x14ac:dyDescent="0.35">
      <c r="D1281" t="s">
        <v>146</v>
      </c>
      <c r="E1281" t="s">
        <v>1082</v>
      </c>
      <c r="F1281" t="s">
        <v>938</v>
      </c>
      <c r="G1281" t="s">
        <v>85</v>
      </c>
      <c r="I1281" t="s">
        <v>1082</v>
      </c>
      <c r="J1281" t="s">
        <v>938</v>
      </c>
      <c r="K1281" t="s">
        <v>1941</v>
      </c>
      <c r="O1281" s="1"/>
      <c r="P1281" s="1"/>
      <c r="Q1281" s="1"/>
      <c r="R1281" s="1"/>
    </row>
    <row r="1282" spans="4:18" x14ac:dyDescent="0.35">
      <c r="D1282" t="s">
        <v>149</v>
      </c>
      <c r="E1282" t="s">
        <v>1082</v>
      </c>
      <c r="F1282" t="s">
        <v>938</v>
      </c>
      <c r="G1282" t="s">
        <v>85</v>
      </c>
      <c r="I1282" t="s">
        <v>1082</v>
      </c>
      <c r="J1282" t="s">
        <v>938</v>
      </c>
      <c r="K1282" t="s">
        <v>1940</v>
      </c>
      <c r="O1282" s="1"/>
      <c r="P1282" s="1"/>
      <c r="Q1282" s="1"/>
      <c r="R1282" s="1"/>
    </row>
    <row r="1283" spans="4:18" x14ac:dyDescent="0.35">
      <c r="D1283" t="s">
        <v>177</v>
      </c>
      <c r="E1283" t="s">
        <v>1081</v>
      </c>
      <c r="F1283" t="s">
        <v>956</v>
      </c>
      <c r="G1283" t="s">
        <v>1900</v>
      </c>
      <c r="I1283" t="s">
        <v>1082</v>
      </c>
      <c r="J1283" t="s">
        <v>938</v>
      </c>
      <c r="K1283" s="12" t="s">
        <v>2162</v>
      </c>
      <c r="O1283" s="1"/>
      <c r="P1283" s="1"/>
      <c r="Q1283" s="1"/>
      <c r="R1283" s="1"/>
    </row>
    <row r="1284" spans="4:18" x14ac:dyDescent="0.35">
      <c r="D1284" t="s">
        <v>177</v>
      </c>
      <c r="E1284" t="s">
        <v>1081</v>
      </c>
      <c r="F1284" t="s">
        <v>956</v>
      </c>
      <c r="G1284" t="s">
        <v>1900</v>
      </c>
      <c r="I1284" t="s">
        <v>1082</v>
      </c>
      <c r="J1284" t="s">
        <v>938</v>
      </c>
      <c r="K1284" s="12" t="s">
        <v>2132</v>
      </c>
      <c r="O1284" s="1"/>
      <c r="P1284" s="1"/>
      <c r="Q1284" s="1"/>
      <c r="R1284" s="1"/>
    </row>
    <row r="1285" spans="4:18" x14ac:dyDescent="0.35">
      <c r="D1285" t="s">
        <v>177</v>
      </c>
      <c r="E1285" t="s">
        <v>1081</v>
      </c>
      <c r="F1285" t="s">
        <v>956</v>
      </c>
      <c r="G1285" t="s">
        <v>1900</v>
      </c>
      <c r="I1285" t="s">
        <v>1082</v>
      </c>
      <c r="J1285" t="s">
        <v>938</v>
      </c>
      <c r="K1285" s="12" t="s">
        <v>2023</v>
      </c>
      <c r="O1285" s="1"/>
      <c r="P1285" s="1"/>
      <c r="Q1285" s="1"/>
      <c r="R1285" s="1"/>
    </row>
    <row r="1286" spans="4:18" x14ac:dyDescent="0.35">
      <c r="D1286" t="s">
        <v>177</v>
      </c>
      <c r="E1286" t="s">
        <v>1081</v>
      </c>
      <c r="F1286" t="s">
        <v>956</v>
      </c>
      <c r="G1286" t="s">
        <v>1900</v>
      </c>
      <c r="I1286" t="s">
        <v>1082</v>
      </c>
      <c r="J1286" t="s">
        <v>938</v>
      </c>
      <c r="K1286" s="12" t="s">
        <v>1904</v>
      </c>
      <c r="O1286" s="1"/>
      <c r="P1286" s="1"/>
      <c r="Q1286" s="1"/>
      <c r="R1286" s="1"/>
    </row>
    <row r="1287" spans="4:18" x14ac:dyDescent="0.35">
      <c r="D1287" t="s">
        <v>149</v>
      </c>
      <c r="E1287" t="s">
        <v>1082</v>
      </c>
      <c r="F1287" t="s">
        <v>938</v>
      </c>
      <c r="G1287" t="s">
        <v>1904</v>
      </c>
      <c r="I1287" t="s">
        <v>1082</v>
      </c>
      <c r="J1287" t="s">
        <v>938</v>
      </c>
      <c r="K1287" t="s">
        <v>85</v>
      </c>
      <c r="O1287" s="1"/>
      <c r="P1287" s="1"/>
      <c r="Q1287" s="1"/>
      <c r="R1287" s="1"/>
    </row>
    <row r="1288" spans="4:18" x14ac:dyDescent="0.35">
      <c r="D1288" t="s">
        <v>149</v>
      </c>
      <c r="E1288" t="s">
        <v>1082</v>
      </c>
      <c r="F1288" t="s">
        <v>938</v>
      </c>
      <c r="G1288" t="s">
        <v>1904</v>
      </c>
      <c r="I1288" t="s">
        <v>1082</v>
      </c>
      <c r="J1288" t="s">
        <v>938</v>
      </c>
      <c r="K1288" t="s">
        <v>1929</v>
      </c>
      <c r="O1288" s="1"/>
      <c r="P1288" s="1"/>
      <c r="Q1288" s="1"/>
      <c r="R1288" s="1"/>
    </row>
    <row r="1289" spans="4:18" x14ac:dyDescent="0.35">
      <c r="D1289" t="s">
        <v>149</v>
      </c>
      <c r="E1289" t="s">
        <v>1082</v>
      </c>
      <c r="F1289" t="s">
        <v>938</v>
      </c>
      <c r="G1289" t="s">
        <v>1904</v>
      </c>
      <c r="I1289" t="s">
        <v>1082</v>
      </c>
      <c r="J1289" t="s">
        <v>938</v>
      </c>
      <c r="K1289" t="s">
        <v>1934</v>
      </c>
      <c r="O1289" s="1"/>
      <c r="P1289" s="1"/>
      <c r="Q1289" s="1"/>
      <c r="R1289" s="1"/>
    </row>
    <row r="1290" spans="4:18" x14ac:dyDescent="0.35">
      <c r="D1290" t="s">
        <v>149</v>
      </c>
      <c r="E1290" t="s">
        <v>1082</v>
      </c>
      <c r="F1290" t="s">
        <v>938</v>
      </c>
      <c r="G1290" t="s">
        <v>1904</v>
      </c>
      <c r="I1290" t="s">
        <v>1082</v>
      </c>
      <c r="J1290" t="s">
        <v>938</v>
      </c>
      <c r="K1290" t="s">
        <v>29</v>
      </c>
      <c r="O1290" s="1"/>
      <c r="P1290" s="1"/>
      <c r="Q1290" s="1"/>
      <c r="R1290" s="1"/>
    </row>
    <row r="1291" spans="4:18" x14ac:dyDescent="0.35">
      <c r="D1291" t="s">
        <v>149</v>
      </c>
      <c r="E1291" t="s">
        <v>1082</v>
      </c>
      <c r="F1291" t="s">
        <v>938</v>
      </c>
      <c r="G1291" t="s">
        <v>1904</v>
      </c>
      <c r="I1291" t="s">
        <v>1082</v>
      </c>
      <c r="J1291" t="s">
        <v>938</v>
      </c>
      <c r="K1291" t="s">
        <v>1969</v>
      </c>
      <c r="O1291" s="1"/>
      <c r="P1291" s="1"/>
      <c r="Q1291" s="1"/>
      <c r="R1291" s="1"/>
    </row>
    <row r="1292" spans="4:18" x14ac:dyDescent="0.35">
      <c r="D1292" t="s">
        <v>177</v>
      </c>
      <c r="E1292" t="s">
        <v>1081</v>
      </c>
      <c r="F1292" t="s">
        <v>956</v>
      </c>
      <c r="G1292" t="s">
        <v>1896</v>
      </c>
      <c r="I1292" t="s">
        <v>1082</v>
      </c>
      <c r="J1292" t="s">
        <v>938</v>
      </c>
      <c r="K1292" s="12" t="s">
        <v>1964</v>
      </c>
      <c r="O1292" s="1"/>
      <c r="P1292" s="1"/>
      <c r="Q1292" s="1"/>
      <c r="R1292" s="1"/>
    </row>
    <row r="1293" spans="4:18" x14ac:dyDescent="0.35">
      <c r="D1293" t="s">
        <v>149</v>
      </c>
      <c r="E1293" t="s">
        <v>1082</v>
      </c>
      <c r="F1293" t="s">
        <v>938</v>
      </c>
      <c r="G1293" t="s">
        <v>1964</v>
      </c>
      <c r="I1293" t="s">
        <v>1082</v>
      </c>
      <c r="J1293" t="s">
        <v>938</v>
      </c>
      <c r="K1293" t="s">
        <v>85</v>
      </c>
      <c r="O1293" s="1"/>
      <c r="P1293" s="1"/>
      <c r="Q1293" s="1"/>
      <c r="R1293" s="1"/>
    </row>
    <row r="1294" spans="4:18" x14ac:dyDescent="0.35">
      <c r="D1294" t="s">
        <v>177</v>
      </c>
      <c r="E1294" t="s">
        <v>1081</v>
      </c>
      <c r="F1294" t="s">
        <v>956</v>
      </c>
      <c r="G1294" t="s">
        <v>1900</v>
      </c>
      <c r="I1294" t="s">
        <v>1082</v>
      </c>
      <c r="J1294" t="s">
        <v>938</v>
      </c>
      <c r="K1294" s="12" t="s">
        <v>1949</v>
      </c>
      <c r="O1294" s="1"/>
      <c r="P1294" s="1"/>
      <c r="Q1294" s="1"/>
      <c r="R1294" s="1"/>
    </row>
    <row r="1295" spans="4:18" x14ac:dyDescent="0.35">
      <c r="D1295" t="s">
        <v>146</v>
      </c>
      <c r="E1295" t="s">
        <v>1082</v>
      </c>
      <c r="F1295" t="s">
        <v>938</v>
      </c>
      <c r="G1295" t="s">
        <v>1949</v>
      </c>
      <c r="I1295" t="s">
        <v>1082</v>
      </c>
      <c r="J1295" t="s">
        <v>938</v>
      </c>
      <c r="K1295" t="s">
        <v>1934</v>
      </c>
      <c r="O1295" s="1"/>
      <c r="P1295" s="1"/>
      <c r="Q1295" s="1"/>
      <c r="R1295" s="1"/>
    </row>
    <row r="1296" spans="4:18" x14ac:dyDescent="0.35">
      <c r="D1296" t="s">
        <v>177</v>
      </c>
      <c r="E1296" t="s">
        <v>1081</v>
      </c>
      <c r="F1296" t="s">
        <v>956</v>
      </c>
      <c r="G1296" t="s">
        <v>1900</v>
      </c>
      <c r="I1296" t="s">
        <v>1082</v>
      </c>
      <c r="J1296" t="s">
        <v>938</v>
      </c>
      <c r="K1296" s="12" t="s">
        <v>1909</v>
      </c>
      <c r="O1296" s="1"/>
      <c r="P1296" s="1"/>
      <c r="Q1296" s="1"/>
      <c r="R1296" s="1"/>
    </row>
    <row r="1297" spans="4:18" x14ac:dyDescent="0.35">
      <c r="D1297" t="s">
        <v>2197</v>
      </c>
      <c r="E1297" t="s">
        <v>1082</v>
      </c>
      <c r="F1297" t="s">
        <v>938</v>
      </c>
      <c r="G1297" t="s">
        <v>1909</v>
      </c>
      <c r="I1297" t="s">
        <v>1082</v>
      </c>
      <c r="J1297" t="s">
        <v>938</v>
      </c>
      <c r="K1297" t="s">
        <v>2183</v>
      </c>
      <c r="O1297" s="1"/>
      <c r="P1297" s="1"/>
      <c r="Q1297" s="1"/>
      <c r="R1297" s="1"/>
    </row>
    <row r="1298" spans="4:18" x14ac:dyDescent="0.35">
      <c r="D1298" t="s">
        <v>2197</v>
      </c>
      <c r="E1298" t="s">
        <v>1082</v>
      </c>
      <c r="F1298" t="s">
        <v>938</v>
      </c>
      <c r="G1298" t="s">
        <v>1909</v>
      </c>
      <c r="I1298" t="s">
        <v>1082</v>
      </c>
      <c r="J1298" t="s">
        <v>938</v>
      </c>
      <c r="K1298" t="s">
        <v>2167</v>
      </c>
      <c r="O1298" s="1"/>
      <c r="P1298" s="1"/>
      <c r="Q1298" s="1"/>
      <c r="R1298" s="1"/>
    </row>
    <row r="1299" spans="4:18" x14ac:dyDescent="0.35">
      <c r="D1299" t="s">
        <v>149</v>
      </c>
      <c r="E1299" t="s">
        <v>1082</v>
      </c>
      <c r="F1299" t="s">
        <v>938</v>
      </c>
      <c r="G1299" t="s">
        <v>1909</v>
      </c>
      <c r="I1299" t="s">
        <v>1082</v>
      </c>
      <c r="J1299" t="s">
        <v>938</v>
      </c>
      <c r="K1299" t="s">
        <v>85</v>
      </c>
      <c r="O1299" s="1"/>
      <c r="P1299" s="1"/>
      <c r="Q1299" s="1"/>
      <c r="R1299" s="1"/>
    </row>
    <row r="1300" spans="4:18" x14ac:dyDescent="0.35">
      <c r="D1300" t="s">
        <v>149</v>
      </c>
      <c r="E1300" t="s">
        <v>1082</v>
      </c>
      <c r="F1300" t="s">
        <v>938</v>
      </c>
      <c r="G1300" t="s">
        <v>1909</v>
      </c>
      <c r="I1300" t="s">
        <v>1082</v>
      </c>
      <c r="J1300" t="s">
        <v>938</v>
      </c>
      <c r="K1300" t="s">
        <v>1929</v>
      </c>
      <c r="O1300" s="1"/>
      <c r="P1300" s="1"/>
      <c r="Q1300" s="1"/>
      <c r="R1300" s="1"/>
    </row>
    <row r="1301" spans="4:18" x14ac:dyDescent="0.35">
      <c r="D1301" t="s">
        <v>149</v>
      </c>
      <c r="E1301" t="s">
        <v>1082</v>
      </c>
      <c r="F1301" t="s">
        <v>938</v>
      </c>
      <c r="G1301" t="s">
        <v>1909</v>
      </c>
      <c r="I1301" t="s">
        <v>1082</v>
      </c>
      <c r="J1301" t="s">
        <v>938</v>
      </c>
      <c r="K1301" t="s">
        <v>29</v>
      </c>
      <c r="O1301" s="1"/>
      <c r="P1301" s="1"/>
      <c r="Q1301" s="1"/>
      <c r="R1301" s="1"/>
    </row>
    <row r="1302" spans="4:18" x14ac:dyDescent="0.35">
      <c r="D1302" t="s">
        <v>177</v>
      </c>
      <c r="E1302" t="s">
        <v>1081</v>
      </c>
      <c r="F1302" t="s">
        <v>956</v>
      </c>
      <c r="G1302" t="s">
        <v>1900</v>
      </c>
      <c r="I1302" t="s">
        <v>1082</v>
      </c>
      <c r="J1302" t="s">
        <v>938</v>
      </c>
      <c r="K1302" s="12" t="s">
        <v>1973</v>
      </c>
      <c r="O1302" s="1"/>
      <c r="P1302" s="1"/>
      <c r="Q1302" s="1"/>
      <c r="R1302" s="1"/>
    </row>
    <row r="1303" spans="4:18" x14ac:dyDescent="0.35">
      <c r="D1303" t="s">
        <v>1315</v>
      </c>
      <c r="E1303" t="s">
        <v>1082</v>
      </c>
      <c r="F1303" t="s">
        <v>938</v>
      </c>
      <c r="G1303" t="s">
        <v>1973</v>
      </c>
      <c r="I1303" t="s">
        <v>1308</v>
      </c>
      <c r="J1303" t="s">
        <v>938</v>
      </c>
      <c r="K1303" t="s">
        <v>2147</v>
      </c>
      <c r="O1303" s="1"/>
      <c r="P1303" s="1"/>
      <c r="Q1303" s="1"/>
      <c r="R1303" s="1"/>
    </row>
    <row r="1304" spans="4:18" x14ac:dyDescent="0.35">
      <c r="D1304" t="s">
        <v>146</v>
      </c>
      <c r="E1304" t="s">
        <v>1082</v>
      </c>
      <c r="F1304" t="s">
        <v>938</v>
      </c>
      <c r="G1304" t="s">
        <v>1973</v>
      </c>
      <c r="I1304" t="s">
        <v>1082</v>
      </c>
      <c r="J1304" t="s">
        <v>938</v>
      </c>
      <c r="K1304" t="s">
        <v>1969</v>
      </c>
      <c r="O1304" s="1"/>
      <c r="P1304" s="1"/>
      <c r="Q1304" s="1"/>
      <c r="R1304" s="1"/>
    </row>
    <row r="1305" spans="4:18" x14ac:dyDescent="0.35">
      <c r="D1305" t="s">
        <v>177</v>
      </c>
      <c r="E1305" t="s">
        <v>1081</v>
      </c>
      <c r="F1305" t="s">
        <v>956</v>
      </c>
      <c r="G1305" t="s">
        <v>1900</v>
      </c>
      <c r="I1305" t="s">
        <v>1082</v>
      </c>
      <c r="J1305" t="s">
        <v>938</v>
      </c>
      <c r="K1305" s="12" t="s">
        <v>2043</v>
      </c>
      <c r="O1305" s="1"/>
      <c r="P1305" s="1"/>
      <c r="Q1305" s="1"/>
      <c r="R1305" s="1"/>
    </row>
    <row r="1306" spans="4:18" x14ac:dyDescent="0.35">
      <c r="D1306" t="s">
        <v>177</v>
      </c>
      <c r="E1306" t="s">
        <v>1081</v>
      </c>
      <c r="F1306" t="s">
        <v>956</v>
      </c>
      <c r="G1306" t="s">
        <v>1900</v>
      </c>
      <c r="I1306" t="s">
        <v>1082</v>
      </c>
      <c r="J1306" t="s">
        <v>938</v>
      </c>
      <c r="K1306" s="12" t="s">
        <v>2022</v>
      </c>
      <c r="O1306" s="1"/>
      <c r="P1306" s="1"/>
      <c r="Q1306" s="1"/>
      <c r="R1306" s="1"/>
    </row>
    <row r="1307" spans="4:18" x14ac:dyDescent="0.35">
      <c r="D1307" t="s">
        <v>177</v>
      </c>
      <c r="E1307" t="s">
        <v>1081</v>
      </c>
      <c r="F1307" t="s">
        <v>956</v>
      </c>
      <c r="G1307" t="s">
        <v>1896</v>
      </c>
      <c r="I1307" t="s">
        <v>1082</v>
      </c>
      <c r="J1307" t="s">
        <v>938</v>
      </c>
      <c r="K1307" s="12" t="s">
        <v>1951</v>
      </c>
      <c r="O1307" s="1"/>
      <c r="P1307" s="1"/>
      <c r="Q1307" s="1"/>
      <c r="R1307" s="1"/>
    </row>
    <row r="1308" spans="4:18" x14ac:dyDescent="0.35">
      <c r="D1308" t="s">
        <v>149</v>
      </c>
      <c r="E1308" t="s">
        <v>1082</v>
      </c>
      <c r="F1308" t="s">
        <v>938</v>
      </c>
      <c r="G1308" t="s">
        <v>1951</v>
      </c>
      <c r="I1308" t="s">
        <v>1082</v>
      </c>
      <c r="J1308" t="s">
        <v>938</v>
      </c>
      <c r="K1308" t="s">
        <v>1940</v>
      </c>
      <c r="O1308" s="1"/>
      <c r="P1308" s="1"/>
      <c r="Q1308" s="1"/>
      <c r="R1308" s="1"/>
    </row>
    <row r="1309" spans="4:18" x14ac:dyDescent="0.35">
      <c r="D1309" t="s">
        <v>177</v>
      </c>
      <c r="E1309" t="s">
        <v>1081</v>
      </c>
      <c r="F1309" t="s">
        <v>956</v>
      </c>
      <c r="G1309" t="s">
        <v>1900</v>
      </c>
      <c r="I1309" t="s">
        <v>1082</v>
      </c>
      <c r="J1309" t="s">
        <v>938</v>
      </c>
      <c r="K1309" s="12" t="s">
        <v>2042</v>
      </c>
      <c r="O1309" s="1"/>
      <c r="P1309" s="1"/>
      <c r="Q1309" s="1"/>
      <c r="R1309" s="1"/>
    </row>
    <row r="1310" spans="4:18" x14ac:dyDescent="0.35">
      <c r="D1310" t="s">
        <v>177</v>
      </c>
      <c r="E1310" t="s">
        <v>1081</v>
      </c>
      <c r="F1310" t="s">
        <v>956</v>
      </c>
      <c r="G1310" t="s">
        <v>1900</v>
      </c>
      <c r="I1310" t="s">
        <v>1082</v>
      </c>
      <c r="J1310" t="s">
        <v>938</v>
      </c>
      <c r="K1310" s="12" t="s">
        <v>1914</v>
      </c>
      <c r="O1310" s="1"/>
      <c r="P1310" s="1"/>
      <c r="Q1310" s="1"/>
      <c r="R1310" s="1"/>
    </row>
    <row r="1311" spans="4:18" x14ac:dyDescent="0.35">
      <c r="D1311" t="s">
        <v>149</v>
      </c>
      <c r="E1311" t="s">
        <v>1082</v>
      </c>
      <c r="F1311" t="s">
        <v>938</v>
      </c>
      <c r="G1311" t="s">
        <v>1914</v>
      </c>
      <c r="I1311" t="s">
        <v>1082</v>
      </c>
      <c r="J1311" t="s">
        <v>938</v>
      </c>
      <c r="K1311" t="s">
        <v>85</v>
      </c>
      <c r="O1311" s="1"/>
      <c r="P1311" s="1"/>
      <c r="Q1311" s="1"/>
      <c r="R1311" s="1"/>
    </row>
    <row r="1312" spans="4:18" x14ac:dyDescent="0.35">
      <c r="D1312" t="s">
        <v>149</v>
      </c>
      <c r="E1312" t="s">
        <v>1082</v>
      </c>
      <c r="F1312" t="s">
        <v>938</v>
      </c>
      <c r="G1312" t="s">
        <v>1914</v>
      </c>
      <c r="I1312" t="s">
        <v>1082</v>
      </c>
      <c r="J1312" t="s">
        <v>938</v>
      </c>
      <c r="K1312" t="s">
        <v>1929</v>
      </c>
      <c r="O1312" s="1"/>
      <c r="P1312" s="1"/>
      <c r="Q1312" s="1"/>
      <c r="R1312" s="1"/>
    </row>
    <row r="1313" spans="4:18" x14ac:dyDescent="0.35">
      <c r="D1313" t="s">
        <v>149</v>
      </c>
      <c r="E1313" t="s">
        <v>1082</v>
      </c>
      <c r="F1313" t="s">
        <v>938</v>
      </c>
      <c r="G1313" t="s">
        <v>1914</v>
      </c>
      <c r="I1313" t="s">
        <v>1082</v>
      </c>
      <c r="J1313" t="s">
        <v>938</v>
      </c>
      <c r="K1313" t="s">
        <v>29</v>
      </c>
      <c r="O1313" s="1"/>
      <c r="P1313" s="1"/>
      <c r="Q1313" s="1"/>
      <c r="R1313" s="1"/>
    </row>
    <row r="1314" spans="4:18" x14ac:dyDescent="0.35">
      <c r="D1314" t="s">
        <v>177</v>
      </c>
      <c r="E1314" t="s">
        <v>1081</v>
      </c>
      <c r="F1314" t="s">
        <v>956</v>
      </c>
      <c r="G1314" t="s">
        <v>1900</v>
      </c>
      <c r="I1314" t="s">
        <v>1082</v>
      </c>
      <c r="J1314" t="s">
        <v>938</v>
      </c>
      <c r="K1314" s="12" t="s">
        <v>1919</v>
      </c>
      <c r="O1314" s="1"/>
      <c r="P1314" s="1"/>
      <c r="Q1314" s="1"/>
      <c r="R1314" s="1"/>
    </row>
    <row r="1315" spans="4:18" x14ac:dyDescent="0.35">
      <c r="D1315" t="s">
        <v>149</v>
      </c>
      <c r="E1315" t="s">
        <v>1082</v>
      </c>
      <c r="F1315" t="s">
        <v>938</v>
      </c>
      <c r="G1315" t="s">
        <v>1919</v>
      </c>
      <c r="I1315" t="s">
        <v>1082</v>
      </c>
      <c r="J1315" t="s">
        <v>938</v>
      </c>
      <c r="K1315" t="s">
        <v>85</v>
      </c>
      <c r="O1315" s="1"/>
      <c r="P1315" s="1"/>
      <c r="Q1315" s="1"/>
      <c r="R1315" s="1"/>
    </row>
    <row r="1316" spans="4:18" x14ac:dyDescent="0.35">
      <c r="D1316" t="s">
        <v>149</v>
      </c>
      <c r="E1316" t="s">
        <v>1082</v>
      </c>
      <c r="F1316" t="s">
        <v>938</v>
      </c>
      <c r="G1316" t="s">
        <v>1919</v>
      </c>
      <c r="I1316" t="s">
        <v>1082</v>
      </c>
      <c r="J1316" t="s">
        <v>938</v>
      </c>
      <c r="K1316" t="s">
        <v>1929</v>
      </c>
      <c r="O1316" s="1"/>
      <c r="P1316" s="1"/>
      <c r="Q1316" s="1"/>
      <c r="R1316" s="1"/>
    </row>
    <row r="1317" spans="4:18" x14ac:dyDescent="0.35">
      <c r="D1317" t="s">
        <v>149</v>
      </c>
      <c r="E1317" t="s">
        <v>1082</v>
      </c>
      <c r="F1317" t="s">
        <v>938</v>
      </c>
      <c r="G1317" t="s">
        <v>1919</v>
      </c>
      <c r="I1317" t="s">
        <v>1082</v>
      </c>
      <c r="J1317" t="s">
        <v>938</v>
      </c>
      <c r="K1317" t="s">
        <v>29</v>
      </c>
      <c r="O1317" s="1"/>
      <c r="P1317" s="1"/>
      <c r="Q1317" s="1"/>
      <c r="R1317" s="1"/>
    </row>
    <row r="1318" spans="4:18" x14ac:dyDescent="0.35">
      <c r="D1318" t="s">
        <v>149</v>
      </c>
      <c r="E1318" t="s">
        <v>1082</v>
      </c>
      <c r="F1318" t="s">
        <v>938</v>
      </c>
      <c r="G1318" t="s">
        <v>1919</v>
      </c>
      <c r="I1318" t="s">
        <v>1082</v>
      </c>
      <c r="J1318" t="s">
        <v>938</v>
      </c>
      <c r="K1318" t="s">
        <v>1973</v>
      </c>
      <c r="O1318" s="1"/>
      <c r="P1318" s="1"/>
      <c r="Q1318" s="1"/>
      <c r="R1318" s="1"/>
    </row>
    <row r="1319" spans="4:18" x14ac:dyDescent="0.35">
      <c r="D1319" t="s">
        <v>149</v>
      </c>
      <c r="E1319" t="s">
        <v>1082</v>
      </c>
      <c r="F1319" t="s">
        <v>938</v>
      </c>
      <c r="G1319" t="s">
        <v>1919</v>
      </c>
      <c r="I1319" t="s">
        <v>1082</v>
      </c>
      <c r="J1319" t="s">
        <v>938</v>
      </c>
      <c r="K1319" t="s">
        <v>1969</v>
      </c>
      <c r="O1319" s="1"/>
      <c r="P1319" s="1"/>
      <c r="Q1319" s="1"/>
      <c r="R1319" s="1"/>
    </row>
    <row r="1320" spans="4:18" x14ac:dyDescent="0.35">
      <c r="D1320" t="s">
        <v>177</v>
      </c>
      <c r="E1320" t="s">
        <v>1081</v>
      </c>
      <c r="F1320" t="s">
        <v>956</v>
      </c>
      <c r="G1320" t="s">
        <v>2154</v>
      </c>
      <c r="I1320" t="s">
        <v>1082</v>
      </c>
      <c r="J1320" t="s">
        <v>938</v>
      </c>
      <c r="K1320" s="12" t="s">
        <v>2129</v>
      </c>
      <c r="O1320" s="1"/>
      <c r="P1320" s="1"/>
      <c r="Q1320" s="1"/>
      <c r="R1320" s="1"/>
    </row>
    <row r="1321" spans="4:18" x14ac:dyDescent="0.35">
      <c r="D1321" t="s">
        <v>177</v>
      </c>
      <c r="E1321" t="s">
        <v>1081</v>
      </c>
      <c r="F1321" t="s">
        <v>956</v>
      </c>
      <c r="G1321" t="s">
        <v>1900</v>
      </c>
      <c r="I1321" t="s">
        <v>1082</v>
      </c>
      <c r="J1321" t="s">
        <v>938</v>
      </c>
      <c r="K1321" s="12" t="s">
        <v>1965</v>
      </c>
      <c r="O1321" s="1"/>
      <c r="P1321" s="1"/>
      <c r="Q1321" s="1"/>
      <c r="R1321" s="1"/>
    </row>
    <row r="1322" spans="4:18" x14ac:dyDescent="0.35">
      <c r="D1322" t="s">
        <v>2197</v>
      </c>
      <c r="E1322" t="s">
        <v>1082</v>
      </c>
      <c r="F1322" t="s">
        <v>938</v>
      </c>
      <c r="G1322" t="s">
        <v>1965</v>
      </c>
      <c r="I1322" t="s">
        <v>1082</v>
      </c>
      <c r="J1322" t="s">
        <v>938</v>
      </c>
      <c r="K1322" t="s">
        <v>2188</v>
      </c>
      <c r="O1322" s="1"/>
      <c r="P1322" s="1"/>
      <c r="Q1322" s="1"/>
      <c r="R1322" s="1"/>
    </row>
    <row r="1323" spans="4:18" x14ac:dyDescent="0.35">
      <c r="D1323" t="s">
        <v>2197</v>
      </c>
      <c r="E1323" t="s">
        <v>1082</v>
      </c>
      <c r="F1323" t="s">
        <v>938</v>
      </c>
      <c r="G1323" t="s">
        <v>1965</v>
      </c>
      <c r="I1323" t="s">
        <v>1082</v>
      </c>
      <c r="J1323" t="s">
        <v>938</v>
      </c>
      <c r="K1323" t="s">
        <v>2191</v>
      </c>
      <c r="O1323" s="1"/>
      <c r="P1323" s="1"/>
      <c r="Q1323" s="1"/>
      <c r="R1323" s="1"/>
    </row>
    <row r="1324" spans="4:18" x14ac:dyDescent="0.35">
      <c r="D1324" t="s">
        <v>149</v>
      </c>
      <c r="E1324" t="s">
        <v>1082</v>
      </c>
      <c r="F1324" t="s">
        <v>938</v>
      </c>
      <c r="G1324" t="s">
        <v>1965</v>
      </c>
      <c r="I1324" t="s">
        <v>1082</v>
      </c>
      <c r="J1324" t="s">
        <v>938</v>
      </c>
      <c r="K1324" t="s">
        <v>85</v>
      </c>
      <c r="O1324" s="1"/>
      <c r="P1324" s="1"/>
      <c r="Q1324" s="1"/>
      <c r="R1324" s="1"/>
    </row>
    <row r="1325" spans="4:18" x14ac:dyDescent="0.35">
      <c r="D1325" t="s">
        <v>177</v>
      </c>
      <c r="E1325" t="s">
        <v>1081</v>
      </c>
      <c r="F1325" t="s">
        <v>956</v>
      </c>
      <c r="G1325" t="s">
        <v>1900</v>
      </c>
      <c r="I1325" t="s">
        <v>1082</v>
      </c>
      <c r="J1325" t="s">
        <v>938</v>
      </c>
      <c r="K1325" s="12" t="s">
        <v>1962</v>
      </c>
      <c r="O1325" s="1"/>
      <c r="P1325" s="1"/>
      <c r="Q1325" s="1"/>
      <c r="R1325" s="1"/>
    </row>
    <row r="1326" spans="4:18" x14ac:dyDescent="0.35">
      <c r="D1326" t="s">
        <v>149</v>
      </c>
      <c r="E1326" t="s">
        <v>1082</v>
      </c>
      <c r="F1326" t="s">
        <v>938</v>
      </c>
      <c r="G1326" t="s">
        <v>1962</v>
      </c>
      <c r="I1326" t="s">
        <v>1082</v>
      </c>
      <c r="J1326" t="s">
        <v>938</v>
      </c>
      <c r="K1326" t="s">
        <v>85</v>
      </c>
      <c r="O1326" s="1"/>
      <c r="P1326" s="1"/>
      <c r="Q1326" s="1"/>
      <c r="R1326" s="1"/>
    </row>
    <row r="1327" spans="4:18" x14ac:dyDescent="0.35">
      <c r="D1327" t="s">
        <v>177</v>
      </c>
      <c r="E1327" t="s">
        <v>1081</v>
      </c>
      <c r="F1327" t="s">
        <v>956</v>
      </c>
      <c r="G1327" t="s">
        <v>1900</v>
      </c>
      <c r="I1327" t="s">
        <v>1082</v>
      </c>
      <c r="J1327" t="s">
        <v>938</v>
      </c>
      <c r="K1327" s="12" t="s">
        <v>1966</v>
      </c>
      <c r="O1327" s="1"/>
      <c r="P1327" s="1"/>
      <c r="Q1327" s="1"/>
      <c r="R1327" s="1"/>
    </row>
    <row r="1328" spans="4:18" x14ac:dyDescent="0.35">
      <c r="D1328" t="s">
        <v>149</v>
      </c>
      <c r="E1328" t="s">
        <v>1082</v>
      </c>
      <c r="F1328" t="s">
        <v>938</v>
      </c>
      <c r="G1328" t="s">
        <v>1966</v>
      </c>
      <c r="I1328" t="s">
        <v>1082</v>
      </c>
      <c r="J1328" t="s">
        <v>938</v>
      </c>
      <c r="K1328" t="s">
        <v>85</v>
      </c>
      <c r="O1328" s="1"/>
      <c r="P1328" s="1"/>
      <c r="Q1328" s="1"/>
      <c r="R1328" s="1"/>
    </row>
    <row r="1329" spans="4:18" x14ac:dyDescent="0.35">
      <c r="D1329" t="s">
        <v>177</v>
      </c>
      <c r="E1329" t="s">
        <v>1081</v>
      </c>
      <c r="F1329" t="s">
        <v>956</v>
      </c>
      <c r="G1329" t="s">
        <v>1900</v>
      </c>
      <c r="I1329" t="s">
        <v>1082</v>
      </c>
      <c r="J1329" t="s">
        <v>938</v>
      </c>
      <c r="K1329" s="12" t="s">
        <v>1967</v>
      </c>
      <c r="O1329" s="1"/>
      <c r="P1329" s="1"/>
      <c r="Q1329" s="1"/>
      <c r="R1329" s="1"/>
    </row>
    <row r="1330" spans="4:18" x14ac:dyDescent="0.35">
      <c r="D1330" t="s">
        <v>149</v>
      </c>
      <c r="E1330" t="s">
        <v>1082</v>
      </c>
      <c r="F1330" t="s">
        <v>938</v>
      </c>
      <c r="G1330" t="s">
        <v>1967</v>
      </c>
      <c r="I1330" t="s">
        <v>1082</v>
      </c>
      <c r="J1330" t="s">
        <v>938</v>
      </c>
      <c r="K1330" t="s">
        <v>85</v>
      </c>
      <c r="O1330" s="1"/>
      <c r="P1330" s="1"/>
      <c r="Q1330" s="1"/>
      <c r="R1330" s="1"/>
    </row>
    <row r="1331" spans="4:18" x14ac:dyDescent="0.35">
      <c r="D1331" t="s">
        <v>149</v>
      </c>
      <c r="E1331" t="s">
        <v>1082</v>
      </c>
      <c r="F1331" t="s">
        <v>938</v>
      </c>
      <c r="G1331" t="s">
        <v>1967</v>
      </c>
      <c r="I1331" t="s">
        <v>1082</v>
      </c>
      <c r="J1331" t="s">
        <v>938</v>
      </c>
      <c r="K1331" t="s">
        <v>1973</v>
      </c>
      <c r="O1331" s="1"/>
      <c r="P1331" s="1"/>
      <c r="Q1331" s="1"/>
      <c r="R1331" s="1"/>
    </row>
    <row r="1332" spans="4:18" x14ac:dyDescent="0.35">
      <c r="D1332" t="s">
        <v>177</v>
      </c>
      <c r="E1332" t="s">
        <v>1081</v>
      </c>
      <c r="F1332" t="s">
        <v>956</v>
      </c>
      <c r="G1332" t="s">
        <v>1900</v>
      </c>
      <c r="I1332" t="s">
        <v>1082</v>
      </c>
      <c r="J1332" t="s">
        <v>938</v>
      </c>
      <c r="K1332" s="12" t="s">
        <v>1924</v>
      </c>
      <c r="O1332" s="1"/>
      <c r="P1332" s="1"/>
      <c r="Q1332" s="1"/>
      <c r="R1332" s="1"/>
    </row>
    <row r="1333" spans="4:18" x14ac:dyDescent="0.35">
      <c r="D1333" t="s">
        <v>149</v>
      </c>
      <c r="E1333" t="s">
        <v>1082</v>
      </c>
      <c r="F1333" t="s">
        <v>938</v>
      </c>
      <c r="G1333" t="s">
        <v>1924</v>
      </c>
      <c r="I1333" t="s">
        <v>1082</v>
      </c>
      <c r="J1333" t="s">
        <v>938</v>
      </c>
      <c r="K1333" t="s">
        <v>85</v>
      </c>
      <c r="O1333" s="1"/>
      <c r="P1333" s="1"/>
      <c r="Q1333" s="1"/>
      <c r="R1333" s="1"/>
    </row>
    <row r="1334" spans="4:18" x14ac:dyDescent="0.35">
      <c r="D1334" t="s">
        <v>149</v>
      </c>
      <c r="E1334" t="s">
        <v>1082</v>
      </c>
      <c r="F1334" t="s">
        <v>938</v>
      </c>
      <c r="G1334" t="s">
        <v>1924</v>
      </c>
      <c r="I1334" t="s">
        <v>1082</v>
      </c>
      <c r="J1334" t="s">
        <v>938</v>
      </c>
      <c r="K1334" t="s">
        <v>1940</v>
      </c>
      <c r="O1334" s="1"/>
      <c r="P1334" s="1"/>
      <c r="Q1334" s="1"/>
      <c r="R1334" s="1"/>
    </row>
    <row r="1335" spans="4:18" x14ac:dyDescent="0.35">
      <c r="D1335" t="s">
        <v>149</v>
      </c>
      <c r="E1335" t="s">
        <v>1082</v>
      </c>
      <c r="F1335" t="s">
        <v>938</v>
      </c>
      <c r="G1335" t="s">
        <v>1924</v>
      </c>
      <c r="I1335" t="s">
        <v>1082</v>
      </c>
      <c r="J1335" t="s">
        <v>938</v>
      </c>
      <c r="K1335" t="s">
        <v>1929</v>
      </c>
      <c r="O1335" s="1"/>
      <c r="P1335" s="1"/>
      <c r="Q1335" s="1"/>
      <c r="R1335" s="1"/>
    </row>
    <row r="1336" spans="4:18" x14ac:dyDescent="0.35">
      <c r="D1336" t="s">
        <v>149</v>
      </c>
      <c r="E1336" t="s">
        <v>1082</v>
      </c>
      <c r="F1336" t="s">
        <v>938</v>
      </c>
      <c r="G1336" t="s">
        <v>1924</v>
      </c>
      <c r="I1336" t="s">
        <v>1082</v>
      </c>
      <c r="J1336" t="s">
        <v>938</v>
      </c>
      <c r="K1336" t="s">
        <v>29</v>
      </c>
      <c r="O1336" s="1"/>
      <c r="P1336" s="1"/>
      <c r="Q1336" s="1"/>
      <c r="R1336" s="1"/>
    </row>
    <row r="1337" spans="4:18" x14ac:dyDescent="0.35">
      <c r="D1337" t="s">
        <v>177</v>
      </c>
      <c r="E1337" t="s">
        <v>1081</v>
      </c>
      <c r="F1337" t="s">
        <v>956</v>
      </c>
      <c r="G1337" t="s">
        <v>1900</v>
      </c>
      <c r="I1337" t="s">
        <v>1082</v>
      </c>
      <c r="J1337" t="s">
        <v>938</v>
      </c>
      <c r="K1337" s="12" t="s">
        <v>1950</v>
      </c>
      <c r="O1337" s="1"/>
      <c r="P1337" s="1"/>
      <c r="Q1337" s="1"/>
      <c r="R1337" s="1"/>
    </row>
    <row r="1338" spans="4:18" x14ac:dyDescent="0.35">
      <c r="D1338" t="s">
        <v>146</v>
      </c>
      <c r="E1338" t="s">
        <v>1082</v>
      </c>
      <c r="F1338" t="s">
        <v>938</v>
      </c>
      <c r="G1338" t="s">
        <v>1950</v>
      </c>
      <c r="I1338" t="s">
        <v>1082</v>
      </c>
      <c r="J1338" t="s">
        <v>938</v>
      </c>
      <c r="K1338" t="s">
        <v>1940</v>
      </c>
      <c r="O1338" s="1"/>
      <c r="P1338" s="1"/>
      <c r="Q1338" s="1"/>
      <c r="R1338" s="1"/>
    </row>
    <row r="1339" spans="4:18" x14ac:dyDescent="0.35">
      <c r="D1339" t="s">
        <v>177</v>
      </c>
      <c r="E1339" t="s">
        <v>1081</v>
      </c>
      <c r="F1339" t="s">
        <v>956</v>
      </c>
      <c r="G1339" t="s">
        <v>1900</v>
      </c>
      <c r="I1339" t="s">
        <v>1082</v>
      </c>
      <c r="J1339" t="s">
        <v>938</v>
      </c>
      <c r="K1339" s="12" t="s">
        <v>1961</v>
      </c>
      <c r="O1339" s="1"/>
      <c r="P1339" s="1"/>
      <c r="Q1339" s="1"/>
      <c r="R1339" s="1"/>
    </row>
    <row r="1340" spans="4:18" x14ac:dyDescent="0.35">
      <c r="D1340" t="s">
        <v>1315</v>
      </c>
      <c r="E1340" t="s">
        <v>1082</v>
      </c>
      <c r="F1340" t="s">
        <v>938</v>
      </c>
      <c r="G1340" t="s">
        <v>1961</v>
      </c>
      <c r="I1340" t="s">
        <v>1308</v>
      </c>
      <c r="J1340" t="s">
        <v>938</v>
      </c>
      <c r="K1340" t="s">
        <v>1890</v>
      </c>
      <c r="O1340" s="1"/>
      <c r="P1340" s="1"/>
      <c r="Q1340" s="1"/>
      <c r="R1340" s="1"/>
    </row>
    <row r="1341" spans="4:18" x14ac:dyDescent="0.35">
      <c r="D1341" t="s">
        <v>146</v>
      </c>
      <c r="E1341" t="s">
        <v>1082</v>
      </c>
      <c r="F1341" t="s">
        <v>938</v>
      </c>
      <c r="G1341" t="s">
        <v>1961</v>
      </c>
      <c r="I1341" t="s">
        <v>1082</v>
      </c>
      <c r="J1341" t="s">
        <v>938</v>
      </c>
      <c r="K1341" t="s">
        <v>85</v>
      </c>
      <c r="O1341" s="1"/>
      <c r="P1341" s="1"/>
      <c r="Q1341" s="1"/>
      <c r="R1341" s="1"/>
    </row>
    <row r="1342" spans="4:18" x14ac:dyDescent="0.35">
      <c r="D1342" t="s">
        <v>146</v>
      </c>
      <c r="E1342" t="s">
        <v>1082</v>
      </c>
      <c r="F1342" t="s">
        <v>938</v>
      </c>
      <c r="G1342" t="s">
        <v>1961</v>
      </c>
      <c r="I1342" t="s">
        <v>1082</v>
      </c>
      <c r="J1342" t="s">
        <v>938</v>
      </c>
      <c r="K1342" t="s">
        <v>2021</v>
      </c>
      <c r="O1342" s="1"/>
      <c r="P1342" s="1"/>
      <c r="Q1342" s="1"/>
      <c r="R1342" s="1"/>
    </row>
    <row r="1343" spans="4:18" x14ac:dyDescent="0.35">
      <c r="D1343" t="s">
        <v>146</v>
      </c>
      <c r="E1343" t="s">
        <v>1082</v>
      </c>
      <c r="F1343" t="s">
        <v>938</v>
      </c>
      <c r="G1343" t="s">
        <v>1961</v>
      </c>
      <c r="I1343" t="s">
        <v>1082</v>
      </c>
      <c r="J1343" t="s">
        <v>938</v>
      </c>
      <c r="K1343" t="s">
        <v>2022</v>
      </c>
      <c r="O1343" s="1"/>
      <c r="P1343" s="1"/>
      <c r="Q1343" s="1"/>
      <c r="R1343" s="1"/>
    </row>
    <row r="1344" spans="4:18" x14ac:dyDescent="0.35">
      <c r="D1344" t="s">
        <v>149</v>
      </c>
      <c r="E1344" t="s">
        <v>1082</v>
      </c>
      <c r="F1344" t="s">
        <v>938</v>
      </c>
      <c r="G1344" t="s">
        <v>1961</v>
      </c>
      <c r="I1344" t="s">
        <v>1082</v>
      </c>
      <c r="J1344" t="s">
        <v>938</v>
      </c>
      <c r="K1344" t="s">
        <v>2023</v>
      </c>
      <c r="O1344" s="1"/>
      <c r="P1344" s="1"/>
      <c r="Q1344" s="1"/>
      <c r="R1344" s="1"/>
    </row>
    <row r="1345" spans="4:18" x14ac:dyDescent="0.35">
      <c r="D1345" t="s">
        <v>149</v>
      </c>
      <c r="E1345" t="s">
        <v>1082</v>
      </c>
      <c r="F1345" t="s">
        <v>938</v>
      </c>
      <c r="G1345" t="s">
        <v>1961</v>
      </c>
      <c r="I1345" t="s">
        <v>1082</v>
      </c>
      <c r="J1345" t="s">
        <v>938</v>
      </c>
      <c r="K1345" t="s">
        <v>1949</v>
      </c>
      <c r="O1345" s="1"/>
      <c r="P1345" s="1"/>
      <c r="Q1345" s="1"/>
      <c r="R1345" s="1"/>
    </row>
    <row r="1346" spans="4:18" x14ac:dyDescent="0.35">
      <c r="D1346" t="s">
        <v>177</v>
      </c>
      <c r="E1346" t="s">
        <v>1081</v>
      </c>
      <c r="F1346" t="s">
        <v>956</v>
      </c>
      <c r="G1346" t="s">
        <v>1900</v>
      </c>
      <c r="I1346" t="s">
        <v>1082</v>
      </c>
      <c r="J1346" t="s">
        <v>938</v>
      </c>
      <c r="K1346" s="12" t="s">
        <v>1955</v>
      </c>
      <c r="O1346" s="1"/>
      <c r="P1346" s="1"/>
      <c r="Q1346" s="1"/>
      <c r="R1346" s="1"/>
    </row>
    <row r="1347" spans="4:18" x14ac:dyDescent="0.35">
      <c r="D1347" t="s">
        <v>149</v>
      </c>
      <c r="E1347" t="s">
        <v>1082</v>
      </c>
      <c r="F1347" t="s">
        <v>938</v>
      </c>
      <c r="G1347" t="s">
        <v>1955</v>
      </c>
      <c r="I1347" t="s">
        <v>1082</v>
      </c>
      <c r="J1347" t="s">
        <v>938</v>
      </c>
      <c r="K1347" t="s">
        <v>85</v>
      </c>
      <c r="O1347" s="1"/>
      <c r="P1347" s="1"/>
      <c r="Q1347" s="1"/>
      <c r="R1347" s="1"/>
    </row>
    <row r="1348" spans="4:18" x14ac:dyDescent="0.35">
      <c r="D1348" t="s">
        <v>149</v>
      </c>
      <c r="E1348" t="s">
        <v>1082</v>
      </c>
      <c r="F1348" t="s">
        <v>938</v>
      </c>
      <c r="G1348" t="s">
        <v>1955</v>
      </c>
      <c r="I1348" t="s">
        <v>1082</v>
      </c>
      <c r="J1348" t="s">
        <v>938</v>
      </c>
      <c r="K1348" t="s">
        <v>2044</v>
      </c>
      <c r="O1348" s="1"/>
      <c r="P1348" s="1"/>
      <c r="Q1348" s="1"/>
      <c r="R1348" s="1"/>
    </row>
    <row r="1349" spans="4:18" x14ac:dyDescent="0.35">
      <c r="D1349" t="s">
        <v>149</v>
      </c>
      <c r="E1349" t="s">
        <v>1082</v>
      </c>
      <c r="F1349" t="s">
        <v>938</v>
      </c>
      <c r="G1349" t="s">
        <v>1955</v>
      </c>
      <c r="I1349" t="s">
        <v>1082</v>
      </c>
      <c r="J1349" t="s">
        <v>938</v>
      </c>
      <c r="K1349" t="s">
        <v>1938</v>
      </c>
      <c r="O1349" s="1"/>
      <c r="P1349" s="1"/>
      <c r="Q1349" s="1"/>
      <c r="R1349" s="1"/>
    </row>
    <row r="1350" spans="4:18" x14ac:dyDescent="0.35">
      <c r="D1350" t="s">
        <v>149</v>
      </c>
      <c r="E1350" t="s">
        <v>1082</v>
      </c>
      <c r="F1350" t="s">
        <v>938</v>
      </c>
      <c r="G1350" t="s">
        <v>1955</v>
      </c>
      <c r="I1350" t="s">
        <v>1082</v>
      </c>
      <c r="J1350" t="s">
        <v>938</v>
      </c>
      <c r="K1350" t="s">
        <v>2021</v>
      </c>
      <c r="O1350" s="1"/>
      <c r="P1350" s="1"/>
      <c r="Q1350" s="1"/>
      <c r="R1350" s="1"/>
    </row>
    <row r="1351" spans="4:18" x14ac:dyDescent="0.35">
      <c r="D1351" t="s">
        <v>149</v>
      </c>
      <c r="E1351" t="s">
        <v>1082</v>
      </c>
      <c r="F1351" t="s">
        <v>938</v>
      </c>
      <c r="G1351" t="s">
        <v>1955</v>
      </c>
      <c r="I1351" t="s">
        <v>1082</v>
      </c>
      <c r="J1351" t="s">
        <v>938</v>
      </c>
      <c r="K1351" t="s">
        <v>2023</v>
      </c>
      <c r="O1351" s="1"/>
      <c r="P1351" s="1"/>
      <c r="Q1351" s="1"/>
      <c r="R1351" s="1"/>
    </row>
    <row r="1352" spans="4:18" x14ac:dyDescent="0.35">
      <c r="D1352" t="s">
        <v>149</v>
      </c>
      <c r="E1352" t="s">
        <v>1082</v>
      </c>
      <c r="F1352" t="s">
        <v>938</v>
      </c>
      <c r="G1352" t="s">
        <v>1955</v>
      </c>
      <c r="I1352" t="s">
        <v>1082</v>
      </c>
      <c r="J1352" t="s">
        <v>938</v>
      </c>
      <c r="K1352" t="s">
        <v>1964</v>
      </c>
      <c r="O1352" s="1"/>
      <c r="P1352" s="1"/>
      <c r="Q1352" s="1"/>
      <c r="R1352" s="1"/>
    </row>
    <row r="1353" spans="4:18" x14ac:dyDescent="0.35">
      <c r="D1353" t="s">
        <v>149</v>
      </c>
      <c r="E1353" t="s">
        <v>1082</v>
      </c>
      <c r="F1353" t="s">
        <v>938</v>
      </c>
      <c r="G1353" t="s">
        <v>1955</v>
      </c>
      <c r="I1353" t="s">
        <v>1082</v>
      </c>
      <c r="J1353" t="s">
        <v>938</v>
      </c>
      <c r="K1353" t="s">
        <v>2043</v>
      </c>
      <c r="O1353" s="1"/>
      <c r="P1353" s="1"/>
      <c r="Q1353" s="1"/>
      <c r="R1353" s="1"/>
    </row>
    <row r="1354" spans="4:18" x14ac:dyDescent="0.35">
      <c r="D1354" t="s">
        <v>149</v>
      </c>
      <c r="E1354" t="s">
        <v>1082</v>
      </c>
      <c r="F1354" t="s">
        <v>938</v>
      </c>
      <c r="G1354" t="s">
        <v>1955</v>
      </c>
      <c r="I1354" t="s">
        <v>1082</v>
      </c>
      <c r="J1354" t="s">
        <v>938</v>
      </c>
      <c r="K1354" t="s">
        <v>2042</v>
      </c>
      <c r="O1354" s="1"/>
      <c r="P1354" s="1"/>
      <c r="Q1354" s="1"/>
      <c r="R1354" s="1"/>
    </row>
    <row r="1355" spans="4:18" x14ac:dyDescent="0.35">
      <c r="D1355" t="s">
        <v>177</v>
      </c>
      <c r="E1355" t="s">
        <v>1081</v>
      </c>
      <c r="F1355" t="s">
        <v>956</v>
      </c>
      <c r="G1355" t="s">
        <v>1900</v>
      </c>
      <c r="I1355" t="s">
        <v>1082</v>
      </c>
      <c r="J1355" t="s">
        <v>938</v>
      </c>
      <c r="K1355" s="12" t="s">
        <v>1983</v>
      </c>
      <c r="O1355" s="1"/>
      <c r="P1355" s="1"/>
      <c r="Q1355" s="1"/>
      <c r="R1355" s="1"/>
    </row>
    <row r="1356" spans="4:18" x14ac:dyDescent="0.35">
      <c r="D1356" t="s">
        <v>149</v>
      </c>
      <c r="E1356" t="s">
        <v>1082</v>
      </c>
      <c r="F1356" t="s">
        <v>938</v>
      </c>
      <c r="G1356" t="s">
        <v>1983</v>
      </c>
      <c r="I1356" t="s">
        <v>1082</v>
      </c>
      <c r="J1356" t="s">
        <v>938</v>
      </c>
      <c r="K1356" t="s">
        <v>1949</v>
      </c>
      <c r="O1356" s="1"/>
      <c r="P1356" s="1"/>
      <c r="Q1356" s="1"/>
      <c r="R1356" s="1"/>
    </row>
    <row r="1357" spans="4:18" x14ac:dyDescent="0.35">
      <c r="D1357" t="s">
        <v>177</v>
      </c>
      <c r="E1357" t="s">
        <v>1081</v>
      </c>
      <c r="F1357" t="s">
        <v>956</v>
      </c>
      <c r="G1357" t="s">
        <v>1900</v>
      </c>
      <c r="I1357" t="s">
        <v>1082</v>
      </c>
      <c r="J1357" t="s">
        <v>938</v>
      </c>
      <c r="K1357" s="12" t="s">
        <v>148</v>
      </c>
      <c r="O1357" s="1"/>
      <c r="P1357" s="1"/>
      <c r="Q1357" s="1"/>
      <c r="R1357" s="1"/>
    </row>
    <row r="1358" spans="4:18" x14ac:dyDescent="0.35">
      <c r="D1358" t="s">
        <v>1315</v>
      </c>
      <c r="E1358" t="s">
        <v>1082</v>
      </c>
      <c r="F1358" t="s">
        <v>938</v>
      </c>
      <c r="G1358" t="s">
        <v>148</v>
      </c>
      <c r="I1358" t="s">
        <v>1308</v>
      </c>
      <c r="J1358" t="s">
        <v>938</v>
      </c>
      <c r="K1358" t="s">
        <v>156</v>
      </c>
      <c r="O1358" s="1"/>
      <c r="P1358" s="1"/>
      <c r="Q1358" s="1"/>
      <c r="R1358" s="1"/>
    </row>
    <row r="1359" spans="4:18" x14ac:dyDescent="0.35">
      <c r="D1359" t="s">
        <v>2197</v>
      </c>
      <c r="E1359" t="s">
        <v>1082</v>
      </c>
      <c r="F1359" t="s">
        <v>938</v>
      </c>
      <c r="G1359" t="s">
        <v>148</v>
      </c>
      <c r="I1359" t="s">
        <v>1082</v>
      </c>
      <c r="J1359" t="s">
        <v>938</v>
      </c>
      <c r="K1359" t="s">
        <v>29</v>
      </c>
      <c r="O1359" s="1"/>
      <c r="P1359" s="1"/>
      <c r="Q1359" s="1"/>
      <c r="R1359" s="1"/>
    </row>
    <row r="1360" spans="4:18" x14ac:dyDescent="0.35">
      <c r="D1360" t="s">
        <v>2197</v>
      </c>
      <c r="E1360" t="s">
        <v>1082</v>
      </c>
      <c r="F1360" t="s">
        <v>938</v>
      </c>
      <c r="G1360" t="s">
        <v>148</v>
      </c>
      <c r="I1360" t="s">
        <v>1082</v>
      </c>
      <c r="J1360" t="s">
        <v>938</v>
      </c>
      <c r="K1360" t="s">
        <v>1929</v>
      </c>
      <c r="O1360" s="1"/>
      <c r="P1360" s="1"/>
      <c r="Q1360" s="1"/>
      <c r="R1360" s="1"/>
    </row>
    <row r="1361" spans="4:18" x14ac:dyDescent="0.35">
      <c r="D1361" t="s">
        <v>2197</v>
      </c>
      <c r="E1361" t="s">
        <v>1082</v>
      </c>
      <c r="F1361" t="s">
        <v>938</v>
      </c>
      <c r="G1361" t="s">
        <v>148</v>
      </c>
      <c r="I1361" t="s">
        <v>1082</v>
      </c>
      <c r="J1361" t="s">
        <v>938</v>
      </c>
      <c r="K1361" t="s">
        <v>1969</v>
      </c>
      <c r="O1361" s="1"/>
      <c r="P1361" s="1"/>
      <c r="Q1361" s="1"/>
      <c r="R1361" s="1"/>
    </row>
    <row r="1362" spans="4:18" x14ac:dyDescent="0.35">
      <c r="D1362" t="s">
        <v>146</v>
      </c>
      <c r="E1362" t="s">
        <v>1082</v>
      </c>
      <c r="F1362" t="s">
        <v>938</v>
      </c>
      <c r="G1362" t="s">
        <v>148</v>
      </c>
      <c r="I1362" t="s">
        <v>1082</v>
      </c>
      <c r="J1362" t="s">
        <v>938</v>
      </c>
      <c r="K1362" t="s">
        <v>1919</v>
      </c>
      <c r="O1362" s="1"/>
      <c r="P1362" s="1"/>
      <c r="Q1362" s="1"/>
      <c r="R1362" s="1"/>
    </row>
    <row r="1363" spans="4:18" x14ac:dyDescent="0.35">
      <c r="D1363" t="s">
        <v>146</v>
      </c>
      <c r="E1363" t="s">
        <v>1082</v>
      </c>
      <c r="F1363" t="s">
        <v>938</v>
      </c>
      <c r="G1363" t="s">
        <v>148</v>
      </c>
      <c r="I1363" t="s">
        <v>1082</v>
      </c>
      <c r="J1363" t="s">
        <v>938</v>
      </c>
      <c r="K1363" t="s">
        <v>2132</v>
      </c>
      <c r="O1363" s="1"/>
      <c r="P1363" s="1"/>
      <c r="Q1363" s="1"/>
      <c r="R1363" s="1"/>
    </row>
    <row r="1364" spans="4:18" x14ac:dyDescent="0.35">
      <c r="D1364" t="s">
        <v>149</v>
      </c>
      <c r="E1364" t="s">
        <v>1082</v>
      </c>
      <c r="F1364" t="s">
        <v>938</v>
      </c>
      <c r="G1364" t="s">
        <v>148</v>
      </c>
      <c r="I1364" t="s">
        <v>1082</v>
      </c>
      <c r="J1364" t="s">
        <v>938</v>
      </c>
      <c r="K1364" t="s">
        <v>1950</v>
      </c>
      <c r="O1364" s="1"/>
      <c r="P1364" s="1"/>
      <c r="Q1364" s="1"/>
      <c r="R1364" s="1"/>
    </row>
    <row r="1365" spans="4:18" x14ac:dyDescent="0.35">
      <c r="D1365" t="s">
        <v>149</v>
      </c>
      <c r="E1365" t="s">
        <v>1082</v>
      </c>
      <c r="F1365" t="s">
        <v>938</v>
      </c>
      <c r="G1365" t="s">
        <v>148</v>
      </c>
      <c r="I1365" t="s">
        <v>1082</v>
      </c>
      <c r="J1365" t="s">
        <v>938</v>
      </c>
      <c r="K1365" t="s">
        <v>1965</v>
      </c>
      <c r="O1365" s="1"/>
      <c r="P1365" s="1"/>
      <c r="Q1365" s="1"/>
      <c r="R1365" s="1"/>
    </row>
    <row r="1366" spans="4:18" x14ac:dyDescent="0.35">
      <c r="D1366" t="s">
        <v>149</v>
      </c>
      <c r="E1366" t="s">
        <v>1082</v>
      </c>
      <c r="F1366" t="s">
        <v>938</v>
      </c>
      <c r="G1366" t="s">
        <v>148</v>
      </c>
      <c r="I1366" t="s">
        <v>1082</v>
      </c>
      <c r="J1366" t="s">
        <v>938</v>
      </c>
      <c r="K1366" t="s">
        <v>2129</v>
      </c>
      <c r="O1366" s="1"/>
      <c r="P1366" s="1"/>
      <c r="Q1366" s="1"/>
      <c r="R1366" s="1"/>
    </row>
    <row r="1367" spans="4:18" x14ac:dyDescent="0.35">
      <c r="D1367" t="s">
        <v>149</v>
      </c>
      <c r="E1367" t="s">
        <v>1082</v>
      </c>
      <c r="F1367" t="s">
        <v>938</v>
      </c>
      <c r="G1367" t="s">
        <v>148</v>
      </c>
      <c r="I1367" t="s">
        <v>1082</v>
      </c>
      <c r="J1367" t="s">
        <v>938</v>
      </c>
      <c r="K1367" t="s">
        <v>1914</v>
      </c>
      <c r="O1367" s="1"/>
      <c r="P1367" s="1"/>
      <c r="Q1367" s="1"/>
      <c r="R1367" s="1"/>
    </row>
    <row r="1368" spans="4:18" x14ac:dyDescent="0.35">
      <c r="D1368" t="s">
        <v>149</v>
      </c>
      <c r="E1368" t="s">
        <v>1082</v>
      </c>
      <c r="F1368" t="s">
        <v>938</v>
      </c>
      <c r="G1368" t="s">
        <v>148</v>
      </c>
      <c r="I1368" t="s">
        <v>1082</v>
      </c>
      <c r="J1368" t="s">
        <v>938</v>
      </c>
      <c r="K1368" t="s">
        <v>142</v>
      </c>
      <c r="O1368" s="1"/>
      <c r="P1368" s="1"/>
      <c r="Q1368" s="1"/>
      <c r="R1368" s="1"/>
    </row>
    <row r="1369" spans="4:18" x14ac:dyDescent="0.35">
      <c r="D1369" t="s">
        <v>149</v>
      </c>
      <c r="E1369" t="s">
        <v>1082</v>
      </c>
      <c r="F1369" t="s">
        <v>938</v>
      </c>
      <c r="G1369" t="s">
        <v>148</v>
      </c>
      <c r="I1369" t="s">
        <v>1082</v>
      </c>
      <c r="J1369" t="s">
        <v>938</v>
      </c>
      <c r="K1369" t="s">
        <v>0</v>
      </c>
      <c r="O1369" s="1"/>
      <c r="P1369" s="1"/>
      <c r="Q1369" s="1"/>
      <c r="R1369" s="1"/>
    </row>
    <row r="1370" spans="4:18" x14ac:dyDescent="0.35">
      <c r="D1370" t="s">
        <v>149</v>
      </c>
      <c r="E1370" t="s">
        <v>1082</v>
      </c>
      <c r="F1370" t="s">
        <v>938</v>
      </c>
      <c r="G1370" t="s">
        <v>148</v>
      </c>
      <c r="I1370" t="s">
        <v>1082</v>
      </c>
      <c r="J1370" t="s">
        <v>938</v>
      </c>
      <c r="K1370" t="s">
        <v>1973</v>
      </c>
      <c r="O1370" s="1"/>
      <c r="P1370" s="1"/>
      <c r="Q1370" s="1"/>
      <c r="R1370" s="1"/>
    </row>
    <row r="1371" spans="4:18" x14ac:dyDescent="0.35">
      <c r="D1371" t="s">
        <v>149</v>
      </c>
      <c r="E1371" t="s">
        <v>1082</v>
      </c>
      <c r="F1371" t="s">
        <v>938</v>
      </c>
      <c r="G1371" t="s">
        <v>148</v>
      </c>
      <c r="I1371" t="s">
        <v>1082</v>
      </c>
      <c r="J1371" t="s">
        <v>938</v>
      </c>
      <c r="K1371" t="s">
        <v>1909</v>
      </c>
      <c r="O1371" s="1"/>
      <c r="P1371" s="1"/>
      <c r="Q1371" s="1"/>
      <c r="R1371" s="1"/>
    </row>
    <row r="1372" spans="4:18" x14ac:dyDescent="0.35">
      <c r="D1372" t="s">
        <v>149</v>
      </c>
      <c r="E1372" t="s">
        <v>1082</v>
      </c>
      <c r="F1372" t="s">
        <v>938</v>
      </c>
      <c r="G1372" t="s">
        <v>148</v>
      </c>
      <c r="I1372" t="s">
        <v>1082</v>
      </c>
      <c r="J1372" t="s">
        <v>938</v>
      </c>
      <c r="K1372" t="s">
        <v>1964</v>
      </c>
      <c r="O1372" s="1"/>
      <c r="P1372" s="1"/>
      <c r="Q1372" s="1"/>
      <c r="R1372" s="1"/>
    </row>
    <row r="1373" spans="4:18" x14ac:dyDescent="0.35">
      <c r="D1373" t="s">
        <v>149</v>
      </c>
      <c r="E1373" t="s">
        <v>1082</v>
      </c>
      <c r="F1373" t="s">
        <v>938</v>
      </c>
      <c r="G1373" t="s">
        <v>148</v>
      </c>
      <c r="I1373" t="s">
        <v>1082</v>
      </c>
      <c r="J1373" t="s">
        <v>938</v>
      </c>
      <c r="K1373" t="s">
        <v>1939</v>
      </c>
      <c r="O1373" s="1"/>
      <c r="P1373" s="1"/>
      <c r="Q1373" s="1"/>
      <c r="R1373" s="1"/>
    </row>
    <row r="1374" spans="4:18" x14ac:dyDescent="0.35">
      <c r="D1374" t="s">
        <v>149</v>
      </c>
      <c r="E1374" t="s">
        <v>1082</v>
      </c>
      <c r="F1374" t="s">
        <v>938</v>
      </c>
      <c r="G1374" t="s">
        <v>148</v>
      </c>
      <c r="I1374" t="s">
        <v>1082</v>
      </c>
      <c r="J1374" t="s">
        <v>938</v>
      </c>
      <c r="K1374" t="s">
        <v>1938</v>
      </c>
      <c r="O1374" s="1"/>
      <c r="P1374" s="1"/>
      <c r="Q1374" s="1"/>
      <c r="R1374" s="1"/>
    </row>
    <row r="1375" spans="4:18" x14ac:dyDescent="0.35">
      <c r="D1375" t="s">
        <v>149</v>
      </c>
      <c r="E1375" t="s">
        <v>1082</v>
      </c>
      <c r="F1375" t="s">
        <v>938</v>
      </c>
      <c r="G1375" t="s">
        <v>148</v>
      </c>
      <c r="I1375" t="s">
        <v>1082</v>
      </c>
      <c r="J1375" t="s">
        <v>938</v>
      </c>
      <c r="K1375" t="s">
        <v>2044</v>
      </c>
      <c r="O1375" s="1"/>
      <c r="P1375" s="1"/>
      <c r="Q1375" s="1"/>
      <c r="R1375" s="1"/>
    </row>
    <row r="1376" spans="4:18" x14ac:dyDescent="0.35">
      <c r="D1376" t="s">
        <v>149</v>
      </c>
      <c r="E1376" t="s">
        <v>1082</v>
      </c>
      <c r="F1376" t="s">
        <v>938</v>
      </c>
      <c r="G1376" t="s">
        <v>148</v>
      </c>
      <c r="I1376" t="s">
        <v>1082</v>
      </c>
      <c r="J1376" t="s">
        <v>938</v>
      </c>
      <c r="K1376" t="s">
        <v>2059</v>
      </c>
      <c r="O1376" s="1"/>
      <c r="P1376" s="1"/>
      <c r="Q1376" s="1"/>
      <c r="R1376" s="1"/>
    </row>
    <row r="1377" spans="4:18" x14ac:dyDescent="0.35">
      <c r="D1377" t="s">
        <v>149</v>
      </c>
      <c r="E1377" t="s">
        <v>1082</v>
      </c>
      <c r="F1377" t="s">
        <v>938</v>
      </c>
      <c r="G1377" t="s">
        <v>148</v>
      </c>
      <c r="I1377" t="s">
        <v>1082</v>
      </c>
      <c r="J1377" t="s">
        <v>938</v>
      </c>
      <c r="K1377" t="s">
        <v>2060</v>
      </c>
      <c r="O1377" s="1"/>
      <c r="P1377" s="1"/>
      <c r="Q1377" s="1"/>
      <c r="R1377" s="1"/>
    </row>
    <row r="1378" spans="4:18" x14ac:dyDescent="0.35">
      <c r="D1378" t="s">
        <v>149</v>
      </c>
      <c r="E1378" t="s">
        <v>1082</v>
      </c>
      <c r="F1378" t="s">
        <v>938</v>
      </c>
      <c r="G1378" t="s">
        <v>148</v>
      </c>
      <c r="I1378" t="s">
        <v>1082</v>
      </c>
      <c r="J1378" t="s">
        <v>938</v>
      </c>
      <c r="K1378" t="s">
        <v>2061</v>
      </c>
      <c r="O1378" s="1"/>
      <c r="P1378" s="1"/>
      <c r="Q1378" s="1"/>
      <c r="R1378" s="1"/>
    </row>
    <row r="1379" spans="4:18" x14ac:dyDescent="0.35">
      <c r="D1379" t="s">
        <v>149</v>
      </c>
      <c r="E1379" t="s">
        <v>1082</v>
      </c>
      <c r="F1379" t="s">
        <v>938</v>
      </c>
      <c r="G1379" t="s">
        <v>148</v>
      </c>
      <c r="I1379" t="s">
        <v>1082</v>
      </c>
      <c r="J1379" t="s">
        <v>938</v>
      </c>
      <c r="K1379" t="s">
        <v>2062</v>
      </c>
      <c r="O1379" s="1"/>
      <c r="P1379" s="1"/>
      <c r="Q1379" s="1"/>
      <c r="R1379" s="1"/>
    </row>
    <row r="1380" spans="4:18" x14ac:dyDescent="0.35">
      <c r="D1380" t="s">
        <v>149</v>
      </c>
      <c r="E1380" t="s">
        <v>1082</v>
      </c>
      <c r="F1380" t="s">
        <v>938</v>
      </c>
      <c r="G1380" t="s">
        <v>148</v>
      </c>
      <c r="I1380" t="s">
        <v>1082</v>
      </c>
      <c r="J1380" t="s">
        <v>938</v>
      </c>
      <c r="K1380" t="s">
        <v>2063</v>
      </c>
      <c r="O1380" s="1"/>
      <c r="P1380" s="1"/>
      <c r="Q1380" s="1"/>
      <c r="R1380" s="1"/>
    </row>
    <row r="1381" spans="4:18" x14ac:dyDescent="0.35">
      <c r="D1381" t="s">
        <v>149</v>
      </c>
      <c r="E1381" t="s">
        <v>1082</v>
      </c>
      <c r="F1381" t="s">
        <v>938</v>
      </c>
      <c r="G1381" t="s">
        <v>148</v>
      </c>
      <c r="I1381" t="s">
        <v>1082</v>
      </c>
      <c r="J1381" t="s">
        <v>938</v>
      </c>
      <c r="K1381" t="s">
        <v>2064</v>
      </c>
      <c r="O1381" s="1"/>
      <c r="P1381" s="1"/>
      <c r="Q1381" s="1"/>
      <c r="R1381" s="1"/>
    </row>
    <row r="1382" spans="4:18" x14ac:dyDescent="0.35">
      <c r="D1382" t="s">
        <v>149</v>
      </c>
      <c r="E1382" t="s">
        <v>1082</v>
      </c>
      <c r="F1382" t="s">
        <v>938</v>
      </c>
      <c r="G1382" t="s">
        <v>148</v>
      </c>
      <c r="I1382" t="s">
        <v>1082</v>
      </c>
      <c r="J1382" t="s">
        <v>938</v>
      </c>
      <c r="K1382" t="s">
        <v>2065</v>
      </c>
      <c r="O1382" s="1"/>
      <c r="P1382" s="1"/>
      <c r="Q1382" s="1"/>
      <c r="R1382" s="1"/>
    </row>
    <row r="1383" spans="4:18" x14ac:dyDescent="0.35">
      <c r="D1383" t="s">
        <v>149</v>
      </c>
      <c r="E1383" t="s">
        <v>1082</v>
      </c>
      <c r="F1383" t="s">
        <v>938</v>
      </c>
      <c r="G1383" t="s">
        <v>148</v>
      </c>
      <c r="I1383" t="s">
        <v>1082</v>
      </c>
      <c r="J1383" t="s">
        <v>938</v>
      </c>
      <c r="K1383" t="s">
        <v>2066</v>
      </c>
      <c r="O1383" s="1"/>
      <c r="P1383" s="1"/>
      <c r="Q1383" s="1"/>
      <c r="R1383" s="1"/>
    </row>
    <row r="1384" spans="4:18" x14ac:dyDescent="0.35">
      <c r="D1384" t="s">
        <v>149</v>
      </c>
      <c r="E1384" t="s">
        <v>1082</v>
      </c>
      <c r="F1384" t="s">
        <v>938</v>
      </c>
      <c r="G1384" t="s">
        <v>148</v>
      </c>
      <c r="I1384" t="s">
        <v>1082</v>
      </c>
      <c r="J1384" t="s">
        <v>938</v>
      </c>
      <c r="K1384" t="s">
        <v>2067</v>
      </c>
      <c r="O1384" s="1"/>
      <c r="P1384" s="1"/>
      <c r="Q1384" s="1"/>
      <c r="R1384" s="1"/>
    </row>
    <row r="1385" spans="4:18" x14ac:dyDescent="0.35">
      <c r="D1385" t="s">
        <v>149</v>
      </c>
      <c r="E1385" t="s">
        <v>1082</v>
      </c>
      <c r="F1385" t="s">
        <v>938</v>
      </c>
      <c r="G1385" t="s">
        <v>148</v>
      </c>
      <c r="I1385" t="s">
        <v>1082</v>
      </c>
      <c r="J1385" t="s">
        <v>938</v>
      </c>
      <c r="K1385" t="s">
        <v>2068</v>
      </c>
      <c r="O1385" s="1"/>
      <c r="P1385" s="1"/>
      <c r="Q1385" s="1"/>
      <c r="R1385" s="1"/>
    </row>
    <row r="1386" spans="4:18" x14ac:dyDescent="0.35">
      <c r="D1386" t="s">
        <v>149</v>
      </c>
      <c r="E1386" t="s">
        <v>1082</v>
      </c>
      <c r="F1386" t="s">
        <v>938</v>
      </c>
      <c r="G1386" t="s">
        <v>148</v>
      </c>
      <c r="I1386" t="s">
        <v>1082</v>
      </c>
      <c r="J1386" t="s">
        <v>938</v>
      </c>
      <c r="K1386" t="s">
        <v>2069</v>
      </c>
      <c r="O1386" s="1"/>
      <c r="P1386" s="1"/>
      <c r="Q1386" s="1"/>
      <c r="R1386" s="1"/>
    </row>
    <row r="1387" spans="4:18" x14ac:dyDescent="0.35">
      <c r="D1387" t="s">
        <v>149</v>
      </c>
      <c r="E1387" t="s">
        <v>1082</v>
      </c>
      <c r="F1387" t="s">
        <v>938</v>
      </c>
      <c r="G1387" t="s">
        <v>148</v>
      </c>
      <c r="I1387" t="s">
        <v>1082</v>
      </c>
      <c r="J1387" t="s">
        <v>938</v>
      </c>
      <c r="K1387" t="s">
        <v>2070</v>
      </c>
      <c r="O1387" s="1"/>
      <c r="P1387" s="1"/>
      <c r="Q1387" s="1"/>
      <c r="R1387" s="1"/>
    </row>
    <row r="1388" spans="4:18" x14ac:dyDescent="0.35">
      <c r="D1388" t="s">
        <v>149</v>
      </c>
      <c r="E1388" t="s">
        <v>1082</v>
      </c>
      <c r="F1388" t="s">
        <v>938</v>
      </c>
      <c r="G1388" t="s">
        <v>148</v>
      </c>
      <c r="I1388" t="s">
        <v>1082</v>
      </c>
      <c r="J1388" t="s">
        <v>938</v>
      </c>
      <c r="K1388" t="s">
        <v>2071</v>
      </c>
      <c r="O1388" s="1"/>
      <c r="P1388" s="1"/>
      <c r="Q1388" s="1"/>
      <c r="R1388" s="1"/>
    </row>
    <row r="1389" spans="4:18" x14ac:dyDescent="0.35">
      <c r="D1389" t="s">
        <v>149</v>
      </c>
      <c r="E1389" t="s">
        <v>1082</v>
      </c>
      <c r="F1389" t="s">
        <v>938</v>
      </c>
      <c r="G1389" t="s">
        <v>148</v>
      </c>
      <c r="I1389" t="s">
        <v>1082</v>
      </c>
      <c r="J1389" t="s">
        <v>938</v>
      </c>
      <c r="K1389" t="s">
        <v>2072</v>
      </c>
      <c r="O1389" s="1"/>
      <c r="P1389" s="1"/>
      <c r="Q1389" s="1"/>
      <c r="R1389" s="1"/>
    </row>
    <row r="1390" spans="4:18" x14ac:dyDescent="0.35">
      <c r="D1390" t="s">
        <v>149</v>
      </c>
      <c r="E1390" t="s">
        <v>1082</v>
      </c>
      <c r="F1390" t="s">
        <v>938</v>
      </c>
      <c r="G1390" t="s">
        <v>148</v>
      </c>
      <c r="I1390" t="s">
        <v>1082</v>
      </c>
      <c r="J1390" t="s">
        <v>938</v>
      </c>
      <c r="K1390" t="s">
        <v>2073</v>
      </c>
      <c r="O1390" s="1"/>
      <c r="P1390" s="1"/>
      <c r="Q1390" s="1"/>
      <c r="R1390" s="1"/>
    </row>
    <row r="1391" spans="4:18" x14ac:dyDescent="0.35">
      <c r="D1391" t="s">
        <v>149</v>
      </c>
      <c r="E1391" t="s">
        <v>1082</v>
      </c>
      <c r="F1391" t="s">
        <v>938</v>
      </c>
      <c r="G1391" t="s">
        <v>148</v>
      </c>
      <c r="I1391" t="s">
        <v>1082</v>
      </c>
      <c r="J1391" t="s">
        <v>938</v>
      </c>
      <c r="K1391" t="s">
        <v>2074</v>
      </c>
      <c r="O1391" s="1"/>
      <c r="P1391" s="1"/>
      <c r="Q1391" s="1"/>
      <c r="R1391" s="1"/>
    </row>
    <row r="1392" spans="4:18" x14ac:dyDescent="0.35">
      <c r="D1392" t="s">
        <v>149</v>
      </c>
      <c r="E1392" t="s">
        <v>1082</v>
      </c>
      <c r="F1392" t="s">
        <v>938</v>
      </c>
      <c r="G1392" t="s">
        <v>148</v>
      </c>
      <c r="I1392" t="s">
        <v>1082</v>
      </c>
      <c r="J1392" t="s">
        <v>938</v>
      </c>
      <c r="K1392" t="s">
        <v>2075</v>
      </c>
      <c r="O1392" s="1"/>
      <c r="P1392" s="1"/>
      <c r="Q1392" s="1"/>
      <c r="R1392" s="1"/>
    </row>
    <row r="1393" spans="4:18" x14ac:dyDescent="0.35">
      <c r="D1393" t="s">
        <v>149</v>
      </c>
      <c r="E1393" t="s">
        <v>1082</v>
      </c>
      <c r="F1393" t="s">
        <v>938</v>
      </c>
      <c r="G1393" t="s">
        <v>148</v>
      </c>
      <c r="I1393" t="s">
        <v>1082</v>
      </c>
      <c r="J1393" t="s">
        <v>938</v>
      </c>
      <c r="K1393" t="s">
        <v>2076</v>
      </c>
      <c r="O1393" s="1"/>
      <c r="P1393" s="1"/>
      <c r="Q1393" s="1"/>
      <c r="R1393" s="1"/>
    </row>
    <row r="1394" spans="4:18" x14ac:dyDescent="0.35">
      <c r="D1394" t="s">
        <v>149</v>
      </c>
      <c r="E1394" t="s">
        <v>1082</v>
      </c>
      <c r="F1394" t="s">
        <v>938</v>
      </c>
      <c r="G1394" t="s">
        <v>148</v>
      </c>
      <c r="I1394" t="s">
        <v>1082</v>
      </c>
      <c r="J1394" t="s">
        <v>938</v>
      </c>
      <c r="K1394" t="s">
        <v>2077</v>
      </c>
      <c r="O1394" s="1"/>
      <c r="P1394" s="1"/>
      <c r="Q1394" s="1"/>
      <c r="R1394" s="1"/>
    </row>
    <row r="1395" spans="4:18" x14ac:dyDescent="0.35">
      <c r="D1395" t="s">
        <v>149</v>
      </c>
      <c r="E1395" t="s">
        <v>1082</v>
      </c>
      <c r="F1395" t="s">
        <v>938</v>
      </c>
      <c r="G1395" t="s">
        <v>148</v>
      </c>
      <c r="I1395" t="s">
        <v>1082</v>
      </c>
      <c r="J1395" t="s">
        <v>938</v>
      </c>
      <c r="K1395" t="s">
        <v>2078</v>
      </c>
      <c r="O1395" s="1"/>
      <c r="P1395" s="1"/>
      <c r="Q1395" s="1"/>
      <c r="R1395" s="1"/>
    </row>
    <row r="1396" spans="4:18" x14ac:dyDescent="0.35">
      <c r="D1396" t="s">
        <v>149</v>
      </c>
      <c r="E1396" t="s">
        <v>1082</v>
      </c>
      <c r="F1396" t="s">
        <v>938</v>
      </c>
      <c r="G1396" t="s">
        <v>148</v>
      </c>
      <c r="I1396" t="s">
        <v>1082</v>
      </c>
      <c r="J1396" t="s">
        <v>938</v>
      </c>
      <c r="K1396" t="s">
        <v>2079</v>
      </c>
      <c r="O1396" s="1"/>
      <c r="P1396" s="1"/>
      <c r="Q1396" s="1"/>
      <c r="R1396" s="1"/>
    </row>
    <row r="1397" spans="4:18" x14ac:dyDescent="0.35">
      <c r="D1397" t="s">
        <v>149</v>
      </c>
      <c r="E1397" t="s">
        <v>1082</v>
      </c>
      <c r="F1397" t="s">
        <v>938</v>
      </c>
      <c r="G1397" t="s">
        <v>148</v>
      </c>
      <c r="I1397" t="s">
        <v>1082</v>
      </c>
      <c r="J1397" t="s">
        <v>938</v>
      </c>
      <c r="K1397" t="s">
        <v>2080</v>
      </c>
      <c r="O1397" s="1"/>
      <c r="P1397" s="1"/>
      <c r="Q1397" s="1"/>
      <c r="R1397" s="1"/>
    </row>
    <row r="1398" spans="4:18" x14ac:dyDescent="0.35">
      <c r="D1398" t="s">
        <v>149</v>
      </c>
      <c r="E1398" t="s">
        <v>1082</v>
      </c>
      <c r="F1398" t="s">
        <v>938</v>
      </c>
      <c r="G1398" t="s">
        <v>148</v>
      </c>
      <c r="I1398" t="s">
        <v>1082</v>
      </c>
      <c r="J1398" t="s">
        <v>938</v>
      </c>
      <c r="K1398" t="s">
        <v>2081</v>
      </c>
      <c r="O1398" s="1"/>
      <c r="P1398" s="1"/>
      <c r="Q1398" s="1"/>
      <c r="R1398" s="1"/>
    </row>
    <row r="1399" spans="4:18" x14ac:dyDescent="0.35">
      <c r="D1399" t="s">
        <v>149</v>
      </c>
      <c r="E1399" t="s">
        <v>1082</v>
      </c>
      <c r="F1399" t="s">
        <v>938</v>
      </c>
      <c r="G1399" t="s">
        <v>148</v>
      </c>
      <c r="I1399" t="s">
        <v>1082</v>
      </c>
      <c r="J1399" t="s">
        <v>938</v>
      </c>
      <c r="K1399" t="s">
        <v>2082</v>
      </c>
      <c r="O1399" s="1"/>
      <c r="P1399" s="1"/>
      <c r="Q1399" s="1"/>
      <c r="R1399" s="1"/>
    </row>
    <row r="1400" spans="4:18" x14ac:dyDescent="0.35">
      <c r="D1400" t="s">
        <v>149</v>
      </c>
      <c r="E1400" t="s">
        <v>1082</v>
      </c>
      <c r="F1400" t="s">
        <v>938</v>
      </c>
      <c r="G1400" t="s">
        <v>148</v>
      </c>
      <c r="I1400" t="s">
        <v>1082</v>
      </c>
      <c r="J1400" t="s">
        <v>938</v>
      </c>
      <c r="K1400" t="s">
        <v>2083</v>
      </c>
      <c r="O1400" s="1"/>
      <c r="P1400" s="1"/>
      <c r="Q1400" s="1"/>
      <c r="R1400" s="1"/>
    </row>
    <row r="1401" spans="4:18" x14ac:dyDescent="0.35">
      <c r="D1401" t="s">
        <v>149</v>
      </c>
      <c r="E1401" t="s">
        <v>1082</v>
      </c>
      <c r="F1401" t="s">
        <v>938</v>
      </c>
      <c r="G1401" t="s">
        <v>148</v>
      </c>
      <c r="I1401" t="s">
        <v>1082</v>
      </c>
      <c r="J1401" t="s">
        <v>938</v>
      </c>
      <c r="K1401" t="s">
        <v>2084</v>
      </c>
      <c r="O1401" s="1"/>
      <c r="P1401" s="1"/>
      <c r="Q1401" s="1"/>
      <c r="R1401" s="1"/>
    </row>
    <row r="1402" spans="4:18" x14ac:dyDescent="0.35">
      <c r="D1402" t="s">
        <v>149</v>
      </c>
      <c r="E1402" t="s">
        <v>1082</v>
      </c>
      <c r="F1402" t="s">
        <v>938</v>
      </c>
      <c r="G1402" t="s">
        <v>148</v>
      </c>
      <c r="I1402" t="s">
        <v>1082</v>
      </c>
      <c r="J1402" t="s">
        <v>938</v>
      </c>
      <c r="K1402" t="s">
        <v>2085</v>
      </c>
      <c r="O1402" s="1"/>
      <c r="P1402" s="1"/>
      <c r="Q1402" s="1"/>
      <c r="R1402" s="1"/>
    </row>
    <row r="1403" spans="4:18" x14ac:dyDescent="0.35">
      <c r="D1403" t="s">
        <v>149</v>
      </c>
      <c r="E1403" t="s">
        <v>1082</v>
      </c>
      <c r="F1403" t="s">
        <v>938</v>
      </c>
      <c r="G1403" t="s">
        <v>148</v>
      </c>
      <c r="I1403" t="s">
        <v>1082</v>
      </c>
      <c r="J1403" t="s">
        <v>938</v>
      </c>
      <c r="K1403" t="s">
        <v>2086</v>
      </c>
      <c r="O1403" s="1"/>
      <c r="P1403" s="1"/>
      <c r="Q1403" s="1"/>
      <c r="R1403" s="1"/>
    </row>
    <row r="1404" spans="4:18" x14ac:dyDescent="0.35">
      <c r="D1404" t="s">
        <v>149</v>
      </c>
      <c r="E1404" t="s">
        <v>1082</v>
      </c>
      <c r="F1404" t="s">
        <v>938</v>
      </c>
      <c r="G1404" t="s">
        <v>148</v>
      </c>
      <c r="I1404" t="s">
        <v>1082</v>
      </c>
      <c r="J1404" t="s">
        <v>938</v>
      </c>
      <c r="K1404" t="s">
        <v>2087</v>
      </c>
      <c r="O1404" s="1"/>
      <c r="P1404" s="1"/>
      <c r="Q1404" s="1"/>
      <c r="R1404" s="1"/>
    </row>
    <row r="1405" spans="4:18" x14ac:dyDescent="0.35">
      <c r="D1405" t="s">
        <v>149</v>
      </c>
      <c r="E1405" t="s">
        <v>1082</v>
      </c>
      <c r="F1405" t="s">
        <v>938</v>
      </c>
      <c r="G1405" t="s">
        <v>148</v>
      </c>
      <c r="I1405" t="s">
        <v>1082</v>
      </c>
      <c r="J1405" t="s">
        <v>938</v>
      </c>
      <c r="K1405" t="s">
        <v>2088</v>
      </c>
      <c r="O1405" s="1"/>
      <c r="P1405" s="1"/>
      <c r="Q1405" s="1"/>
      <c r="R1405" s="1"/>
    </row>
    <row r="1406" spans="4:18" x14ac:dyDescent="0.35">
      <c r="D1406" t="s">
        <v>149</v>
      </c>
      <c r="E1406" t="s">
        <v>1082</v>
      </c>
      <c r="F1406" t="s">
        <v>938</v>
      </c>
      <c r="G1406" t="s">
        <v>148</v>
      </c>
      <c r="I1406" t="s">
        <v>1082</v>
      </c>
      <c r="J1406" t="s">
        <v>938</v>
      </c>
      <c r="K1406" t="s">
        <v>2089</v>
      </c>
      <c r="O1406" s="1"/>
      <c r="P1406" s="1"/>
      <c r="Q1406" s="1"/>
      <c r="R1406" s="1"/>
    </row>
    <row r="1407" spans="4:18" x14ac:dyDescent="0.35">
      <c r="D1407" t="s">
        <v>149</v>
      </c>
      <c r="E1407" t="s">
        <v>1082</v>
      </c>
      <c r="F1407" t="s">
        <v>938</v>
      </c>
      <c r="G1407" t="s">
        <v>148</v>
      </c>
      <c r="I1407" t="s">
        <v>1082</v>
      </c>
      <c r="J1407" t="s">
        <v>938</v>
      </c>
      <c r="K1407" t="s">
        <v>2090</v>
      </c>
      <c r="O1407" s="1"/>
      <c r="P1407" s="1"/>
      <c r="Q1407" s="1"/>
      <c r="R1407" s="1"/>
    </row>
    <row r="1408" spans="4:18" x14ac:dyDescent="0.35">
      <c r="D1408" t="s">
        <v>149</v>
      </c>
      <c r="E1408" t="s">
        <v>1082</v>
      </c>
      <c r="F1408" t="s">
        <v>938</v>
      </c>
      <c r="G1408" t="s">
        <v>148</v>
      </c>
      <c r="I1408" t="s">
        <v>1082</v>
      </c>
      <c r="J1408" t="s">
        <v>938</v>
      </c>
      <c r="K1408" t="s">
        <v>2091</v>
      </c>
      <c r="O1408" s="1"/>
      <c r="P1408" s="1"/>
      <c r="Q1408" s="1"/>
      <c r="R1408" s="1"/>
    </row>
    <row r="1409" spans="4:18" x14ac:dyDescent="0.35">
      <c r="D1409" t="s">
        <v>149</v>
      </c>
      <c r="E1409" t="s">
        <v>1082</v>
      </c>
      <c r="F1409" t="s">
        <v>938</v>
      </c>
      <c r="G1409" t="s">
        <v>148</v>
      </c>
      <c r="I1409" t="s">
        <v>1082</v>
      </c>
      <c r="J1409" t="s">
        <v>938</v>
      </c>
      <c r="K1409" t="s">
        <v>2092</v>
      </c>
      <c r="O1409" s="1"/>
      <c r="P1409" s="1"/>
      <c r="Q1409" s="1"/>
      <c r="R1409" s="1"/>
    </row>
    <row r="1410" spans="4:18" x14ac:dyDescent="0.35">
      <c r="D1410" t="s">
        <v>149</v>
      </c>
      <c r="E1410" t="s">
        <v>1082</v>
      </c>
      <c r="F1410" t="s">
        <v>938</v>
      </c>
      <c r="G1410" t="s">
        <v>148</v>
      </c>
      <c r="I1410" t="s">
        <v>1082</v>
      </c>
      <c r="J1410" t="s">
        <v>938</v>
      </c>
      <c r="K1410" t="s">
        <v>2093</v>
      </c>
      <c r="O1410" s="1"/>
      <c r="P1410" s="1"/>
      <c r="Q1410" s="1"/>
      <c r="R1410" s="1"/>
    </row>
    <row r="1411" spans="4:18" x14ac:dyDescent="0.35">
      <c r="D1411" t="s">
        <v>149</v>
      </c>
      <c r="E1411" t="s">
        <v>1082</v>
      </c>
      <c r="F1411" t="s">
        <v>938</v>
      </c>
      <c r="G1411" t="s">
        <v>148</v>
      </c>
      <c r="I1411" t="s">
        <v>1082</v>
      </c>
      <c r="J1411" t="s">
        <v>938</v>
      </c>
      <c r="K1411" t="s">
        <v>2094</v>
      </c>
      <c r="O1411" s="1"/>
      <c r="P1411" s="1"/>
      <c r="Q1411" s="1"/>
      <c r="R1411" s="1"/>
    </row>
    <row r="1412" spans="4:18" x14ac:dyDescent="0.35">
      <c r="D1412" t="s">
        <v>149</v>
      </c>
      <c r="E1412" t="s">
        <v>1082</v>
      </c>
      <c r="F1412" t="s">
        <v>938</v>
      </c>
      <c r="G1412" t="s">
        <v>148</v>
      </c>
      <c r="I1412" t="s">
        <v>1082</v>
      </c>
      <c r="J1412" t="s">
        <v>938</v>
      </c>
      <c r="K1412" t="s">
        <v>2095</v>
      </c>
      <c r="O1412" s="1"/>
      <c r="P1412" s="1"/>
      <c r="Q1412" s="1"/>
      <c r="R1412" s="1"/>
    </row>
    <row r="1413" spans="4:18" x14ac:dyDescent="0.35">
      <c r="D1413" t="s">
        <v>149</v>
      </c>
      <c r="E1413" t="s">
        <v>1082</v>
      </c>
      <c r="F1413" t="s">
        <v>938</v>
      </c>
      <c r="G1413" t="s">
        <v>148</v>
      </c>
      <c r="I1413" t="s">
        <v>1082</v>
      </c>
      <c r="J1413" t="s">
        <v>938</v>
      </c>
      <c r="K1413" t="s">
        <v>2096</v>
      </c>
      <c r="O1413" s="1"/>
      <c r="P1413" s="1"/>
      <c r="Q1413" s="1"/>
      <c r="R1413" s="1"/>
    </row>
    <row r="1414" spans="4:18" x14ac:dyDescent="0.35">
      <c r="D1414" t="s">
        <v>149</v>
      </c>
      <c r="E1414" t="s">
        <v>1082</v>
      </c>
      <c r="F1414" t="s">
        <v>938</v>
      </c>
      <c r="G1414" t="s">
        <v>148</v>
      </c>
      <c r="I1414" t="s">
        <v>1082</v>
      </c>
      <c r="J1414" t="s">
        <v>938</v>
      </c>
      <c r="K1414" t="s">
        <v>2097</v>
      </c>
      <c r="O1414" s="1"/>
      <c r="P1414" s="1"/>
      <c r="Q1414" s="1"/>
      <c r="R1414" s="1"/>
    </row>
    <row r="1415" spans="4:18" x14ac:dyDescent="0.35">
      <c r="D1415" t="s">
        <v>149</v>
      </c>
      <c r="E1415" t="s">
        <v>1082</v>
      </c>
      <c r="F1415" t="s">
        <v>938</v>
      </c>
      <c r="G1415" t="s">
        <v>148</v>
      </c>
      <c r="I1415" t="s">
        <v>1082</v>
      </c>
      <c r="J1415" t="s">
        <v>938</v>
      </c>
      <c r="K1415" t="s">
        <v>2098</v>
      </c>
      <c r="O1415" s="1"/>
      <c r="P1415" s="1"/>
      <c r="Q1415" s="1"/>
      <c r="R1415" s="1"/>
    </row>
    <row r="1416" spans="4:18" x14ac:dyDescent="0.35">
      <c r="D1416" t="s">
        <v>149</v>
      </c>
      <c r="E1416" t="s">
        <v>1082</v>
      </c>
      <c r="F1416" t="s">
        <v>938</v>
      </c>
      <c r="G1416" t="s">
        <v>148</v>
      </c>
      <c r="I1416" t="s">
        <v>1082</v>
      </c>
      <c r="J1416" t="s">
        <v>938</v>
      </c>
      <c r="K1416" t="s">
        <v>2099</v>
      </c>
      <c r="O1416" s="1"/>
      <c r="P1416" s="1"/>
      <c r="Q1416" s="1"/>
      <c r="R1416" s="1"/>
    </row>
    <row r="1417" spans="4:18" x14ac:dyDescent="0.35">
      <c r="D1417" t="s">
        <v>149</v>
      </c>
      <c r="E1417" t="s">
        <v>1082</v>
      </c>
      <c r="F1417" t="s">
        <v>938</v>
      </c>
      <c r="G1417" t="s">
        <v>148</v>
      </c>
      <c r="I1417" t="s">
        <v>1082</v>
      </c>
      <c r="J1417" t="s">
        <v>938</v>
      </c>
      <c r="K1417" t="s">
        <v>2100</v>
      </c>
      <c r="O1417" s="1"/>
      <c r="P1417" s="1"/>
      <c r="Q1417" s="1"/>
      <c r="R1417" s="1"/>
    </row>
    <row r="1418" spans="4:18" x14ac:dyDescent="0.35">
      <c r="D1418" t="s">
        <v>149</v>
      </c>
      <c r="E1418" t="s">
        <v>1082</v>
      </c>
      <c r="F1418" t="s">
        <v>938</v>
      </c>
      <c r="G1418" t="s">
        <v>148</v>
      </c>
      <c r="I1418" t="s">
        <v>1082</v>
      </c>
      <c r="J1418" t="s">
        <v>938</v>
      </c>
      <c r="K1418" t="s">
        <v>2101</v>
      </c>
      <c r="O1418" s="1"/>
      <c r="P1418" s="1"/>
      <c r="Q1418" s="1"/>
      <c r="R1418" s="1"/>
    </row>
    <row r="1419" spans="4:18" x14ac:dyDescent="0.35">
      <c r="D1419" t="s">
        <v>149</v>
      </c>
      <c r="E1419" t="s">
        <v>1082</v>
      </c>
      <c r="F1419" t="s">
        <v>938</v>
      </c>
      <c r="G1419" t="s">
        <v>148</v>
      </c>
      <c r="I1419" t="s">
        <v>1082</v>
      </c>
      <c r="J1419" t="s">
        <v>938</v>
      </c>
      <c r="K1419" t="s">
        <v>2102</v>
      </c>
      <c r="O1419" s="1"/>
      <c r="P1419" s="1"/>
      <c r="Q1419" s="1"/>
      <c r="R1419" s="1"/>
    </row>
    <row r="1420" spans="4:18" x14ac:dyDescent="0.35">
      <c r="D1420" t="s">
        <v>149</v>
      </c>
      <c r="E1420" t="s">
        <v>1082</v>
      </c>
      <c r="F1420" t="s">
        <v>938</v>
      </c>
      <c r="G1420" t="s">
        <v>148</v>
      </c>
      <c r="I1420" t="s">
        <v>1082</v>
      </c>
      <c r="J1420" t="s">
        <v>938</v>
      </c>
      <c r="K1420" t="s">
        <v>2103</v>
      </c>
      <c r="O1420" s="1"/>
      <c r="P1420" s="1"/>
      <c r="Q1420" s="1"/>
      <c r="R1420" s="1"/>
    </row>
    <row r="1421" spans="4:18" x14ac:dyDescent="0.35">
      <c r="D1421" t="s">
        <v>149</v>
      </c>
      <c r="E1421" t="s">
        <v>1082</v>
      </c>
      <c r="F1421" t="s">
        <v>938</v>
      </c>
      <c r="G1421" t="s">
        <v>148</v>
      </c>
      <c r="I1421" t="s">
        <v>1082</v>
      </c>
      <c r="J1421" t="s">
        <v>938</v>
      </c>
      <c r="K1421" t="s">
        <v>2104</v>
      </c>
      <c r="O1421" s="1"/>
      <c r="P1421" s="1"/>
      <c r="Q1421" s="1"/>
      <c r="R1421" s="1"/>
    </row>
    <row r="1422" spans="4:18" x14ac:dyDescent="0.35">
      <c r="D1422" t="s">
        <v>149</v>
      </c>
      <c r="E1422" t="s">
        <v>1082</v>
      </c>
      <c r="F1422" t="s">
        <v>938</v>
      </c>
      <c r="G1422" t="s">
        <v>148</v>
      </c>
      <c r="I1422" t="s">
        <v>1082</v>
      </c>
      <c r="J1422" t="s">
        <v>938</v>
      </c>
      <c r="K1422" t="s">
        <v>2105</v>
      </c>
      <c r="O1422" s="1"/>
      <c r="P1422" s="1"/>
      <c r="Q1422" s="1"/>
      <c r="R1422" s="1"/>
    </row>
    <row r="1423" spans="4:18" x14ac:dyDescent="0.35">
      <c r="D1423" t="s">
        <v>149</v>
      </c>
      <c r="E1423" t="s">
        <v>1082</v>
      </c>
      <c r="F1423" t="s">
        <v>938</v>
      </c>
      <c r="G1423" t="s">
        <v>148</v>
      </c>
      <c r="I1423" t="s">
        <v>1082</v>
      </c>
      <c r="J1423" t="s">
        <v>938</v>
      </c>
      <c r="K1423" t="s">
        <v>2106</v>
      </c>
      <c r="O1423" s="1"/>
      <c r="P1423" s="1"/>
      <c r="Q1423" s="1"/>
      <c r="R1423" s="1"/>
    </row>
    <row r="1424" spans="4:18" x14ac:dyDescent="0.35">
      <c r="D1424" t="s">
        <v>149</v>
      </c>
      <c r="E1424" t="s">
        <v>1082</v>
      </c>
      <c r="F1424" t="s">
        <v>938</v>
      </c>
      <c r="G1424" t="s">
        <v>148</v>
      </c>
      <c r="I1424" t="s">
        <v>1082</v>
      </c>
      <c r="J1424" t="s">
        <v>938</v>
      </c>
      <c r="K1424" t="s">
        <v>2107</v>
      </c>
      <c r="O1424" s="1"/>
      <c r="P1424" s="1"/>
      <c r="Q1424" s="1"/>
      <c r="R1424" s="1"/>
    </row>
    <row r="1425" spans="4:18" x14ac:dyDescent="0.35">
      <c r="D1425" t="s">
        <v>149</v>
      </c>
      <c r="E1425" t="s">
        <v>1082</v>
      </c>
      <c r="F1425" t="s">
        <v>938</v>
      </c>
      <c r="G1425" t="s">
        <v>148</v>
      </c>
      <c r="I1425" t="s">
        <v>1082</v>
      </c>
      <c r="J1425" t="s">
        <v>938</v>
      </c>
      <c r="K1425" t="s">
        <v>2108</v>
      </c>
      <c r="O1425" s="1"/>
      <c r="P1425" s="1"/>
      <c r="Q1425" s="1"/>
      <c r="R1425" s="1"/>
    </row>
    <row r="1426" spans="4:18" x14ac:dyDescent="0.35">
      <c r="D1426" t="s">
        <v>149</v>
      </c>
      <c r="E1426" t="s">
        <v>1082</v>
      </c>
      <c r="F1426" t="s">
        <v>938</v>
      </c>
      <c r="G1426" t="s">
        <v>148</v>
      </c>
      <c r="I1426" t="s">
        <v>1082</v>
      </c>
      <c r="J1426" t="s">
        <v>938</v>
      </c>
      <c r="K1426" t="s">
        <v>2109</v>
      </c>
      <c r="O1426" s="1"/>
      <c r="P1426" s="1"/>
      <c r="Q1426" s="1"/>
      <c r="R1426" s="1"/>
    </row>
    <row r="1427" spans="4:18" x14ac:dyDescent="0.35">
      <c r="D1427" t="s">
        <v>149</v>
      </c>
      <c r="E1427" t="s">
        <v>1082</v>
      </c>
      <c r="F1427" t="s">
        <v>938</v>
      </c>
      <c r="G1427" t="s">
        <v>148</v>
      </c>
      <c r="I1427" t="s">
        <v>1082</v>
      </c>
      <c r="J1427" t="s">
        <v>938</v>
      </c>
      <c r="K1427" t="s">
        <v>2110</v>
      </c>
      <c r="O1427" s="1"/>
      <c r="P1427" s="1"/>
      <c r="Q1427" s="1"/>
      <c r="R1427" s="1"/>
    </row>
    <row r="1428" spans="4:18" x14ac:dyDescent="0.35">
      <c r="D1428" t="s">
        <v>149</v>
      </c>
      <c r="E1428" t="s">
        <v>1082</v>
      </c>
      <c r="F1428" t="s">
        <v>938</v>
      </c>
      <c r="G1428" t="s">
        <v>148</v>
      </c>
      <c r="I1428" t="s">
        <v>1082</v>
      </c>
      <c r="J1428" t="s">
        <v>938</v>
      </c>
      <c r="K1428" t="s">
        <v>2111</v>
      </c>
      <c r="O1428" s="1"/>
      <c r="P1428" s="1"/>
      <c r="Q1428" s="1"/>
      <c r="R1428" s="1"/>
    </row>
    <row r="1429" spans="4:18" x14ac:dyDescent="0.35">
      <c r="D1429" t="s">
        <v>149</v>
      </c>
      <c r="E1429" t="s">
        <v>1082</v>
      </c>
      <c r="F1429" t="s">
        <v>938</v>
      </c>
      <c r="G1429" t="s">
        <v>148</v>
      </c>
      <c r="I1429" t="s">
        <v>1082</v>
      </c>
      <c r="J1429" t="s">
        <v>938</v>
      </c>
      <c r="K1429" t="s">
        <v>2112</v>
      </c>
      <c r="O1429" s="1"/>
      <c r="P1429" s="1"/>
      <c r="Q1429" s="1"/>
      <c r="R1429" s="1"/>
    </row>
    <row r="1430" spans="4:18" x14ac:dyDescent="0.35">
      <c r="D1430" t="s">
        <v>149</v>
      </c>
      <c r="E1430" t="s">
        <v>1082</v>
      </c>
      <c r="F1430" t="s">
        <v>938</v>
      </c>
      <c r="G1430" t="s">
        <v>148</v>
      </c>
      <c r="I1430" t="s">
        <v>1082</v>
      </c>
      <c r="J1430" t="s">
        <v>938</v>
      </c>
      <c r="K1430" t="s">
        <v>2113</v>
      </c>
      <c r="O1430" s="1"/>
      <c r="P1430" s="1"/>
      <c r="Q1430" s="1"/>
      <c r="R1430" s="1"/>
    </row>
    <row r="1431" spans="4:18" x14ac:dyDescent="0.35">
      <c r="D1431" t="s">
        <v>149</v>
      </c>
      <c r="E1431" t="s">
        <v>1082</v>
      </c>
      <c r="F1431" t="s">
        <v>938</v>
      </c>
      <c r="G1431" t="s">
        <v>148</v>
      </c>
      <c r="I1431" t="s">
        <v>1082</v>
      </c>
      <c r="J1431" t="s">
        <v>938</v>
      </c>
      <c r="K1431" t="s">
        <v>2114</v>
      </c>
      <c r="O1431" s="1"/>
      <c r="P1431" s="1"/>
      <c r="Q1431" s="1"/>
      <c r="R1431" s="1"/>
    </row>
    <row r="1432" spans="4:18" x14ac:dyDescent="0.35">
      <c r="D1432" t="s">
        <v>149</v>
      </c>
      <c r="E1432" t="s">
        <v>1082</v>
      </c>
      <c r="F1432" t="s">
        <v>938</v>
      </c>
      <c r="G1432" t="s">
        <v>148</v>
      </c>
      <c r="I1432" t="s">
        <v>1082</v>
      </c>
      <c r="J1432" t="s">
        <v>938</v>
      </c>
      <c r="K1432" t="s">
        <v>2115</v>
      </c>
      <c r="O1432" s="1"/>
      <c r="P1432" s="1"/>
      <c r="Q1432" s="1"/>
      <c r="R1432" s="1"/>
    </row>
    <row r="1433" spans="4:18" x14ac:dyDescent="0.35">
      <c r="D1433" t="s">
        <v>149</v>
      </c>
      <c r="E1433" t="s">
        <v>1082</v>
      </c>
      <c r="F1433" t="s">
        <v>938</v>
      </c>
      <c r="G1433" t="s">
        <v>148</v>
      </c>
      <c r="I1433" t="s">
        <v>1082</v>
      </c>
      <c r="J1433" t="s">
        <v>938</v>
      </c>
      <c r="K1433" t="s">
        <v>2116</v>
      </c>
      <c r="O1433" s="1"/>
      <c r="P1433" s="1"/>
      <c r="Q1433" s="1"/>
      <c r="R1433" s="1"/>
    </row>
    <row r="1434" spans="4:18" x14ac:dyDescent="0.35">
      <c r="D1434" t="s">
        <v>149</v>
      </c>
      <c r="E1434" t="s">
        <v>1082</v>
      </c>
      <c r="F1434" t="s">
        <v>938</v>
      </c>
      <c r="G1434" t="s">
        <v>148</v>
      </c>
      <c r="I1434" t="s">
        <v>1082</v>
      </c>
      <c r="J1434" t="s">
        <v>938</v>
      </c>
      <c r="K1434" t="s">
        <v>2117</v>
      </c>
      <c r="O1434" s="1"/>
      <c r="P1434" s="1"/>
      <c r="Q1434" s="1"/>
      <c r="R1434" s="1"/>
    </row>
    <row r="1435" spans="4:18" x14ac:dyDescent="0.35">
      <c r="D1435" t="s">
        <v>149</v>
      </c>
      <c r="E1435" t="s">
        <v>1082</v>
      </c>
      <c r="F1435" t="s">
        <v>938</v>
      </c>
      <c r="G1435" t="s">
        <v>148</v>
      </c>
      <c r="I1435" t="s">
        <v>1082</v>
      </c>
      <c r="J1435" t="s">
        <v>938</v>
      </c>
      <c r="K1435" t="s">
        <v>2118</v>
      </c>
      <c r="O1435" s="1"/>
      <c r="P1435" s="1"/>
      <c r="Q1435" s="1"/>
      <c r="R1435" s="1"/>
    </row>
    <row r="1436" spans="4:18" x14ac:dyDescent="0.35">
      <c r="D1436" t="s">
        <v>149</v>
      </c>
      <c r="E1436" t="s">
        <v>1082</v>
      </c>
      <c r="F1436" t="s">
        <v>938</v>
      </c>
      <c r="G1436" t="s">
        <v>148</v>
      </c>
      <c r="I1436" t="s">
        <v>1082</v>
      </c>
      <c r="J1436" t="s">
        <v>938</v>
      </c>
      <c r="K1436" t="s">
        <v>2119</v>
      </c>
      <c r="O1436" s="1"/>
      <c r="P1436" s="1"/>
      <c r="Q1436" s="1"/>
      <c r="R1436" s="1"/>
    </row>
    <row r="1437" spans="4:18" x14ac:dyDescent="0.35">
      <c r="D1437" t="s">
        <v>149</v>
      </c>
      <c r="E1437" t="s">
        <v>1082</v>
      </c>
      <c r="F1437" t="s">
        <v>938</v>
      </c>
      <c r="G1437" t="s">
        <v>148</v>
      </c>
      <c r="I1437" t="s">
        <v>1082</v>
      </c>
      <c r="J1437" t="s">
        <v>938</v>
      </c>
      <c r="K1437" t="s">
        <v>2120</v>
      </c>
      <c r="O1437" s="1"/>
      <c r="P1437" s="1"/>
      <c r="Q1437" s="1"/>
      <c r="R1437" s="1"/>
    </row>
    <row r="1438" spans="4:18" x14ac:dyDescent="0.35">
      <c r="D1438" t="s">
        <v>149</v>
      </c>
      <c r="E1438" t="s">
        <v>1082</v>
      </c>
      <c r="F1438" t="s">
        <v>938</v>
      </c>
      <c r="G1438" t="s">
        <v>148</v>
      </c>
      <c r="I1438" t="s">
        <v>1082</v>
      </c>
      <c r="J1438" t="s">
        <v>938</v>
      </c>
      <c r="K1438" t="s">
        <v>2121</v>
      </c>
      <c r="O1438" s="1"/>
      <c r="P1438" s="1"/>
      <c r="Q1438" s="1"/>
      <c r="R1438" s="1"/>
    </row>
    <row r="1439" spans="4:18" x14ac:dyDescent="0.35">
      <c r="D1439" t="s">
        <v>149</v>
      </c>
      <c r="E1439" t="s">
        <v>1082</v>
      </c>
      <c r="F1439" t="s">
        <v>938</v>
      </c>
      <c r="G1439" t="s">
        <v>148</v>
      </c>
      <c r="I1439" t="s">
        <v>1082</v>
      </c>
      <c r="J1439" t="s">
        <v>938</v>
      </c>
      <c r="K1439" t="s">
        <v>2122</v>
      </c>
      <c r="O1439" s="1"/>
      <c r="P1439" s="1"/>
      <c r="Q1439" s="1"/>
      <c r="R1439" s="1"/>
    </row>
    <row r="1440" spans="4:18" x14ac:dyDescent="0.35">
      <c r="D1440" t="s">
        <v>149</v>
      </c>
      <c r="E1440" t="s">
        <v>1082</v>
      </c>
      <c r="F1440" t="s">
        <v>938</v>
      </c>
      <c r="G1440" t="s">
        <v>148</v>
      </c>
      <c r="I1440" t="s">
        <v>1082</v>
      </c>
      <c r="J1440" t="s">
        <v>938</v>
      </c>
      <c r="K1440" t="s">
        <v>2123</v>
      </c>
      <c r="O1440" s="1"/>
      <c r="P1440" s="1"/>
      <c r="Q1440" s="1"/>
      <c r="R1440" s="1"/>
    </row>
    <row r="1441" spans="4:18" x14ac:dyDescent="0.35">
      <c r="D1441" t="s">
        <v>149</v>
      </c>
      <c r="E1441" t="s">
        <v>1082</v>
      </c>
      <c r="F1441" t="s">
        <v>938</v>
      </c>
      <c r="G1441" t="s">
        <v>148</v>
      </c>
      <c r="I1441" t="s">
        <v>1082</v>
      </c>
      <c r="J1441" t="s">
        <v>938</v>
      </c>
      <c r="K1441" t="s">
        <v>2124</v>
      </c>
      <c r="O1441" s="1"/>
      <c r="P1441" s="1"/>
      <c r="Q1441" s="1"/>
      <c r="R1441" s="1"/>
    </row>
    <row r="1442" spans="4:18" x14ac:dyDescent="0.35">
      <c r="D1442" t="s">
        <v>149</v>
      </c>
      <c r="E1442" t="s">
        <v>1082</v>
      </c>
      <c r="F1442" t="s">
        <v>938</v>
      </c>
      <c r="G1442" t="s">
        <v>148</v>
      </c>
      <c r="I1442" t="s">
        <v>1082</v>
      </c>
      <c r="J1442" t="s">
        <v>938</v>
      </c>
      <c r="K1442" t="s">
        <v>2125</v>
      </c>
      <c r="O1442" s="1"/>
      <c r="P1442" s="1"/>
      <c r="Q1442" s="1"/>
      <c r="R1442" s="1"/>
    </row>
    <row r="1443" spans="4:18" x14ac:dyDescent="0.35">
      <c r="D1443" t="s">
        <v>149</v>
      </c>
      <c r="E1443" t="s">
        <v>1082</v>
      </c>
      <c r="F1443" t="s">
        <v>938</v>
      </c>
      <c r="G1443" t="s">
        <v>148</v>
      </c>
      <c r="I1443" t="s">
        <v>1082</v>
      </c>
      <c r="J1443" t="s">
        <v>938</v>
      </c>
      <c r="K1443" t="s">
        <v>2126</v>
      </c>
      <c r="O1443" s="1"/>
      <c r="P1443" s="1"/>
      <c r="Q1443" s="1"/>
      <c r="R1443" s="1"/>
    </row>
    <row r="1444" spans="4:18" x14ac:dyDescent="0.35">
      <c r="D1444" t="s">
        <v>149</v>
      </c>
      <c r="E1444" t="s">
        <v>1082</v>
      </c>
      <c r="F1444" t="s">
        <v>938</v>
      </c>
      <c r="G1444" t="s">
        <v>148</v>
      </c>
      <c r="I1444" t="s">
        <v>1082</v>
      </c>
      <c r="J1444" t="s">
        <v>938</v>
      </c>
      <c r="K1444" t="s">
        <v>2127</v>
      </c>
      <c r="O1444" s="1"/>
      <c r="P1444" s="1"/>
      <c r="Q1444" s="1"/>
      <c r="R1444" s="1"/>
    </row>
    <row r="1445" spans="4:18" x14ac:dyDescent="0.35">
      <c r="D1445" t="s">
        <v>149</v>
      </c>
      <c r="E1445" t="s">
        <v>1082</v>
      </c>
      <c r="F1445" t="s">
        <v>938</v>
      </c>
      <c r="G1445" t="s">
        <v>148</v>
      </c>
      <c r="I1445" t="s">
        <v>1082</v>
      </c>
      <c r="J1445" t="s">
        <v>938</v>
      </c>
      <c r="K1445" t="s">
        <v>2128</v>
      </c>
      <c r="O1445" s="1"/>
      <c r="P1445" s="1"/>
      <c r="Q1445" s="1"/>
      <c r="R1445" s="1"/>
    </row>
    <row r="1446" spans="4:18" x14ac:dyDescent="0.35">
      <c r="D1446" t="s">
        <v>149</v>
      </c>
      <c r="E1446" t="s">
        <v>1082</v>
      </c>
      <c r="F1446" t="s">
        <v>938</v>
      </c>
      <c r="G1446" t="s">
        <v>148</v>
      </c>
      <c r="I1446" t="s">
        <v>1082</v>
      </c>
      <c r="J1446" t="s">
        <v>938</v>
      </c>
      <c r="K1446" t="s">
        <v>2130</v>
      </c>
      <c r="O1446" s="1"/>
      <c r="P1446" s="1"/>
      <c r="Q1446" s="1"/>
      <c r="R1446" s="1"/>
    </row>
    <row r="1447" spans="4:18" x14ac:dyDescent="0.35">
      <c r="D1447" t="s">
        <v>149</v>
      </c>
      <c r="E1447" t="s">
        <v>1082</v>
      </c>
      <c r="F1447" t="s">
        <v>938</v>
      </c>
      <c r="G1447" t="s">
        <v>148</v>
      </c>
      <c r="I1447" t="s">
        <v>1082</v>
      </c>
      <c r="J1447" t="s">
        <v>938</v>
      </c>
      <c r="K1447" t="s">
        <v>2131</v>
      </c>
      <c r="O1447" s="1"/>
      <c r="P1447" s="1"/>
      <c r="Q1447" s="1"/>
      <c r="R1447" s="1"/>
    </row>
    <row r="1448" spans="4:18" x14ac:dyDescent="0.35">
      <c r="D1448" t="s">
        <v>177</v>
      </c>
      <c r="E1448" t="s">
        <v>1081</v>
      </c>
      <c r="F1448" t="s">
        <v>956</v>
      </c>
      <c r="G1448" t="s">
        <v>1900</v>
      </c>
      <c r="I1448" t="s">
        <v>1082</v>
      </c>
      <c r="J1448" t="s">
        <v>938</v>
      </c>
      <c r="K1448" s="12" t="s">
        <v>1999</v>
      </c>
      <c r="O1448" s="1"/>
      <c r="P1448" s="1"/>
      <c r="Q1448" s="1"/>
      <c r="R1448" s="1"/>
    </row>
    <row r="1449" spans="4:18" x14ac:dyDescent="0.35">
      <c r="D1449" t="s">
        <v>149</v>
      </c>
      <c r="E1449" t="s">
        <v>1082</v>
      </c>
      <c r="F1449" t="s">
        <v>938</v>
      </c>
      <c r="G1449" t="s">
        <v>1999</v>
      </c>
      <c r="I1449" t="s">
        <v>1082</v>
      </c>
      <c r="J1449" t="s">
        <v>938</v>
      </c>
      <c r="K1449" t="s">
        <v>1973</v>
      </c>
      <c r="O1449" s="1"/>
      <c r="P1449" s="1"/>
      <c r="Q1449" s="1"/>
      <c r="R1449" s="1"/>
    </row>
    <row r="1450" spans="4:18" x14ac:dyDescent="0.35">
      <c r="D1450" t="s">
        <v>177</v>
      </c>
      <c r="E1450" t="s">
        <v>1081</v>
      </c>
      <c r="F1450" t="s">
        <v>956</v>
      </c>
      <c r="G1450" t="s">
        <v>1900</v>
      </c>
      <c r="I1450" t="s">
        <v>1082</v>
      </c>
      <c r="J1450" t="s">
        <v>938</v>
      </c>
      <c r="K1450" s="12" t="s">
        <v>1998</v>
      </c>
      <c r="O1450" s="1"/>
      <c r="P1450" s="1"/>
      <c r="Q1450" s="1"/>
      <c r="R1450" s="1"/>
    </row>
    <row r="1451" spans="4:18" x14ac:dyDescent="0.35">
      <c r="D1451" t="s">
        <v>1315</v>
      </c>
      <c r="E1451" t="s">
        <v>1082</v>
      </c>
      <c r="F1451" t="s">
        <v>938</v>
      </c>
      <c r="G1451" t="s">
        <v>1998</v>
      </c>
      <c r="I1451" t="s">
        <v>1308</v>
      </c>
      <c r="J1451" t="s">
        <v>938</v>
      </c>
      <c r="K1451" t="s">
        <v>2147</v>
      </c>
      <c r="O1451" s="1"/>
      <c r="P1451" s="1"/>
      <c r="Q1451" s="1"/>
      <c r="R1451" s="1"/>
    </row>
    <row r="1452" spans="4:18" x14ac:dyDescent="0.35">
      <c r="D1452" t="s">
        <v>146</v>
      </c>
      <c r="E1452" t="s">
        <v>1082</v>
      </c>
      <c r="F1452" t="s">
        <v>938</v>
      </c>
      <c r="G1452" t="s">
        <v>1998</v>
      </c>
      <c r="I1452" t="s">
        <v>1082</v>
      </c>
      <c r="J1452" t="s">
        <v>938</v>
      </c>
      <c r="K1452" t="s">
        <v>1973</v>
      </c>
      <c r="O1452" s="1"/>
      <c r="P1452" s="1"/>
      <c r="Q1452" s="1"/>
      <c r="R1452" s="1"/>
    </row>
    <row r="1453" spans="4:18" x14ac:dyDescent="0.35">
      <c r="D1453" t="s">
        <v>177</v>
      </c>
      <c r="E1453" t="s">
        <v>1081</v>
      </c>
      <c r="F1453" t="s">
        <v>956</v>
      </c>
      <c r="G1453" t="s">
        <v>1900</v>
      </c>
      <c r="I1453" t="s">
        <v>1082</v>
      </c>
      <c r="J1453" t="s">
        <v>938</v>
      </c>
      <c r="K1453" s="12" t="s">
        <v>1963</v>
      </c>
      <c r="O1453" s="1"/>
      <c r="P1453" s="1"/>
      <c r="Q1453" s="1"/>
      <c r="R1453" s="1"/>
    </row>
    <row r="1454" spans="4:18" x14ac:dyDescent="0.35">
      <c r="D1454" t="s">
        <v>149</v>
      </c>
      <c r="E1454" t="s">
        <v>1082</v>
      </c>
      <c r="F1454" t="s">
        <v>938</v>
      </c>
      <c r="G1454" t="s">
        <v>1963</v>
      </c>
      <c r="I1454" t="s">
        <v>1082</v>
      </c>
      <c r="J1454" t="s">
        <v>938</v>
      </c>
      <c r="K1454" t="s">
        <v>85</v>
      </c>
      <c r="O1454" s="1"/>
      <c r="P1454" s="1"/>
      <c r="Q1454" s="1"/>
      <c r="R1454" s="1"/>
    </row>
    <row r="1455" spans="4:18" x14ac:dyDescent="0.35">
      <c r="D1455" t="s">
        <v>177</v>
      </c>
      <c r="E1455" t="s">
        <v>1081</v>
      </c>
      <c r="F1455" t="s">
        <v>956</v>
      </c>
      <c r="G1455" t="s">
        <v>2154</v>
      </c>
      <c r="I1455" t="s">
        <v>1082</v>
      </c>
      <c r="J1455" t="s">
        <v>938</v>
      </c>
      <c r="K1455" s="12" t="s">
        <v>158</v>
      </c>
      <c r="O1455" s="1"/>
      <c r="P1455" s="1"/>
      <c r="Q1455" s="1"/>
      <c r="R1455" s="1"/>
    </row>
    <row r="1456" spans="4:18" x14ac:dyDescent="0.35">
      <c r="D1456" t="s">
        <v>1315</v>
      </c>
      <c r="E1456" t="s">
        <v>1082</v>
      </c>
      <c r="F1456" t="s">
        <v>938</v>
      </c>
      <c r="G1456" t="s">
        <v>158</v>
      </c>
      <c r="I1456" t="s">
        <v>1308</v>
      </c>
      <c r="J1456" t="s">
        <v>938</v>
      </c>
      <c r="K1456" t="s">
        <v>156</v>
      </c>
      <c r="O1456" s="1"/>
      <c r="P1456" s="1"/>
      <c r="Q1456" s="1"/>
      <c r="R1456" s="1"/>
    </row>
    <row r="1457" spans="4:18" x14ac:dyDescent="0.35">
      <c r="D1457" t="s">
        <v>146</v>
      </c>
      <c r="E1457" t="s">
        <v>1082</v>
      </c>
      <c r="F1457" t="s">
        <v>938</v>
      </c>
      <c r="G1457" t="s">
        <v>158</v>
      </c>
      <c r="I1457" t="s">
        <v>1082</v>
      </c>
      <c r="J1457" t="s">
        <v>938</v>
      </c>
      <c r="K1457" t="s">
        <v>2129</v>
      </c>
      <c r="O1457" s="1"/>
      <c r="P1457" s="1"/>
      <c r="Q1457" s="1"/>
      <c r="R1457" s="1"/>
    </row>
    <row r="1458" spans="4:18" x14ac:dyDescent="0.35">
      <c r="D1458" t="s">
        <v>149</v>
      </c>
      <c r="E1458" t="s">
        <v>1082</v>
      </c>
      <c r="F1458" t="s">
        <v>938</v>
      </c>
      <c r="G1458" t="s">
        <v>158</v>
      </c>
      <c r="I1458" t="s">
        <v>1082</v>
      </c>
      <c r="J1458" t="s">
        <v>938</v>
      </c>
      <c r="K1458" t="s">
        <v>2162</v>
      </c>
      <c r="O1458" s="1"/>
      <c r="P1458" s="1"/>
      <c r="Q1458" s="1"/>
      <c r="R1458" s="1"/>
    </row>
    <row r="1459" spans="4:18" x14ac:dyDescent="0.35">
      <c r="D1459" t="s">
        <v>149</v>
      </c>
      <c r="E1459" t="s">
        <v>1082</v>
      </c>
      <c r="F1459" t="s">
        <v>938</v>
      </c>
      <c r="G1459" t="s">
        <v>158</v>
      </c>
      <c r="I1459" t="s">
        <v>1082</v>
      </c>
      <c r="J1459" t="s">
        <v>938</v>
      </c>
      <c r="K1459" t="s">
        <v>1949</v>
      </c>
      <c r="O1459" s="1"/>
      <c r="P1459" s="1"/>
      <c r="Q1459" s="1"/>
      <c r="R1459" s="1"/>
    </row>
    <row r="1460" spans="4:18" x14ac:dyDescent="0.35">
      <c r="D1460" s="16"/>
      <c r="E1460" s="16"/>
      <c r="F1460" s="16"/>
      <c r="G1460" s="16"/>
      <c r="H1460" s="16"/>
      <c r="I1460" s="16"/>
      <c r="J1460" s="16"/>
      <c r="K1460" s="16"/>
      <c r="L1460" s="16"/>
      <c r="O1460" s="1"/>
      <c r="P1460" s="1"/>
      <c r="Q1460" s="1"/>
      <c r="R1460" s="1"/>
    </row>
    <row r="1461" spans="4:18" x14ac:dyDescent="0.35">
      <c r="D1461" t="s">
        <v>177</v>
      </c>
      <c r="E1461" t="s">
        <v>1081</v>
      </c>
      <c r="F1461" t="s">
        <v>956</v>
      </c>
      <c r="G1461" t="s">
        <v>986</v>
      </c>
      <c r="I1461" t="s">
        <v>1082</v>
      </c>
      <c r="J1461" t="s">
        <v>938</v>
      </c>
      <c r="K1461" s="12" t="s">
        <v>2246</v>
      </c>
      <c r="O1461" s="1"/>
      <c r="P1461" s="1"/>
      <c r="Q1461" s="1"/>
      <c r="R1461" s="1"/>
    </row>
    <row r="1462" spans="4:18" x14ac:dyDescent="0.35">
      <c r="D1462" t="s">
        <v>1315</v>
      </c>
      <c r="E1462" t="s">
        <v>1082</v>
      </c>
      <c r="F1462" t="s">
        <v>938</v>
      </c>
      <c r="G1462" t="s">
        <v>2246</v>
      </c>
      <c r="I1462" t="s">
        <v>1308</v>
      </c>
      <c r="J1462" t="s">
        <v>938</v>
      </c>
      <c r="K1462" t="s">
        <v>2283</v>
      </c>
      <c r="O1462" s="1"/>
      <c r="P1462" s="1"/>
      <c r="Q1462" s="1"/>
      <c r="R1462" s="1"/>
    </row>
    <row r="1463" spans="4:18" x14ac:dyDescent="0.35">
      <c r="D1463" t="s">
        <v>177</v>
      </c>
      <c r="E1463" t="s">
        <v>1081</v>
      </c>
      <c r="F1463" t="s">
        <v>956</v>
      </c>
      <c r="G1463" t="s">
        <v>3</v>
      </c>
      <c r="I1463" t="s">
        <v>1082</v>
      </c>
      <c r="J1463" t="s">
        <v>938</v>
      </c>
      <c r="K1463" s="12" t="s">
        <v>2357</v>
      </c>
      <c r="O1463" s="1"/>
      <c r="P1463" s="1"/>
      <c r="Q1463" s="1"/>
      <c r="R1463" s="1"/>
    </row>
    <row r="1464" spans="4:18" x14ac:dyDescent="0.35">
      <c r="D1464" t="s">
        <v>177</v>
      </c>
      <c r="E1464" t="s">
        <v>1081</v>
      </c>
      <c r="F1464" t="s">
        <v>956</v>
      </c>
      <c r="G1464" t="s">
        <v>2312</v>
      </c>
      <c r="I1464" t="s">
        <v>1082</v>
      </c>
      <c r="J1464" t="s">
        <v>938</v>
      </c>
      <c r="K1464" s="12" t="s">
        <v>2295</v>
      </c>
      <c r="O1464" s="1"/>
      <c r="P1464" s="1"/>
      <c r="Q1464" s="1"/>
      <c r="R1464" s="1"/>
    </row>
    <row r="1465" spans="4:18" x14ac:dyDescent="0.35">
      <c r="D1465" t="s">
        <v>177</v>
      </c>
      <c r="E1465" t="s">
        <v>1081</v>
      </c>
      <c r="F1465" t="s">
        <v>956</v>
      </c>
      <c r="G1465" t="s">
        <v>2312</v>
      </c>
      <c r="I1465" t="s">
        <v>1082</v>
      </c>
      <c r="J1465" t="s">
        <v>938</v>
      </c>
      <c r="K1465" s="12" t="s">
        <v>2296</v>
      </c>
      <c r="O1465" s="1"/>
      <c r="P1465" s="1"/>
      <c r="Q1465" s="1"/>
      <c r="R1465" s="1"/>
    </row>
    <row r="1466" spans="4:18" x14ac:dyDescent="0.35">
      <c r="D1466" t="s">
        <v>149</v>
      </c>
      <c r="E1466" t="s">
        <v>1082</v>
      </c>
      <c r="F1466" t="s">
        <v>938</v>
      </c>
      <c r="G1466" t="s">
        <v>2296</v>
      </c>
      <c r="I1466" t="s">
        <v>1082</v>
      </c>
      <c r="J1466" t="s">
        <v>938</v>
      </c>
      <c r="K1466" t="s">
        <v>2295</v>
      </c>
      <c r="O1466" s="1"/>
      <c r="P1466" s="1"/>
      <c r="Q1466" s="1"/>
      <c r="R1466" s="1"/>
    </row>
    <row r="1467" spans="4:18" x14ac:dyDescent="0.35">
      <c r="D1467" t="s">
        <v>177</v>
      </c>
      <c r="E1467" t="s">
        <v>1081</v>
      </c>
      <c r="F1467" t="s">
        <v>956</v>
      </c>
      <c r="G1467" t="s">
        <v>2276</v>
      </c>
      <c r="I1467" t="s">
        <v>1082</v>
      </c>
      <c r="J1467" t="s">
        <v>938</v>
      </c>
      <c r="K1467" s="12" t="s">
        <v>2250</v>
      </c>
      <c r="O1467" s="1"/>
      <c r="P1467" s="1"/>
      <c r="Q1467" s="1"/>
      <c r="R1467" s="1"/>
    </row>
    <row r="1468" spans="4:18" x14ac:dyDescent="0.35">
      <c r="D1468" t="s">
        <v>1315</v>
      </c>
      <c r="E1468" t="s">
        <v>1082</v>
      </c>
      <c r="F1468" t="s">
        <v>938</v>
      </c>
      <c r="G1468" t="s">
        <v>2250</v>
      </c>
      <c r="I1468" t="s">
        <v>1308</v>
      </c>
      <c r="J1468" t="s">
        <v>938</v>
      </c>
      <c r="K1468" t="s">
        <v>2283</v>
      </c>
      <c r="O1468" s="1"/>
      <c r="P1468" s="1"/>
      <c r="Q1468" s="1"/>
      <c r="R1468" s="1"/>
    </row>
    <row r="1469" spans="4:18" x14ac:dyDescent="0.35">
      <c r="D1469" t="s">
        <v>177</v>
      </c>
      <c r="E1469" t="s">
        <v>1081</v>
      </c>
      <c r="F1469" t="s">
        <v>956</v>
      </c>
      <c r="G1469" t="s">
        <v>2276</v>
      </c>
      <c r="I1469" t="s">
        <v>1082</v>
      </c>
      <c r="J1469" t="s">
        <v>938</v>
      </c>
      <c r="K1469" s="12" t="s">
        <v>2255</v>
      </c>
      <c r="O1469" s="1"/>
      <c r="P1469" s="1"/>
      <c r="Q1469" s="1"/>
      <c r="R1469" s="1"/>
    </row>
    <row r="1470" spans="4:18" x14ac:dyDescent="0.35">
      <c r="D1470" t="s">
        <v>177</v>
      </c>
      <c r="E1470" t="s">
        <v>1081</v>
      </c>
      <c r="F1470" t="s">
        <v>956</v>
      </c>
      <c r="G1470" t="s">
        <v>2276</v>
      </c>
      <c r="I1470" t="s">
        <v>1082</v>
      </c>
      <c r="J1470" t="s">
        <v>938</v>
      </c>
      <c r="K1470" s="12" t="s">
        <v>2269</v>
      </c>
      <c r="O1470" s="1"/>
      <c r="P1470" s="1"/>
      <c r="Q1470" s="1"/>
      <c r="R1470" s="1"/>
    </row>
    <row r="1471" spans="4:18" x14ac:dyDescent="0.35">
      <c r="D1471" t="s">
        <v>177</v>
      </c>
      <c r="E1471" t="s">
        <v>1081</v>
      </c>
      <c r="F1471" t="s">
        <v>956</v>
      </c>
      <c r="G1471" t="s">
        <v>2276</v>
      </c>
      <c r="I1471" t="s">
        <v>1082</v>
      </c>
      <c r="J1471" t="s">
        <v>938</v>
      </c>
      <c r="K1471" s="12" t="s">
        <v>2381</v>
      </c>
      <c r="O1471" s="1"/>
      <c r="P1471" s="1"/>
      <c r="Q1471" s="1"/>
      <c r="R1471" s="1"/>
    </row>
    <row r="1472" spans="4:18" x14ac:dyDescent="0.35">
      <c r="D1472" t="s">
        <v>177</v>
      </c>
      <c r="E1472" t="s">
        <v>1081</v>
      </c>
      <c r="F1472" t="s">
        <v>956</v>
      </c>
      <c r="G1472" t="s">
        <v>2539</v>
      </c>
      <c r="I1472" t="s">
        <v>1082</v>
      </c>
      <c r="J1472" t="s">
        <v>938</v>
      </c>
      <c r="K1472" s="12" t="s">
        <v>2358</v>
      </c>
      <c r="O1472" s="1"/>
      <c r="P1472" s="1"/>
      <c r="Q1472" s="1"/>
      <c r="R1472" s="1"/>
    </row>
    <row r="1473" spans="4:18" x14ac:dyDescent="0.35">
      <c r="D1473" t="s">
        <v>177</v>
      </c>
      <c r="E1473" t="s">
        <v>1081</v>
      </c>
      <c r="F1473" t="s">
        <v>956</v>
      </c>
      <c r="G1473" t="s">
        <v>3</v>
      </c>
      <c r="I1473" t="s">
        <v>1082</v>
      </c>
      <c r="J1473" t="s">
        <v>938</v>
      </c>
      <c r="K1473" s="12" t="s">
        <v>2300</v>
      </c>
      <c r="O1473" s="1"/>
      <c r="P1473" s="1"/>
      <c r="Q1473" s="1"/>
      <c r="R1473" s="1"/>
    </row>
    <row r="1474" spans="4:18" x14ac:dyDescent="0.35">
      <c r="D1474" t="s">
        <v>149</v>
      </c>
      <c r="E1474" t="s">
        <v>1082</v>
      </c>
      <c r="F1474" t="s">
        <v>938</v>
      </c>
      <c r="G1474" t="s">
        <v>2300</v>
      </c>
      <c r="I1474" t="s">
        <v>1082</v>
      </c>
      <c r="J1474" t="s">
        <v>938</v>
      </c>
      <c r="K1474" t="s">
        <v>2295</v>
      </c>
      <c r="O1474" s="1"/>
      <c r="P1474" s="1"/>
      <c r="Q1474" s="1"/>
      <c r="R1474" s="1"/>
    </row>
    <row r="1475" spans="4:18" x14ac:dyDescent="0.35">
      <c r="D1475" t="s">
        <v>149</v>
      </c>
      <c r="E1475" t="s">
        <v>1082</v>
      </c>
      <c r="F1475" t="s">
        <v>938</v>
      </c>
      <c r="G1475" t="s">
        <v>2300</v>
      </c>
      <c r="I1475" t="s">
        <v>1082</v>
      </c>
      <c r="J1475" t="s">
        <v>938</v>
      </c>
      <c r="K1475" t="s">
        <v>2296</v>
      </c>
      <c r="O1475" s="1"/>
      <c r="P1475" s="1"/>
      <c r="Q1475" s="1"/>
      <c r="R1475" s="1"/>
    </row>
    <row r="1476" spans="4:18" x14ac:dyDescent="0.35">
      <c r="D1476" t="s">
        <v>177</v>
      </c>
      <c r="E1476" t="s">
        <v>1081</v>
      </c>
      <c r="F1476" t="s">
        <v>956</v>
      </c>
      <c r="G1476" t="s">
        <v>3</v>
      </c>
      <c r="I1476" t="s">
        <v>1082</v>
      </c>
      <c r="J1476" t="s">
        <v>938</v>
      </c>
      <c r="K1476" s="12" t="s">
        <v>2297</v>
      </c>
      <c r="O1476" s="1"/>
      <c r="P1476" s="1"/>
      <c r="Q1476" s="1"/>
      <c r="R1476" s="1"/>
    </row>
    <row r="1477" spans="4:18" x14ac:dyDescent="0.35">
      <c r="D1477" t="s">
        <v>149</v>
      </c>
      <c r="E1477" t="s">
        <v>1082</v>
      </c>
      <c r="F1477" t="s">
        <v>938</v>
      </c>
      <c r="G1477" t="s">
        <v>2297</v>
      </c>
      <c r="I1477" t="s">
        <v>1082</v>
      </c>
      <c r="J1477" t="s">
        <v>938</v>
      </c>
      <c r="K1477" t="s">
        <v>2295</v>
      </c>
      <c r="O1477" s="1"/>
      <c r="P1477" s="1"/>
      <c r="Q1477" s="1"/>
      <c r="R1477" s="1"/>
    </row>
    <row r="1478" spans="4:18" x14ac:dyDescent="0.35">
      <c r="D1478" t="s">
        <v>149</v>
      </c>
      <c r="E1478" t="s">
        <v>1082</v>
      </c>
      <c r="F1478" t="s">
        <v>938</v>
      </c>
      <c r="G1478" t="s">
        <v>2297</v>
      </c>
      <c r="I1478" t="s">
        <v>1082</v>
      </c>
      <c r="J1478" t="s">
        <v>938</v>
      </c>
      <c r="K1478" t="s">
        <v>2296</v>
      </c>
      <c r="O1478" s="1"/>
      <c r="P1478" s="1"/>
      <c r="Q1478" s="1"/>
      <c r="R1478" s="1"/>
    </row>
    <row r="1479" spans="4:18" x14ac:dyDescent="0.35">
      <c r="D1479" t="s">
        <v>177</v>
      </c>
      <c r="E1479" t="s">
        <v>1081</v>
      </c>
      <c r="F1479" t="s">
        <v>956</v>
      </c>
      <c r="G1479" t="s">
        <v>2276</v>
      </c>
      <c r="I1479" t="s">
        <v>1082</v>
      </c>
      <c r="J1479" t="s">
        <v>938</v>
      </c>
      <c r="K1479" s="12" t="s">
        <v>34</v>
      </c>
      <c r="O1479" s="1"/>
      <c r="P1479" s="1"/>
      <c r="Q1479" s="1"/>
      <c r="R1479" s="1"/>
    </row>
    <row r="1480" spans="4:18" x14ac:dyDescent="0.35">
      <c r="D1480" t="s">
        <v>146</v>
      </c>
      <c r="E1480" t="s">
        <v>1082</v>
      </c>
      <c r="F1480" t="s">
        <v>938</v>
      </c>
      <c r="G1480" t="s">
        <v>34</v>
      </c>
      <c r="I1480" t="s">
        <v>1082</v>
      </c>
      <c r="J1480" t="s">
        <v>938</v>
      </c>
      <c r="K1480" t="s">
        <v>2255</v>
      </c>
      <c r="O1480" s="1"/>
      <c r="P1480" s="1"/>
      <c r="Q1480" s="1"/>
      <c r="R1480" s="1"/>
    </row>
    <row r="1481" spans="4:18" x14ac:dyDescent="0.35">
      <c r="D1481" t="s">
        <v>177</v>
      </c>
      <c r="E1481" t="s">
        <v>1081</v>
      </c>
      <c r="F1481" t="s">
        <v>956</v>
      </c>
      <c r="G1481" t="s">
        <v>2276</v>
      </c>
      <c r="I1481" t="s">
        <v>1082</v>
      </c>
      <c r="J1481" t="s">
        <v>938</v>
      </c>
      <c r="K1481" s="12" t="s">
        <v>39</v>
      </c>
      <c r="O1481" s="1"/>
      <c r="P1481" s="1"/>
      <c r="Q1481" s="1"/>
      <c r="R1481" s="1"/>
    </row>
    <row r="1482" spans="4:18" x14ac:dyDescent="0.35">
      <c r="D1482" t="s">
        <v>146</v>
      </c>
      <c r="E1482" t="s">
        <v>1082</v>
      </c>
      <c r="F1482" t="s">
        <v>938</v>
      </c>
      <c r="G1482" t="s">
        <v>39</v>
      </c>
      <c r="I1482" t="s">
        <v>1082</v>
      </c>
      <c r="J1482" t="s">
        <v>938</v>
      </c>
      <c r="K1482" t="s">
        <v>2269</v>
      </c>
      <c r="O1482" s="1"/>
      <c r="P1482" s="1"/>
      <c r="Q1482" s="1"/>
      <c r="R1482" s="1"/>
    </row>
    <row r="1483" spans="4:18" x14ac:dyDescent="0.35">
      <c r="D1483" t="s">
        <v>177</v>
      </c>
      <c r="E1483" t="s">
        <v>1081</v>
      </c>
      <c r="F1483" t="s">
        <v>956</v>
      </c>
      <c r="G1483" t="s">
        <v>2540</v>
      </c>
      <c r="I1483" t="s">
        <v>1082</v>
      </c>
      <c r="J1483" t="s">
        <v>938</v>
      </c>
      <c r="K1483" s="12" t="s">
        <v>2435</v>
      </c>
      <c r="O1483" s="1"/>
      <c r="P1483" s="1"/>
      <c r="Q1483" s="1"/>
      <c r="R1483" s="1"/>
    </row>
    <row r="1484" spans="4:18" x14ac:dyDescent="0.35">
      <c r="D1484" t="s">
        <v>177</v>
      </c>
      <c r="E1484" t="s">
        <v>1081</v>
      </c>
      <c r="F1484" t="s">
        <v>956</v>
      </c>
      <c r="G1484" t="s">
        <v>2540</v>
      </c>
      <c r="I1484" t="s">
        <v>1082</v>
      </c>
      <c r="J1484" t="s">
        <v>938</v>
      </c>
      <c r="K1484" s="12" t="s">
        <v>2436</v>
      </c>
      <c r="O1484" s="1"/>
      <c r="P1484" s="1"/>
      <c r="Q1484" s="1"/>
      <c r="R1484" s="1"/>
    </row>
    <row r="1485" spans="4:18" x14ac:dyDescent="0.35">
      <c r="D1485" t="s">
        <v>177</v>
      </c>
      <c r="E1485" t="s">
        <v>1081</v>
      </c>
      <c r="F1485" t="s">
        <v>956</v>
      </c>
      <c r="G1485" t="s">
        <v>2548</v>
      </c>
      <c r="I1485" t="s">
        <v>1082</v>
      </c>
      <c r="J1485" t="s">
        <v>938</v>
      </c>
      <c r="K1485" s="12" t="s">
        <v>2305</v>
      </c>
      <c r="O1485" s="1"/>
      <c r="P1485" s="1"/>
      <c r="Q1485" s="1"/>
      <c r="R1485" s="1"/>
    </row>
    <row r="1486" spans="4:18" x14ac:dyDescent="0.35">
      <c r="D1486" t="s">
        <v>149</v>
      </c>
      <c r="E1486" t="s">
        <v>1082</v>
      </c>
      <c r="F1486" t="s">
        <v>938</v>
      </c>
      <c r="G1486" t="s">
        <v>2305</v>
      </c>
      <c r="I1486" t="s">
        <v>1082</v>
      </c>
      <c r="J1486" t="s">
        <v>938</v>
      </c>
      <c r="K1486" t="s">
        <v>2297</v>
      </c>
      <c r="O1486" s="1"/>
      <c r="P1486" s="1"/>
      <c r="Q1486" s="1"/>
      <c r="R1486" s="1"/>
    </row>
    <row r="1487" spans="4:18" x14ac:dyDescent="0.35">
      <c r="D1487" t="s">
        <v>177</v>
      </c>
      <c r="E1487" t="s">
        <v>1081</v>
      </c>
      <c r="F1487" t="s">
        <v>956</v>
      </c>
      <c r="G1487" t="s">
        <v>1900</v>
      </c>
      <c r="I1487" t="s">
        <v>1082</v>
      </c>
      <c r="J1487" t="s">
        <v>938</v>
      </c>
      <c r="K1487" s="12" t="s">
        <v>2260</v>
      </c>
      <c r="O1487" s="1"/>
      <c r="P1487" s="1"/>
      <c r="Q1487" s="1"/>
      <c r="R1487" s="1"/>
    </row>
    <row r="1488" spans="4:18" x14ac:dyDescent="0.35">
      <c r="D1488" t="s">
        <v>149</v>
      </c>
      <c r="E1488" t="s">
        <v>1082</v>
      </c>
      <c r="F1488" t="s">
        <v>938</v>
      </c>
      <c r="G1488" t="s">
        <v>2260</v>
      </c>
      <c r="I1488" t="s">
        <v>1082</v>
      </c>
      <c r="J1488" t="s">
        <v>938</v>
      </c>
      <c r="K1488" t="s">
        <v>34</v>
      </c>
      <c r="O1488" s="1"/>
      <c r="P1488" s="1"/>
      <c r="Q1488" s="1"/>
      <c r="R1488" s="1"/>
    </row>
    <row r="1489" spans="4:18" x14ac:dyDescent="0.35">
      <c r="D1489" t="s">
        <v>177</v>
      </c>
      <c r="E1489" t="s">
        <v>1081</v>
      </c>
      <c r="F1489" t="s">
        <v>956</v>
      </c>
      <c r="G1489" t="s">
        <v>1900</v>
      </c>
      <c r="I1489" t="s">
        <v>1082</v>
      </c>
      <c r="J1489" t="s">
        <v>938</v>
      </c>
      <c r="K1489" s="12" t="s">
        <v>43</v>
      </c>
      <c r="O1489" s="1"/>
      <c r="P1489" s="1"/>
      <c r="Q1489" s="1"/>
      <c r="R1489" s="1"/>
    </row>
    <row r="1490" spans="4:18" x14ac:dyDescent="0.35">
      <c r="D1490" t="s">
        <v>177</v>
      </c>
      <c r="E1490" t="s">
        <v>1081</v>
      </c>
      <c r="F1490" t="s">
        <v>956</v>
      </c>
      <c r="G1490" t="s">
        <v>2273</v>
      </c>
      <c r="I1490" t="s">
        <v>1082</v>
      </c>
      <c r="J1490" t="s">
        <v>938</v>
      </c>
      <c r="K1490" s="12" t="s">
        <v>2463</v>
      </c>
      <c r="O1490" s="1"/>
      <c r="P1490" s="1"/>
      <c r="Q1490" s="1"/>
      <c r="R1490" s="1"/>
    </row>
    <row r="1491" spans="4:18" x14ac:dyDescent="0.35">
      <c r="D1491" t="s">
        <v>1315</v>
      </c>
      <c r="E1491" t="s">
        <v>1082</v>
      </c>
      <c r="F1491" t="s">
        <v>938</v>
      </c>
      <c r="G1491" t="s">
        <v>2463</v>
      </c>
      <c r="I1491" t="s">
        <v>1308</v>
      </c>
      <c r="J1491" t="s">
        <v>938</v>
      </c>
      <c r="K1491" t="s">
        <v>2464</v>
      </c>
      <c r="O1491" s="1"/>
      <c r="P1491" s="1"/>
      <c r="Q1491" s="1"/>
      <c r="R1491" s="1"/>
    </row>
    <row r="1492" spans="4:18" x14ac:dyDescent="0.35">
      <c r="D1492" t="s">
        <v>177</v>
      </c>
      <c r="E1492" t="s">
        <v>1081</v>
      </c>
      <c r="F1492" t="s">
        <v>956</v>
      </c>
      <c r="G1492" t="s">
        <v>3153</v>
      </c>
      <c r="I1492" t="s">
        <v>1082</v>
      </c>
      <c r="J1492" t="s">
        <v>938</v>
      </c>
      <c r="K1492" s="12" t="s">
        <v>58</v>
      </c>
      <c r="O1492" s="1"/>
      <c r="P1492" s="1"/>
      <c r="Q1492" s="1"/>
      <c r="R1492" s="1"/>
    </row>
    <row r="1493" spans="4:18" x14ac:dyDescent="0.35">
      <c r="D1493" t="s">
        <v>1315</v>
      </c>
      <c r="E1493" t="s">
        <v>1082</v>
      </c>
      <c r="F1493" t="s">
        <v>938</v>
      </c>
      <c r="G1493" t="s">
        <v>58</v>
      </c>
      <c r="I1493" t="s">
        <v>1308</v>
      </c>
      <c r="J1493" t="s">
        <v>938</v>
      </c>
      <c r="K1493" t="s">
        <v>55</v>
      </c>
      <c r="O1493" s="1"/>
      <c r="P1493" s="1"/>
      <c r="Q1493" s="1"/>
      <c r="R1493" s="1"/>
    </row>
    <row r="1494" spans="4:18" x14ac:dyDescent="0.35">
      <c r="D1494" t="s">
        <v>146</v>
      </c>
      <c r="E1494" t="s">
        <v>1082</v>
      </c>
      <c r="F1494" t="s">
        <v>938</v>
      </c>
      <c r="G1494" t="s">
        <v>58</v>
      </c>
      <c r="I1494" t="s">
        <v>1082</v>
      </c>
      <c r="J1494" t="s">
        <v>938</v>
      </c>
      <c r="K1494" t="s">
        <v>2297</v>
      </c>
      <c r="O1494" s="1"/>
      <c r="P1494" s="1"/>
      <c r="Q1494" s="1"/>
      <c r="R1494" s="1"/>
    </row>
    <row r="1495" spans="4:18" x14ac:dyDescent="0.35">
      <c r="D1495" t="s">
        <v>146</v>
      </c>
      <c r="E1495" t="s">
        <v>1082</v>
      </c>
      <c r="F1495" t="s">
        <v>938</v>
      </c>
      <c r="G1495" t="s">
        <v>58</v>
      </c>
      <c r="I1495" t="s">
        <v>1082</v>
      </c>
      <c r="J1495" t="s">
        <v>938</v>
      </c>
      <c r="K1495" t="s">
        <v>2296</v>
      </c>
      <c r="O1495" s="1"/>
      <c r="P1495" s="1"/>
      <c r="Q1495" s="1"/>
      <c r="R1495" s="1"/>
    </row>
    <row r="1496" spans="4:18" x14ac:dyDescent="0.35">
      <c r="D1496" t="s">
        <v>146</v>
      </c>
      <c r="E1496" t="s">
        <v>1082</v>
      </c>
      <c r="F1496" t="s">
        <v>938</v>
      </c>
      <c r="G1496" t="s">
        <v>58</v>
      </c>
      <c r="I1496" t="s">
        <v>1082</v>
      </c>
      <c r="J1496" t="s">
        <v>938</v>
      </c>
      <c r="K1496" t="s">
        <v>2305</v>
      </c>
      <c r="O1496" s="1"/>
      <c r="P1496" s="1"/>
      <c r="Q1496" s="1"/>
      <c r="R1496" s="1"/>
    </row>
    <row r="1497" spans="4:18" x14ac:dyDescent="0.35">
      <c r="D1497" t="s">
        <v>149</v>
      </c>
      <c r="E1497" t="s">
        <v>1082</v>
      </c>
      <c r="F1497" t="s">
        <v>938</v>
      </c>
      <c r="G1497" t="s">
        <v>58</v>
      </c>
      <c r="I1497" t="s">
        <v>1082</v>
      </c>
      <c r="J1497" t="s">
        <v>938</v>
      </c>
      <c r="K1497" t="s">
        <v>2295</v>
      </c>
      <c r="O1497" s="1"/>
      <c r="P1497" s="1"/>
      <c r="Q1497" s="1"/>
      <c r="R1497" s="1"/>
    </row>
    <row r="1498" spans="4:18" x14ac:dyDescent="0.35">
      <c r="D1498" t="s">
        <v>177</v>
      </c>
      <c r="E1498" t="s">
        <v>1081</v>
      </c>
      <c r="F1498" t="s">
        <v>956</v>
      </c>
      <c r="G1498" t="s">
        <v>2553</v>
      </c>
      <c r="I1498" t="s">
        <v>1082</v>
      </c>
      <c r="J1498" t="s">
        <v>938</v>
      </c>
      <c r="K1498" s="12" t="s">
        <v>2526</v>
      </c>
      <c r="O1498" s="1"/>
      <c r="P1498" s="1"/>
      <c r="Q1498" s="1"/>
      <c r="R1498" s="1"/>
    </row>
    <row r="1499" spans="4:18" x14ac:dyDescent="0.35">
      <c r="D1499" t="s">
        <v>177</v>
      </c>
      <c r="E1499" t="s">
        <v>1081</v>
      </c>
      <c r="F1499" t="s">
        <v>956</v>
      </c>
      <c r="G1499" t="s">
        <v>3153</v>
      </c>
      <c r="I1499" t="s">
        <v>1082</v>
      </c>
      <c r="J1499" t="s">
        <v>938</v>
      </c>
      <c r="K1499" s="12" t="s">
        <v>2299</v>
      </c>
      <c r="O1499" s="1"/>
      <c r="P1499" s="1"/>
      <c r="Q1499" s="1"/>
      <c r="R1499" s="1"/>
    </row>
    <row r="1500" spans="4:18" x14ac:dyDescent="0.35">
      <c r="D1500" t="s">
        <v>146</v>
      </c>
      <c r="E1500" t="s">
        <v>1082</v>
      </c>
      <c r="F1500" t="s">
        <v>938</v>
      </c>
      <c r="G1500" t="s">
        <v>2299</v>
      </c>
      <c r="I1500" t="s">
        <v>1082</v>
      </c>
      <c r="J1500" t="s">
        <v>938</v>
      </c>
      <c r="K1500" t="s">
        <v>2295</v>
      </c>
      <c r="O1500" s="1"/>
      <c r="P1500" s="1"/>
      <c r="Q1500" s="1"/>
      <c r="R1500" s="1"/>
    </row>
    <row r="1501" spans="4:18" x14ac:dyDescent="0.35">
      <c r="D1501" t="s">
        <v>177</v>
      </c>
      <c r="E1501" t="s">
        <v>1081</v>
      </c>
      <c r="F1501" t="s">
        <v>956</v>
      </c>
      <c r="G1501" t="s">
        <v>2273</v>
      </c>
      <c r="I1501" t="s">
        <v>1082</v>
      </c>
      <c r="J1501" t="s">
        <v>938</v>
      </c>
      <c r="K1501" s="12" t="s">
        <v>2298</v>
      </c>
      <c r="O1501" s="1"/>
      <c r="P1501" s="1"/>
      <c r="Q1501" s="1"/>
      <c r="R1501" s="1"/>
    </row>
    <row r="1502" spans="4:18" x14ac:dyDescent="0.35">
      <c r="D1502" t="s">
        <v>146</v>
      </c>
      <c r="E1502" t="s">
        <v>1082</v>
      </c>
      <c r="F1502" t="s">
        <v>938</v>
      </c>
      <c r="G1502" t="s">
        <v>2298</v>
      </c>
      <c r="I1502" t="s">
        <v>1082</v>
      </c>
      <c r="J1502" t="s">
        <v>938</v>
      </c>
      <c r="K1502" t="s">
        <v>2295</v>
      </c>
      <c r="O1502" s="1"/>
      <c r="P1502" s="1"/>
      <c r="Q1502" s="1"/>
      <c r="R1502" s="1"/>
    </row>
    <row r="1503" spans="4:18" x14ac:dyDescent="0.35">
      <c r="D1503" t="s">
        <v>177</v>
      </c>
      <c r="E1503" t="s">
        <v>1081</v>
      </c>
      <c r="F1503" t="s">
        <v>956</v>
      </c>
      <c r="G1503" t="s">
        <v>2273</v>
      </c>
      <c r="I1503" t="s">
        <v>1082</v>
      </c>
      <c r="J1503" t="s">
        <v>938</v>
      </c>
      <c r="K1503" s="12" t="s">
        <v>2430</v>
      </c>
      <c r="O1503" s="1"/>
      <c r="P1503" s="1"/>
      <c r="Q1503" s="1"/>
      <c r="R1503" s="1"/>
    </row>
    <row r="1504" spans="4:18" x14ac:dyDescent="0.35">
      <c r="D1504" t="s">
        <v>146</v>
      </c>
      <c r="E1504" t="s">
        <v>1082</v>
      </c>
      <c r="F1504" t="s">
        <v>938</v>
      </c>
      <c r="G1504" t="s">
        <v>2430</v>
      </c>
      <c r="I1504" t="s">
        <v>1082</v>
      </c>
      <c r="J1504" t="s">
        <v>938</v>
      </c>
      <c r="K1504" t="s">
        <v>2435</v>
      </c>
      <c r="O1504" s="1"/>
      <c r="P1504" s="1"/>
      <c r="Q1504" s="1"/>
      <c r="R1504" s="1"/>
    </row>
    <row r="1505" spans="4:18" x14ac:dyDescent="0.35">
      <c r="D1505" t="s">
        <v>146</v>
      </c>
      <c r="E1505" t="s">
        <v>1082</v>
      </c>
      <c r="F1505" t="s">
        <v>938</v>
      </c>
      <c r="G1505" t="s">
        <v>2430</v>
      </c>
      <c r="I1505" t="s">
        <v>1082</v>
      </c>
      <c r="J1505" t="s">
        <v>938</v>
      </c>
      <c r="K1505" t="s">
        <v>2436</v>
      </c>
      <c r="O1505" s="1"/>
      <c r="P1505" s="1"/>
      <c r="Q1505" s="1"/>
      <c r="R1505" s="1"/>
    </row>
    <row r="1506" spans="4:18" x14ac:dyDescent="0.35">
      <c r="D1506" t="s">
        <v>177</v>
      </c>
      <c r="E1506" t="s">
        <v>1081</v>
      </c>
      <c r="F1506" t="s">
        <v>956</v>
      </c>
      <c r="G1506" t="s">
        <v>2273</v>
      </c>
      <c r="I1506" t="s">
        <v>1082</v>
      </c>
      <c r="J1506" t="s">
        <v>938</v>
      </c>
      <c r="K1506" s="12" t="s">
        <v>2261</v>
      </c>
      <c r="O1506" s="1"/>
      <c r="P1506" s="1"/>
      <c r="Q1506" s="1"/>
      <c r="R1506" s="1"/>
    </row>
    <row r="1507" spans="4:18" x14ac:dyDescent="0.35">
      <c r="D1507" t="s">
        <v>149</v>
      </c>
      <c r="E1507" t="s">
        <v>1082</v>
      </c>
      <c r="F1507" t="s">
        <v>938</v>
      </c>
      <c r="G1507" t="s">
        <v>2261</v>
      </c>
      <c r="I1507" t="s">
        <v>1082</v>
      </c>
      <c r="J1507" t="s">
        <v>938</v>
      </c>
      <c r="K1507" t="s">
        <v>34</v>
      </c>
      <c r="O1507" s="1"/>
      <c r="P1507" s="1"/>
      <c r="Q1507" s="1"/>
      <c r="R1507" s="1"/>
    </row>
    <row r="1508" spans="4:18" x14ac:dyDescent="0.35">
      <c r="D1508" t="s">
        <v>149</v>
      </c>
      <c r="E1508" t="s">
        <v>1082</v>
      </c>
      <c r="F1508" t="s">
        <v>938</v>
      </c>
      <c r="G1508" t="s">
        <v>2261</v>
      </c>
      <c r="I1508" t="s">
        <v>1082</v>
      </c>
      <c r="J1508" t="s">
        <v>938</v>
      </c>
      <c r="K1508" t="s">
        <v>43</v>
      </c>
      <c r="O1508" s="1"/>
      <c r="P1508" s="1"/>
      <c r="Q1508" s="1"/>
      <c r="R1508" s="1"/>
    </row>
    <row r="1509" spans="4:18" x14ac:dyDescent="0.35">
      <c r="D1509" t="s">
        <v>177</v>
      </c>
      <c r="E1509" t="s">
        <v>1081</v>
      </c>
      <c r="F1509" t="s">
        <v>956</v>
      </c>
      <c r="G1509" t="s">
        <v>2273</v>
      </c>
      <c r="I1509" t="s">
        <v>1082</v>
      </c>
      <c r="J1509" t="s">
        <v>938</v>
      </c>
      <c r="K1509" s="12" t="s">
        <v>2597</v>
      </c>
      <c r="O1509" s="1"/>
      <c r="P1509" s="1"/>
      <c r="Q1509" s="1"/>
      <c r="R1509" s="1"/>
    </row>
    <row r="1510" spans="4:18" x14ac:dyDescent="0.35">
      <c r="D1510" t="s">
        <v>146</v>
      </c>
      <c r="E1510" t="s">
        <v>1082</v>
      </c>
      <c r="F1510" t="s">
        <v>938</v>
      </c>
      <c r="G1510" t="s">
        <v>2597</v>
      </c>
      <c r="I1510" t="s">
        <v>1082</v>
      </c>
      <c r="J1510" t="s">
        <v>938</v>
      </c>
      <c r="K1510" t="s">
        <v>2300</v>
      </c>
      <c r="O1510" s="1"/>
      <c r="P1510" s="1"/>
      <c r="Q1510" s="1"/>
      <c r="R1510" s="1"/>
    </row>
    <row r="1511" spans="4:18" x14ac:dyDescent="0.35">
      <c r="D1511" t="s">
        <v>177</v>
      </c>
      <c r="E1511" t="s">
        <v>1081</v>
      </c>
      <c r="F1511" t="s">
        <v>956</v>
      </c>
      <c r="G1511" t="s">
        <v>2273</v>
      </c>
      <c r="I1511" t="s">
        <v>1082</v>
      </c>
      <c r="J1511" t="s">
        <v>938</v>
      </c>
      <c r="K1511" s="12" t="s">
        <v>2301</v>
      </c>
      <c r="O1511" s="1"/>
      <c r="P1511" s="1"/>
      <c r="Q1511" s="1"/>
      <c r="R1511" s="1"/>
    </row>
    <row r="1512" spans="4:18" x14ac:dyDescent="0.35">
      <c r="D1512" t="s">
        <v>149</v>
      </c>
      <c r="E1512" t="s">
        <v>1082</v>
      </c>
      <c r="F1512" t="s">
        <v>938</v>
      </c>
      <c r="G1512" t="s">
        <v>2301</v>
      </c>
      <c r="I1512" t="s">
        <v>1082</v>
      </c>
      <c r="J1512" t="s">
        <v>938</v>
      </c>
      <c r="K1512" t="s">
        <v>2295</v>
      </c>
      <c r="O1512" s="1"/>
      <c r="P1512" s="1"/>
      <c r="Q1512" s="1"/>
      <c r="R1512" s="1"/>
    </row>
    <row r="1513" spans="4:18" x14ac:dyDescent="0.35">
      <c r="D1513" t="s">
        <v>177</v>
      </c>
      <c r="E1513" t="s">
        <v>1081</v>
      </c>
      <c r="F1513" t="s">
        <v>956</v>
      </c>
      <c r="G1513" t="s">
        <v>2561</v>
      </c>
      <c r="I1513" t="s">
        <v>1082</v>
      </c>
      <c r="J1513" t="s">
        <v>938</v>
      </c>
      <c r="K1513" s="12" t="s">
        <v>2262</v>
      </c>
      <c r="O1513" s="1"/>
      <c r="P1513" s="1"/>
      <c r="Q1513" s="1"/>
      <c r="R1513" s="1"/>
    </row>
    <row r="1514" spans="4:18" x14ac:dyDescent="0.35">
      <c r="D1514" t="s">
        <v>149</v>
      </c>
      <c r="E1514" t="s">
        <v>1082</v>
      </c>
      <c r="F1514" t="s">
        <v>938</v>
      </c>
      <c r="G1514" t="s">
        <v>2262</v>
      </c>
      <c r="I1514" t="s">
        <v>1082</v>
      </c>
      <c r="J1514" t="s">
        <v>938</v>
      </c>
      <c r="K1514" t="s">
        <v>34</v>
      </c>
      <c r="O1514" s="1"/>
      <c r="P1514" s="1"/>
      <c r="Q1514" s="1"/>
      <c r="R1514" s="1"/>
    </row>
    <row r="1515" spans="4:18" x14ac:dyDescent="0.35">
      <c r="D1515" t="s">
        <v>177</v>
      </c>
      <c r="E1515" t="s">
        <v>1081</v>
      </c>
      <c r="F1515" t="s">
        <v>956</v>
      </c>
      <c r="G1515" t="s">
        <v>2273</v>
      </c>
      <c r="I1515" t="s">
        <v>1082</v>
      </c>
      <c r="J1515" t="s">
        <v>938</v>
      </c>
      <c r="K1515" s="12" t="s">
        <v>2302</v>
      </c>
      <c r="O1515" s="1"/>
      <c r="P1515" s="1"/>
      <c r="Q1515" s="1"/>
      <c r="R1515" s="1"/>
    </row>
    <row r="1516" spans="4:18" x14ac:dyDescent="0.35">
      <c r="D1516" t="s">
        <v>149</v>
      </c>
      <c r="E1516" t="s">
        <v>1082</v>
      </c>
      <c r="F1516" t="s">
        <v>938</v>
      </c>
      <c r="G1516" t="s">
        <v>2302</v>
      </c>
      <c r="I1516" t="s">
        <v>1082</v>
      </c>
      <c r="J1516" t="s">
        <v>938</v>
      </c>
      <c r="K1516" t="s">
        <v>2358</v>
      </c>
      <c r="O1516" s="1"/>
      <c r="P1516" s="1"/>
      <c r="Q1516" s="1"/>
      <c r="R1516" s="1"/>
    </row>
    <row r="1517" spans="4:18" x14ac:dyDescent="0.35">
      <c r="D1517" t="s">
        <v>149</v>
      </c>
      <c r="E1517" t="s">
        <v>1082</v>
      </c>
      <c r="F1517" t="s">
        <v>938</v>
      </c>
      <c r="G1517" t="s">
        <v>2302</v>
      </c>
      <c r="I1517" t="s">
        <v>1082</v>
      </c>
      <c r="J1517" t="s">
        <v>938</v>
      </c>
      <c r="K1517" t="s">
        <v>2357</v>
      </c>
      <c r="O1517" s="1"/>
      <c r="P1517" s="1"/>
      <c r="Q1517" s="1"/>
      <c r="R1517" s="1"/>
    </row>
    <row r="1518" spans="4:18" x14ac:dyDescent="0.35">
      <c r="D1518" t="s">
        <v>149</v>
      </c>
      <c r="E1518" t="s">
        <v>1082</v>
      </c>
      <c r="F1518" t="s">
        <v>938</v>
      </c>
      <c r="G1518" t="s">
        <v>2302</v>
      </c>
      <c r="I1518" t="s">
        <v>1082</v>
      </c>
      <c r="J1518" t="s">
        <v>938</v>
      </c>
      <c r="K1518" t="s">
        <v>2295</v>
      </c>
      <c r="O1518" s="1"/>
      <c r="P1518" s="1"/>
      <c r="Q1518" s="1"/>
      <c r="R1518" s="1"/>
    </row>
    <row r="1519" spans="4:18" x14ac:dyDescent="0.35">
      <c r="D1519" t="s">
        <v>177</v>
      </c>
      <c r="E1519" t="s">
        <v>1081</v>
      </c>
      <c r="F1519" t="s">
        <v>956</v>
      </c>
      <c r="G1519" t="s">
        <v>2273</v>
      </c>
      <c r="I1519" t="s">
        <v>1082</v>
      </c>
      <c r="J1519" t="s">
        <v>938</v>
      </c>
      <c r="K1519" s="12" t="s">
        <v>2263</v>
      </c>
      <c r="O1519" s="1"/>
      <c r="P1519" s="1"/>
      <c r="Q1519" s="1"/>
      <c r="R1519" s="1"/>
    </row>
    <row r="1520" spans="4:18" x14ac:dyDescent="0.35">
      <c r="D1520" t="s">
        <v>149</v>
      </c>
      <c r="E1520" t="s">
        <v>1082</v>
      </c>
      <c r="F1520" t="s">
        <v>938</v>
      </c>
      <c r="G1520" t="s">
        <v>2263</v>
      </c>
      <c r="I1520" t="s">
        <v>1082</v>
      </c>
      <c r="J1520" t="s">
        <v>938</v>
      </c>
      <c r="K1520" t="s">
        <v>34</v>
      </c>
      <c r="O1520" s="1"/>
      <c r="P1520" s="1"/>
      <c r="Q1520" s="1"/>
      <c r="R1520" s="1"/>
    </row>
    <row r="1521" spans="4:18" x14ac:dyDescent="0.35">
      <c r="D1521" t="s">
        <v>177</v>
      </c>
      <c r="E1521" t="s">
        <v>1081</v>
      </c>
      <c r="F1521" t="s">
        <v>956</v>
      </c>
      <c r="G1521" t="s">
        <v>2568</v>
      </c>
      <c r="I1521" t="s">
        <v>1082</v>
      </c>
      <c r="J1521" t="s">
        <v>938</v>
      </c>
      <c r="K1521" s="12" t="s">
        <v>2307</v>
      </c>
      <c r="O1521" s="1"/>
      <c r="P1521" s="1"/>
      <c r="Q1521" s="1"/>
      <c r="R1521" s="1"/>
    </row>
    <row r="1522" spans="4:18" x14ac:dyDescent="0.35">
      <c r="D1522" t="s">
        <v>149</v>
      </c>
      <c r="E1522" t="s">
        <v>1082</v>
      </c>
      <c r="F1522" t="s">
        <v>938</v>
      </c>
      <c r="G1522" t="s">
        <v>2307</v>
      </c>
      <c r="I1522" t="s">
        <v>1082</v>
      </c>
      <c r="J1522" t="s">
        <v>938</v>
      </c>
      <c r="K1522" t="s">
        <v>58</v>
      </c>
      <c r="O1522" s="1"/>
      <c r="P1522" s="1"/>
      <c r="Q1522" s="1"/>
      <c r="R1522" s="1"/>
    </row>
    <row r="1523" spans="4:18" x14ac:dyDescent="0.35">
      <c r="D1523" t="s">
        <v>177</v>
      </c>
      <c r="E1523" t="s">
        <v>1081</v>
      </c>
      <c r="F1523" t="s">
        <v>956</v>
      </c>
      <c r="G1523" t="s">
        <v>2561</v>
      </c>
      <c r="I1523" t="s">
        <v>1082</v>
      </c>
      <c r="J1523" t="s">
        <v>938</v>
      </c>
      <c r="K1523" s="12" t="s">
        <v>2264</v>
      </c>
      <c r="O1523" s="1"/>
      <c r="P1523" s="1"/>
      <c r="Q1523" s="1"/>
      <c r="R1523" s="1"/>
    </row>
    <row r="1524" spans="4:18" x14ac:dyDescent="0.35">
      <c r="D1524" t="s">
        <v>146</v>
      </c>
      <c r="E1524" t="s">
        <v>1082</v>
      </c>
      <c r="F1524" t="s">
        <v>938</v>
      </c>
      <c r="G1524" t="s">
        <v>2264</v>
      </c>
      <c r="I1524" t="s">
        <v>1082</v>
      </c>
      <c r="J1524" t="s">
        <v>938</v>
      </c>
      <c r="K1524" t="s">
        <v>34</v>
      </c>
      <c r="O1524" s="1"/>
      <c r="P1524" s="1"/>
      <c r="Q1524" s="1"/>
      <c r="R1524" s="1"/>
    </row>
    <row r="1525" spans="4:18" x14ac:dyDescent="0.35">
      <c r="D1525" t="s">
        <v>146</v>
      </c>
      <c r="E1525" t="s">
        <v>1082</v>
      </c>
      <c r="F1525" t="s">
        <v>938</v>
      </c>
      <c r="G1525" t="s">
        <v>2264</v>
      </c>
      <c r="I1525" t="s">
        <v>1082</v>
      </c>
      <c r="J1525" t="s">
        <v>938</v>
      </c>
      <c r="K1525" t="s">
        <v>2381</v>
      </c>
      <c r="O1525" s="1"/>
      <c r="P1525" s="1"/>
      <c r="Q1525" s="1"/>
      <c r="R1525" s="1"/>
    </row>
    <row r="1526" spans="4:18" x14ac:dyDescent="0.35">
      <c r="D1526" t="s">
        <v>149</v>
      </c>
      <c r="E1526" t="s">
        <v>1082</v>
      </c>
      <c r="F1526" t="s">
        <v>938</v>
      </c>
      <c r="G1526" t="s">
        <v>2264</v>
      </c>
      <c r="I1526" t="s">
        <v>1082</v>
      </c>
      <c r="J1526" t="s">
        <v>938</v>
      </c>
      <c r="K1526" t="s">
        <v>2260</v>
      </c>
      <c r="O1526" s="1"/>
      <c r="P1526" s="1"/>
      <c r="Q1526" s="1"/>
      <c r="R1526" s="1"/>
    </row>
    <row r="1527" spans="4:18" x14ac:dyDescent="0.35">
      <c r="D1527" t="s">
        <v>149</v>
      </c>
      <c r="E1527" t="s">
        <v>1082</v>
      </c>
      <c r="F1527" t="s">
        <v>938</v>
      </c>
      <c r="G1527" t="s">
        <v>2264</v>
      </c>
      <c r="I1527" t="s">
        <v>1082</v>
      </c>
      <c r="J1527" t="s">
        <v>938</v>
      </c>
      <c r="K1527" t="s">
        <v>43</v>
      </c>
      <c r="O1527" s="1"/>
      <c r="P1527" s="1"/>
      <c r="Q1527" s="1"/>
      <c r="R1527" s="1"/>
    </row>
    <row r="1528" spans="4:18" x14ac:dyDescent="0.35">
      <c r="D1528" t="s">
        <v>177</v>
      </c>
      <c r="E1528" t="s">
        <v>1081</v>
      </c>
      <c r="F1528" t="s">
        <v>956</v>
      </c>
      <c r="G1528" t="s">
        <v>2561</v>
      </c>
      <c r="I1528" t="s">
        <v>1082</v>
      </c>
      <c r="J1528" t="s">
        <v>938</v>
      </c>
      <c r="K1528" s="12" t="s">
        <v>2265</v>
      </c>
      <c r="O1528" s="1"/>
      <c r="P1528" s="1"/>
      <c r="Q1528" s="1"/>
      <c r="R1528" s="1"/>
    </row>
    <row r="1529" spans="4:18" x14ac:dyDescent="0.35">
      <c r="D1529" t="s">
        <v>146</v>
      </c>
      <c r="E1529" t="s">
        <v>1082</v>
      </c>
      <c r="F1529" t="s">
        <v>938</v>
      </c>
      <c r="G1529" t="s">
        <v>2265</v>
      </c>
      <c r="I1529" t="s">
        <v>1082</v>
      </c>
      <c r="J1529" t="s">
        <v>938</v>
      </c>
      <c r="K1529" t="s">
        <v>34</v>
      </c>
      <c r="O1529" s="1"/>
      <c r="P1529" s="1"/>
      <c r="Q1529" s="1"/>
      <c r="R1529" s="1"/>
    </row>
    <row r="1530" spans="4:18" x14ac:dyDescent="0.35">
      <c r="D1530" t="s">
        <v>149</v>
      </c>
      <c r="E1530" t="s">
        <v>1082</v>
      </c>
      <c r="F1530" t="s">
        <v>938</v>
      </c>
      <c r="G1530" t="s">
        <v>2265</v>
      </c>
      <c r="I1530" t="s">
        <v>1082</v>
      </c>
      <c r="J1530" t="s">
        <v>938</v>
      </c>
      <c r="K1530" t="s">
        <v>2260</v>
      </c>
      <c r="O1530" s="1"/>
      <c r="P1530" s="1"/>
      <c r="Q1530" s="1"/>
      <c r="R1530" s="1"/>
    </row>
    <row r="1531" spans="4:18" x14ac:dyDescent="0.35">
      <c r="D1531" t="s">
        <v>177</v>
      </c>
      <c r="E1531" t="s">
        <v>1081</v>
      </c>
      <c r="F1531" t="s">
        <v>956</v>
      </c>
      <c r="G1531" t="s">
        <v>2561</v>
      </c>
      <c r="I1531" t="s">
        <v>1082</v>
      </c>
      <c r="J1531" t="s">
        <v>938</v>
      </c>
      <c r="K1531" s="12" t="s">
        <v>2266</v>
      </c>
      <c r="O1531" s="1"/>
      <c r="P1531" s="1"/>
      <c r="Q1531" s="1"/>
      <c r="R1531" s="1"/>
    </row>
    <row r="1532" spans="4:18" x14ac:dyDescent="0.35">
      <c r="D1532" t="s">
        <v>146</v>
      </c>
      <c r="E1532" t="s">
        <v>1082</v>
      </c>
      <c r="F1532" t="s">
        <v>938</v>
      </c>
      <c r="G1532" t="s">
        <v>2266</v>
      </c>
      <c r="I1532" t="s">
        <v>1082</v>
      </c>
      <c r="J1532" t="s">
        <v>938</v>
      </c>
      <c r="K1532" t="s">
        <v>34</v>
      </c>
      <c r="O1532" s="1"/>
      <c r="P1532" s="1"/>
      <c r="Q1532" s="1"/>
      <c r="R1532" s="1"/>
    </row>
    <row r="1533" spans="4:18" x14ac:dyDescent="0.35">
      <c r="D1533" t="s">
        <v>177</v>
      </c>
      <c r="E1533" t="s">
        <v>1081</v>
      </c>
      <c r="F1533" t="s">
        <v>956</v>
      </c>
      <c r="G1533" t="s">
        <v>2561</v>
      </c>
      <c r="I1533" t="s">
        <v>1082</v>
      </c>
      <c r="J1533" t="s">
        <v>938</v>
      </c>
      <c r="K1533" s="12" t="s">
        <v>2267</v>
      </c>
      <c r="O1533" s="1"/>
      <c r="P1533" s="1"/>
      <c r="Q1533" s="1"/>
      <c r="R1533" s="1"/>
    </row>
    <row r="1534" spans="4:18" x14ac:dyDescent="0.35">
      <c r="D1534" t="s">
        <v>146</v>
      </c>
      <c r="E1534" t="s">
        <v>1082</v>
      </c>
      <c r="F1534" t="s">
        <v>938</v>
      </c>
      <c r="G1534" t="s">
        <v>2267</v>
      </c>
      <c r="I1534" t="s">
        <v>1082</v>
      </c>
      <c r="J1534" t="s">
        <v>938</v>
      </c>
      <c r="K1534" t="s">
        <v>34</v>
      </c>
      <c r="O1534" s="1"/>
      <c r="P1534" s="1"/>
      <c r="Q1534" s="1"/>
      <c r="R1534" s="1"/>
    </row>
    <row r="1535" spans="4:18" x14ac:dyDescent="0.35">
      <c r="D1535" t="s">
        <v>177</v>
      </c>
      <c r="E1535" t="s">
        <v>1081</v>
      </c>
      <c r="F1535" t="s">
        <v>956</v>
      </c>
      <c r="G1535" t="s">
        <v>2561</v>
      </c>
      <c r="I1535" t="s">
        <v>1082</v>
      </c>
      <c r="J1535" t="s">
        <v>938</v>
      </c>
      <c r="K1535" s="12" t="s">
        <v>2268</v>
      </c>
      <c r="O1535" s="1"/>
      <c r="P1535" s="1"/>
      <c r="Q1535" s="1"/>
      <c r="R1535" s="1"/>
    </row>
    <row r="1536" spans="4:18" x14ac:dyDescent="0.35">
      <c r="D1536" t="s">
        <v>146</v>
      </c>
      <c r="E1536" t="s">
        <v>1082</v>
      </c>
      <c r="F1536" t="s">
        <v>938</v>
      </c>
      <c r="G1536" t="s">
        <v>2268</v>
      </c>
      <c r="I1536" t="s">
        <v>1082</v>
      </c>
      <c r="J1536" t="s">
        <v>938</v>
      </c>
      <c r="K1536" t="s">
        <v>34</v>
      </c>
      <c r="O1536" s="1"/>
      <c r="P1536" s="1"/>
      <c r="Q1536" s="1"/>
      <c r="R1536" s="1"/>
    </row>
    <row r="1537" spans="4:18" x14ac:dyDescent="0.35">
      <c r="D1537" t="s">
        <v>177</v>
      </c>
      <c r="E1537" t="s">
        <v>1081</v>
      </c>
      <c r="F1537" t="s">
        <v>956</v>
      </c>
      <c r="G1537" t="s">
        <v>2561</v>
      </c>
      <c r="I1537" t="s">
        <v>1082</v>
      </c>
      <c r="J1537" t="s">
        <v>938</v>
      </c>
      <c r="K1537" s="12" t="s">
        <v>255</v>
      </c>
      <c r="O1537" s="1"/>
      <c r="P1537" s="1"/>
      <c r="Q1537" s="1"/>
      <c r="R1537" s="1"/>
    </row>
    <row r="1538" spans="4:18" x14ac:dyDescent="0.35">
      <c r="D1538" t="s">
        <v>146</v>
      </c>
      <c r="E1538" t="s">
        <v>1082</v>
      </c>
      <c r="F1538" t="s">
        <v>938</v>
      </c>
      <c r="G1538" t="s">
        <v>255</v>
      </c>
      <c r="I1538" t="s">
        <v>1082</v>
      </c>
      <c r="J1538" t="s">
        <v>938</v>
      </c>
      <c r="K1538" t="s">
        <v>34</v>
      </c>
      <c r="O1538" s="1"/>
      <c r="P1538" s="1"/>
      <c r="Q1538" s="1"/>
      <c r="R1538" s="1"/>
    </row>
    <row r="1539" spans="4:18" x14ac:dyDescent="0.35">
      <c r="D1539" t="s">
        <v>146</v>
      </c>
      <c r="E1539" t="s">
        <v>1082</v>
      </c>
      <c r="F1539" t="s">
        <v>938</v>
      </c>
      <c r="G1539" t="s">
        <v>255</v>
      </c>
      <c r="I1539" t="s">
        <v>1082</v>
      </c>
      <c r="J1539" t="s">
        <v>938</v>
      </c>
      <c r="K1539" t="s">
        <v>39</v>
      </c>
      <c r="O1539" s="1"/>
      <c r="P1539" s="1"/>
      <c r="Q1539" s="1"/>
      <c r="R1539" s="1"/>
    </row>
    <row r="1540" spans="4:18" x14ac:dyDescent="0.35">
      <c r="D1540" t="s">
        <v>149</v>
      </c>
      <c r="E1540" t="s">
        <v>1082</v>
      </c>
      <c r="F1540" t="s">
        <v>938</v>
      </c>
      <c r="G1540" t="s">
        <v>255</v>
      </c>
      <c r="I1540" t="s">
        <v>1082</v>
      </c>
      <c r="J1540" t="s">
        <v>938</v>
      </c>
      <c r="K1540" t="s">
        <v>39</v>
      </c>
      <c r="O1540" s="1"/>
      <c r="P1540" s="1"/>
      <c r="Q1540" s="1"/>
      <c r="R1540" s="1"/>
    </row>
    <row r="1541" spans="4:18" x14ac:dyDescent="0.35">
      <c r="D1541" t="s">
        <v>177</v>
      </c>
      <c r="E1541" t="s">
        <v>1081</v>
      </c>
      <c r="F1541" t="s">
        <v>956</v>
      </c>
      <c r="G1541" t="s">
        <v>2561</v>
      </c>
      <c r="I1541" t="s">
        <v>1082</v>
      </c>
      <c r="J1541" t="s">
        <v>938</v>
      </c>
      <c r="K1541" s="12" t="s">
        <v>2569</v>
      </c>
      <c r="O1541" s="1"/>
      <c r="P1541" s="1"/>
      <c r="Q1541" s="1"/>
      <c r="R1541" s="1"/>
    </row>
    <row r="1542" spans="4:18" x14ac:dyDescent="0.35">
      <c r="D1542" t="s">
        <v>177</v>
      </c>
      <c r="E1542" t="s">
        <v>1081</v>
      </c>
      <c r="F1542" t="s">
        <v>956</v>
      </c>
      <c r="G1542" t="s">
        <v>2561</v>
      </c>
      <c r="I1542" t="s">
        <v>1082</v>
      </c>
      <c r="J1542" t="s">
        <v>938</v>
      </c>
      <c r="K1542" s="12" t="s">
        <v>2570</v>
      </c>
      <c r="O1542" s="1"/>
      <c r="P1542" s="1"/>
      <c r="Q1542" s="1"/>
      <c r="R1542" s="1"/>
    </row>
    <row r="1543" spans="4:18" x14ac:dyDescent="0.35">
      <c r="D1543" t="s">
        <v>177</v>
      </c>
      <c r="E1543" t="s">
        <v>1081</v>
      </c>
      <c r="F1543" t="s">
        <v>956</v>
      </c>
      <c r="G1543" t="s">
        <v>2273</v>
      </c>
      <c r="I1543" t="s">
        <v>1082</v>
      </c>
      <c r="J1543" t="s">
        <v>938</v>
      </c>
      <c r="K1543" s="12" t="s">
        <v>2476</v>
      </c>
      <c r="O1543" s="1"/>
      <c r="P1543" s="1"/>
      <c r="Q1543" s="1"/>
      <c r="R1543" s="1"/>
    </row>
    <row r="1544" spans="4:18" x14ac:dyDescent="0.35">
      <c r="D1544" t="s">
        <v>177</v>
      </c>
      <c r="E1544" t="s">
        <v>1081</v>
      </c>
      <c r="F1544" t="s">
        <v>956</v>
      </c>
      <c r="G1544" t="s">
        <v>2577</v>
      </c>
      <c r="I1544" t="s">
        <v>1082</v>
      </c>
      <c r="J1544" t="s">
        <v>938</v>
      </c>
      <c r="K1544" s="12" t="s">
        <v>2308</v>
      </c>
      <c r="O1544" s="1"/>
      <c r="P1544" s="1"/>
      <c r="Q1544" s="1"/>
      <c r="R1544" s="1"/>
    </row>
    <row r="1545" spans="4:18" x14ac:dyDescent="0.35">
      <c r="D1545" t="s">
        <v>149</v>
      </c>
      <c r="E1545" t="s">
        <v>1082</v>
      </c>
      <c r="F1545" t="s">
        <v>938</v>
      </c>
      <c r="G1545" t="s">
        <v>2308</v>
      </c>
      <c r="I1545" t="s">
        <v>1082</v>
      </c>
      <c r="J1545" t="s">
        <v>938</v>
      </c>
      <c r="K1545" t="s">
        <v>58</v>
      </c>
      <c r="O1545" s="1"/>
      <c r="P1545" s="1"/>
      <c r="Q1545" s="1"/>
      <c r="R1545" s="1"/>
    </row>
    <row r="1546" spans="4:18" x14ac:dyDescent="0.35">
      <c r="D1546" t="s">
        <v>177</v>
      </c>
      <c r="E1546" t="s">
        <v>1081</v>
      </c>
      <c r="F1546" t="s">
        <v>956</v>
      </c>
      <c r="G1546" t="s">
        <v>2561</v>
      </c>
      <c r="I1546" t="s">
        <v>1082</v>
      </c>
      <c r="J1546" t="s">
        <v>938</v>
      </c>
      <c r="K1546" s="12" t="s">
        <v>2461</v>
      </c>
      <c r="O1546" s="1"/>
      <c r="P1546" s="1"/>
      <c r="Q1546" s="1"/>
      <c r="R1546" s="1"/>
    </row>
    <row r="1547" spans="4:18" x14ac:dyDescent="0.35">
      <c r="D1547" t="s">
        <v>146</v>
      </c>
      <c r="E1547" t="s">
        <v>1082</v>
      </c>
      <c r="F1547" t="s">
        <v>938</v>
      </c>
      <c r="G1547" t="s">
        <v>2461</v>
      </c>
      <c r="I1547" t="s">
        <v>1082</v>
      </c>
      <c r="J1547" t="s">
        <v>938</v>
      </c>
      <c r="K1547" t="s">
        <v>2476</v>
      </c>
      <c r="O1547" s="1"/>
      <c r="P1547" s="1"/>
      <c r="Q1547" s="1"/>
      <c r="R1547" s="1"/>
    </row>
    <row r="1548" spans="4:18" x14ac:dyDescent="0.35">
      <c r="D1548" t="s">
        <v>177</v>
      </c>
      <c r="E1548" t="s">
        <v>1081</v>
      </c>
      <c r="F1548" t="s">
        <v>956</v>
      </c>
      <c r="G1548" t="s">
        <v>2561</v>
      </c>
      <c r="I1548" t="s">
        <v>1082</v>
      </c>
      <c r="J1548" t="s">
        <v>938</v>
      </c>
      <c r="K1548" s="12" t="s">
        <v>2490</v>
      </c>
      <c r="O1548" s="1"/>
      <c r="P1548" s="1"/>
      <c r="Q1548" s="1"/>
      <c r="R1548" s="1"/>
    </row>
    <row r="1549" spans="4:18" x14ac:dyDescent="0.35">
      <c r="D1549" t="s">
        <v>177</v>
      </c>
      <c r="E1549" t="s">
        <v>1081</v>
      </c>
      <c r="F1549" t="s">
        <v>956</v>
      </c>
      <c r="G1549" t="s">
        <v>2577</v>
      </c>
      <c r="I1549" t="s">
        <v>1082</v>
      </c>
      <c r="J1549" t="s">
        <v>938</v>
      </c>
      <c r="K1549" s="12" t="s">
        <v>2421</v>
      </c>
      <c r="O1549" s="1"/>
      <c r="P1549" s="1"/>
      <c r="Q1549" s="1"/>
      <c r="R1549" s="1"/>
    </row>
    <row r="1550" spans="4:18" x14ac:dyDescent="0.35">
      <c r="D1550" t="s">
        <v>1315</v>
      </c>
      <c r="E1550" t="s">
        <v>1082</v>
      </c>
      <c r="F1550" t="s">
        <v>938</v>
      </c>
      <c r="G1550" t="s">
        <v>2421</v>
      </c>
      <c r="I1550" t="s">
        <v>1308</v>
      </c>
      <c r="J1550" t="s">
        <v>938</v>
      </c>
      <c r="K1550" t="s">
        <v>2422</v>
      </c>
      <c r="O1550" s="1"/>
      <c r="P1550" s="1"/>
      <c r="Q1550" s="1"/>
      <c r="R1550" s="1"/>
    </row>
    <row r="1551" spans="4:18" x14ac:dyDescent="0.35">
      <c r="D1551" t="s">
        <v>146</v>
      </c>
      <c r="E1551" t="s">
        <v>1082</v>
      </c>
      <c r="F1551" t="s">
        <v>938</v>
      </c>
      <c r="G1551" t="s">
        <v>2421</v>
      </c>
      <c r="I1551" t="s">
        <v>1082</v>
      </c>
      <c r="J1551" t="s">
        <v>938</v>
      </c>
      <c r="K1551" t="s">
        <v>2430</v>
      </c>
      <c r="O1551" s="1"/>
      <c r="P1551" s="1"/>
      <c r="Q1551" s="1"/>
      <c r="R1551" s="1"/>
    </row>
    <row r="1552" spans="4:18" x14ac:dyDescent="0.35">
      <c r="D1552" t="s">
        <v>177</v>
      </c>
      <c r="E1552" t="s">
        <v>1081</v>
      </c>
      <c r="F1552" t="s">
        <v>956</v>
      </c>
      <c r="G1552" t="s">
        <v>2561</v>
      </c>
      <c r="I1552" t="s">
        <v>1082</v>
      </c>
      <c r="J1552" t="s">
        <v>938</v>
      </c>
      <c r="K1552" s="12" t="s">
        <v>2270</v>
      </c>
      <c r="O1552" s="1"/>
      <c r="P1552" s="1"/>
      <c r="Q1552" s="1"/>
      <c r="R1552" s="1"/>
    </row>
    <row r="1553" spans="4:18" x14ac:dyDescent="0.35">
      <c r="D1553" t="s">
        <v>146</v>
      </c>
      <c r="E1553" t="s">
        <v>1082</v>
      </c>
      <c r="F1553" t="s">
        <v>938</v>
      </c>
      <c r="G1553" t="s">
        <v>2270</v>
      </c>
      <c r="I1553" t="s">
        <v>1082</v>
      </c>
      <c r="J1553" t="s">
        <v>938</v>
      </c>
      <c r="K1553" t="s">
        <v>39</v>
      </c>
      <c r="O1553" s="1"/>
      <c r="P1553" s="1"/>
      <c r="Q1553" s="1"/>
      <c r="R1553" s="1"/>
    </row>
    <row r="1554" spans="4:18" x14ac:dyDescent="0.35">
      <c r="D1554" t="s">
        <v>177</v>
      </c>
      <c r="E1554" t="s">
        <v>1081</v>
      </c>
      <c r="F1554" t="s">
        <v>956</v>
      </c>
      <c r="G1554" t="s">
        <v>2582</v>
      </c>
      <c r="I1554" t="s">
        <v>1082</v>
      </c>
      <c r="J1554" t="s">
        <v>938</v>
      </c>
      <c r="K1554" s="12" t="s">
        <v>2271</v>
      </c>
      <c r="O1554" s="1"/>
      <c r="P1554" s="1"/>
      <c r="Q1554" s="1"/>
      <c r="R1554" s="1"/>
    </row>
    <row r="1555" spans="4:18" x14ac:dyDescent="0.35">
      <c r="D1555" t="s">
        <v>146</v>
      </c>
      <c r="E1555" t="s">
        <v>1082</v>
      </c>
      <c r="F1555" t="s">
        <v>938</v>
      </c>
      <c r="G1555" t="s">
        <v>2271</v>
      </c>
      <c r="I1555" t="s">
        <v>1082</v>
      </c>
      <c r="J1555" t="s">
        <v>938</v>
      </c>
      <c r="K1555" t="s">
        <v>39</v>
      </c>
      <c r="O1555" s="1"/>
      <c r="P1555" s="1"/>
      <c r="Q1555" s="1"/>
      <c r="R1555" s="1"/>
    </row>
    <row r="1556" spans="4:18" x14ac:dyDescent="0.35">
      <c r="D1556" t="s">
        <v>177</v>
      </c>
      <c r="E1556" t="s">
        <v>1081</v>
      </c>
      <c r="F1556" t="s">
        <v>956</v>
      </c>
      <c r="G1556" t="s">
        <v>2582</v>
      </c>
      <c r="I1556" t="s">
        <v>1082</v>
      </c>
      <c r="J1556" t="s">
        <v>938</v>
      </c>
      <c r="K1556" s="12" t="s">
        <v>2272</v>
      </c>
      <c r="O1556" s="1"/>
      <c r="P1556" s="1"/>
      <c r="Q1556" s="1"/>
      <c r="R1556" s="1"/>
    </row>
    <row r="1557" spans="4:18" x14ac:dyDescent="0.35">
      <c r="D1557" t="s">
        <v>146</v>
      </c>
      <c r="E1557" t="s">
        <v>1082</v>
      </c>
      <c r="F1557" t="s">
        <v>938</v>
      </c>
      <c r="G1557" t="s">
        <v>2272</v>
      </c>
      <c r="I1557" t="s">
        <v>1082</v>
      </c>
      <c r="J1557" t="s">
        <v>938</v>
      </c>
      <c r="K1557" t="s">
        <v>39</v>
      </c>
      <c r="O1557" s="1"/>
      <c r="P1557" s="1"/>
      <c r="Q1557" s="1"/>
      <c r="R1557" s="1"/>
    </row>
    <row r="1558" spans="4:18" x14ac:dyDescent="0.35">
      <c r="D1558" t="s">
        <v>177</v>
      </c>
      <c r="E1558" t="s">
        <v>1081</v>
      </c>
      <c r="F1558" t="s">
        <v>956</v>
      </c>
      <c r="G1558" t="s">
        <v>2588</v>
      </c>
      <c r="I1558" t="s">
        <v>1082</v>
      </c>
      <c r="J1558" t="s">
        <v>938</v>
      </c>
      <c r="K1558" s="12" t="s">
        <v>2525</v>
      </c>
      <c r="O1558" s="1"/>
      <c r="P1558" s="1"/>
      <c r="Q1558" s="1"/>
      <c r="R1558" s="1"/>
    </row>
    <row r="1559" spans="4:18" x14ac:dyDescent="0.35">
      <c r="D1559" t="s">
        <v>177</v>
      </c>
      <c r="E1559" t="s">
        <v>1081</v>
      </c>
      <c r="F1559" t="s">
        <v>956</v>
      </c>
      <c r="G1559" t="s">
        <v>2561</v>
      </c>
      <c r="I1559" t="s">
        <v>1082</v>
      </c>
      <c r="J1559" t="s">
        <v>938</v>
      </c>
      <c r="K1559" s="12" t="s">
        <v>2462</v>
      </c>
      <c r="O1559" s="1"/>
      <c r="P1559" s="1"/>
      <c r="Q1559" s="1"/>
      <c r="R1559" s="1"/>
    </row>
    <row r="1560" spans="4:18" x14ac:dyDescent="0.35">
      <c r="D1560" t="s">
        <v>177</v>
      </c>
      <c r="E1560" t="s">
        <v>1081</v>
      </c>
      <c r="F1560" t="s">
        <v>956</v>
      </c>
      <c r="G1560" t="s">
        <v>2577</v>
      </c>
      <c r="I1560" t="s">
        <v>1082</v>
      </c>
      <c r="J1560" t="s">
        <v>938</v>
      </c>
      <c r="K1560" s="12" t="s">
        <v>2303</v>
      </c>
      <c r="O1560" s="1"/>
      <c r="P1560" s="1"/>
      <c r="Q1560" s="1"/>
      <c r="R1560" s="1"/>
    </row>
    <row r="1561" spans="4:18" x14ac:dyDescent="0.35">
      <c r="D1561" t="s">
        <v>149</v>
      </c>
      <c r="E1561" t="s">
        <v>1082</v>
      </c>
      <c r="F1561" t="s">
        <v>938</v>
      </c>
      <c r="G1561" t="s">
        <v>2303</v>
      </c>
      <c r="I1561" t="s">
        <v>1082</v>
      </c>
      <c r="J1561" t="s">
        <v>938</v>
      </c>
      <c r="K1561" t="s">
        <v>2295</v>
      </c>
      <c r="O1561" s="1"/>
      <c r="P1561" s="1"/>
      <c r="Q1561" s="1"/>
      <c r="R1561" s="1"/>
    </row>
    <row r="1562" spans="4:18" x14ac:dyDescent="0.35">
      <c r="D1562" t="s">
        <v>177</v>
      </c>
      <c r="E1562" t="s">
        <v>1081</v>
      </c>
      <c r="F1562" t="s">
        <v>956</v>
      </c>
      <c r="G1562" t="s">
        <v>1895</v>
      </c>
      <c r="I1562" t="s">
        <v>1082</v>
      </c>
      <c r="J1562" t="s">
        <v>938</v>
      </c>
      <c r="K1562" s="12" t="s">
        <v>2345</v>
      </c>
      <c r="O1562" s="1"/>
      <c r="P1562" s="1"/>
      <c r="Q1562" s="1"/>
      <c r="R1562" s="1"/>
    </row>
    <row r="1563" spans="4:18" x14ac:dyDescent="0.35">
      <c r="D1563" t="s">
        <v>146</v>
      </c>
      <c r="E1563" t="s">
        <v>1082</v>
      </c>
      <c r="F1563" t="s">
        <v>938</v>
      </c>
      <c r="G1563" t="s">
        <v>2345</v>
      </c>
      <c r="I1563" t="s">
        <v>1082</v>
      </c>
      <c r="J1563" t="s">
        <v>938</v>
      </c>
      <c r="K1563" t="s">
        <v>2261</v>
      </c>
      <c r="O1563" s="1"/>
      <c r="P1563" s="1"/>
      <c r="Q1563" s="1"/>
      <c r="R1563" s="1"/>
    </row>
    <row r="1564" spans="4:18" x14ac:dyDescent="0.35">
      <c r="D1564" t="s">
        <v>149</v>
      </c>
      <c r="E1564" t="s">
        <v>1082</v>
      </c>
      <c r="F1564" t="s">
        <v>938</v>
      </c>
      <c r="G1564" t="s">
        <v>2345</v>
      </c>
      <c r="I1564" t="s">
        <v>1082</v>
      </c>
      <c r="J1564" t="s">
        <v>938</v>
      </c>
      <c r="K1564" t="s">
        <v>2264</v>
      </c>
      <c r="O1564" s="1"/>
      <c r="P1564" s="1"/>
      <c r="Q1564" s="1"/>
      <c r="R1564" s="1"/>
    </row>
    <row r="1565" spans="4:18" x14ac:dyDescent="0.35">
      <c r="D1565" t="s">
        <v>149</v>
      </c>
      <c r="E1565" t="s">
        <v>1082</v>
      </c>
      <c r="F1565" t="s">
        <v>938</v>
      </c>
      <c r="G1565" t="s">
        <v>2345</v>
      </c>
      <c r="I1565" t="s">
        <v>1082</v>
      </c>
      <c r="J1565" t="s">
        <v>938</v>
      </c>
      <c r="K1565" t="s">
        <v>2421</v>
      </c>
      <c r="O1565" s="1"/>
      <c r="P1565" s="1"/>
      <c r="Q1565" s="1"/>
      <c r="R1565" s="1"/>
    </row>
    <row r="1566" spans="4:18" x14ac:dyDescent="0.35">
      <c r="D1566" t="s">
        <v>177</v>
      </c>
      <c r="E1566" t="s">
        <v>1081</v>
      </c>
      <c r="F1566" t="s">
        <v>956</v>
      </c>
      <c r="G1566" t="s">
        <v>2561</v>
      </c>
      <c r="I1566" t="s">
        <v>1082</v>
      </c>
      <c r="J1566" t="s">
        <v>938</v>
      </c>
      <c r="K1566" s="12" t="s">
        <v>2489</v>
      </c>
      <c r="O1566" s="1"/>
      <c r="P1566" s="1"/>
      <c r="Q1566" s="1"/>
      <c r="R1566" s="1"/>
    </row>
    <row r="1567" spans="4:18" x14ac:dyDescent="0.35">
      <c r="D1567" t="s">
        <v>149</v>
      </c>
      <c r="E1567" t="s">
        <v>1082</v>
      </c>
      <c r="F1567" t="s">
        <v>938</v>
      </c>
      <c r="G1567" t="s">
        <v>2489</v>
      </c>
      <c r="I1567" t="s">
        <v>1082</v>
      </c>
      <c r="J1567" t="s">
        <v>938</v>
      </c>
      <c r="K1567" t="s">
        <v>2490</v>
      </c>
      <c r="O1567" s="1"/>
      <c r="P1567" s="1"/>
      <c r="Q1567" s="1"/>
      <c r="R1567" s="1"/>
    </row>
    <row r="1568" spans="4:18" x14ac:dyDescent="0.35">
      <c r="D1568" t="s">
        <v>177</v>
      </c>
      <c r="E1568" t="s">
        <v>1081</v>
      </c>
      <c r="F1568" t="s">
        <v>956</v>
      </c>
      <c r="G1568" t="s">
        <v>3</v>
      </c>
      <c r="I1568" t="s">
        <v>1082</v>
      </c>
      <c r="J1568" t="s">
        <v>938</v>
      </c>
      <c r="K1568" s="12" t="s">
        <v>2306</v>
      </c>
      <c r="O1568" s="1"/>
      <c r="P1568" s="1"/>
      <c r="Q1568" s="1"/>
      <c r="R1568" s="1"/>
    </row>
    <row r="1569" spans="4:18" x14ac:dyDescent="0.35">
      <c r="D1569" t="s">
        <v>1315</v>
      </c>
      <c r="E1569" t="s">
        <v>1082</v>
      </c>
      <c r="F1569" t="s">
        <v>938</v>
      </c>
      <c r="G1569" t="s">
        <v>2306</v>
      </c>
      <c r="I1569" t="s">
        <v>1308</v>
      </c>
      <c r="J1569" t="s">
        <v>938</v>
      </c>
      <c r="K1569" t="s">
        <v>2444</v>
      </c>
      <c r="O1569" s="1"/>
      <c r="P1569" s="1"/>
      <c r="Q1569" s="1"/>
      <c r="R1569" s="1"/>
    </row>
    <row r="1570" spans="4:18" x14ac:dyDescent="0.35">
      <c r="D1570" t="s">
        <v>146</v>
      </c>
      <c r="E1570" t="s">
        <v>1082</v>
      </c>
      <c r="F1570" t="s">
        <v>938</v>
      </c>
      <c r="G1570" t="s">
        <v>2306</v>
      </c>
      <c r="I1570" t="s">
        <v>1082</v>
      </c>
      <c r="J1570" t="s">
        <v>938</v>
      </c>
      <c r="K1570" t="s">
        <v>2308</v>
      </c>
      <c r="O1570" s="1"/>
      <c r="P1570" s="1"/>
      <c r="Q1570" s="1"/>
      <c r="R1570" s="1"/>
    </row>
    <row r="1571" spans="4:18" x14ac:dyDescent="0.35">
      <c r="D1571" t="s">
        <v>149</v>
      </c>
      <c r="E1571" t="s">
        <v>1082</v>
      </c>
      <c r="F1571" t="s">
        <v>938</v>
      </c>
      <c r="G1571" t="s">
        <v>2306</v>
      </c>
      <c r="I1571" t="s">
        <v>1082</v>
      </c>
      <c r="J1571" t="s">
        <v>938</v>
      </c>
      <c r="K1571" t="s">
        <v>58</v>
      </c>
      <c r="O1571" s="1"/>
      <c r="P1571" s="1"/>
      <c r="Q1571" s="1"/>
      <c r="R1571" s="1"/>
    </row>
    <row r="1572" spans="4:18" x14ac:dyDescent="0.35">
      <c r="D1572" t="s">
        <v>177</v>
      </c>
      <c r="E1572" t="s">
        <v>1081</v>
      </c>
      <c r="F1572" t="s">
        <v>956</v>
      </c>
      <c r="G1572" t="s">
        <v>2561</v>
      </c>
      <c r="I1572" t="s">
        <v>1082</v>
      </c>
      <c r="J1572" t="s">
        <v>938</v>
      </c>
      <c r="K1572" s="12" t="s">
        <v>2290</v>
      </c>
      <c r="O1572" s="1"/>
      <c r="P1572" s="1"/>
      <c r="Q1572" s="1"/>
      <c r="R1572" s="1"/>
    </row>
    <row r="1573" spans="4:18" x14ac:dyDescent="0.35">
      <c r="D1573" t="s">
        <v>1315</v>
      </c>
      <c r="E1573" t="s">
        <v>1082</v>
      </c>
      <c r="F1573" t="s">
        <v>938</v>
      </c>
      <c r="G1573" t="s">
        <v>2290</v>
      </c>
      <c r="I1573" t="s">
        <v>1308</v>
      </c>
      <c r="J1573" t="s">
        <v>938</v>
      </c>
      <c r="K1573" t="s">
        <v>2453</v>
      </c>
      <c r="O1573" s="1"/>
      <c r="P1573" s="1"/>
      <c r="Q1573" s="1"/>
      <c r="R1573" s="1"/>
    </row>
    <row r="1574" spans="4:18" x14ac:dyDescent="0.35">
      <c r="D1574" t="s">
        <v>1315</v>
      </c>
      <c r="E1574" t="s">
        <v>1082</v>
      </c>
      <c r="F1574" t="s">
        <v>938</v>
      </c>
      <c r="G1574" t="s">
        <v>2290</v>
      </c>
      <c r="I1574" t="s">
        <v>1308</v>
      </c>
      <c r="J1574" t="s">
        <v>938</v>
      </c>
      <c r="K1574" t="s">
        <v>2283</v>
      </c>
      <c r="O1574" s="1"/>
      <c r="P1574" s="1"/>
      <c r="Q1574" s="1"/>
      <c r="R1574" s="1"/>
    </row>
    <row r="1575" spans="4:18" x14ac:dyDescent="0.35">
      <c r="D1575" t="s">
        <v>146</v>
      </c>
      <c r="E1575" t="s">
        <v>1082</v>
      </c>
      <c r="F1575" t="s">
        <v>938</v>
      </c>
      <c r="G1575" t="s">
        <v>2290</v>
      </c>
      <c r="I1575" t="s">
        <v>1082</v>
      </c>
      <c r="J1575" t="s">
        <v>938</v>
      </c>
      <c r="K1575" t="s">
        <v>2264</v>
      </c>
      <c r="O1575" s="1"/>
      <c r="P1575" s="1"/>
      <c r="Q1575" s="1"/>
      <c r="R1575" s="1"/>
    </row>
    <row r="1576" spans="4:18" x14ac:dyDescent="0.35">
      <c r="D1576" t="s">
        <v>146</v>
      </c>
      <c r="E1576" t="s">
        <v>1082</v>
      </c>
      <c r="F1576" t="s">
        <v>938</v>
      </c>
      <c r="G1576" t="s">
        <v>2290</v>
      </c>
      <c r="I1576" t="s">
        <v>1082</v>
      </c>
      <c r="J1576" t="s">
        <v>938</v>
      </c>
      <c r="K1576" t="s">
        <v>2265</v>
      </c>
      <c r="O1576" s="1"/>
      <c r="P1576" s="1"/>
      <c r="Q1576" s="1"/>
      <c r="R1576" s="1"/>
    </row>
    <row r="1577" spans="4:18" x14ac:dyDescent="0.35">
      <c r="D1577" t="s">
        <v>146</v>
      </c>
      <c r="E1577" t="s">
        <v>1082</v>
      </c>
      <c r="F1577" t="s">
        <v>938</v>
      </c>
      <c r="G1577" t="s">
        <v>2290</v>
      </c>
      <c r="I1577" t="s">
        <v>1082</v>
      </c>
      <c r="J1577" t="s">
        <v>938</v>
      </c>
      <c r="K1577" t="s">
        <v>2266</v>
      </c>
      <c r="O1577" s="1"/>
      <c r="P1577" s="1"/>
      <c r="Q1577" s="1"/>
      <c r="R1577" s="1"/>
    </row>
    <row r="1578" spans="4:18" x14ac:dyDescent="0.35">
      <c r="D1578" t="s">
        <v>146</v>
      </c>
      <c r="E1578" t="s">
        <v>1082</v>
      </c>
      <c r="F1578" t="s">
        <v>938</v>
      </c>
      <c r="G1578" t="s">
        <v>2290</v>
      </c>
      <c r="I1578" t="s">
        <v>1082</v>
      </c>
      <c r="J1578" t="s">
        <v>938</v>
      </c>
      <c r="K1578" t="s">
        <v>2267</v>
      </c>
      <c r="O1578" s="1"/>
      <c r="P1578" s="1"/>
      <c r="Q1578" s="1"/>
      <c r="R1578" s="1"/>
    </row>
    <row r="1579" spans="4:18" x14ac:dyDescent="0.35">
      <c r="D1579" t="s">
        <v>146</v>
      </c>
      <c r="E1579" t="s">
        <v>1082</v>
      </c>
      <c r="F1579" t="s">
        <v>938</v>
      </c>
      <c r="G1579" t="s">
        <v>2290</v>
      </c>
      <c r="I1579" t="s">
        <v>1082</v>
      </c>
      <c r="J1579" t="s">
        <v>938</v>
      </c>
      <c r="K1579" t="s">
        <v>255</v>
      </c>
      <c r="O1579" s="1"/>
      <c r="P1579" s="1"/>
      <c r="Q1579" s="1"/>
      <c r="R1579" s="1"/>
    </row>
    <row r="1580" spans="4:18" x14ac:dyDescent="0.35">
      <c r="D1580" t="s">
        <v>146</v>
      </c>
      <c r="E1580" t="s">
        <v>1082</v>
      </c>
      <c r="F1580" t="s">
        <v>938</v>
      </c>
      <c r="G1580" t="s">
        <v>2290</v>
      </c>
      <c r="I1580" t="s">
        <v>1082</v>
      </c>
      <c r="J1580" t="s">
        <v>938</v>
      </c>
      <c r="K1580" t="s">
        <v>43</v>
      </c>
      <c r="O1580" s="1"/>
      <c r="P1580" s="1"/>
      <c r="Q1580" s="1"/>
      <c r="R1580" s="1"/>
    </row>
    <row r="1581" spans="4:18" x14ac:dyDescent="0.35">
      <c r="D1581" t="s">
        <v>146</v>
      </c>
      <c r="E1581" t="s">
        <v>1082</v>
      </c>
      <c r="F1581" t="s">
        <v>938</v>
      </c>
      <c r="G1581" t="s">
        <v>2290</v>
      </c>
      <c r="I1581" t="s">
        <v>1082</v>
      </c>
      <c r="J1581" t="s">
        <v>938</v>
      </c>
      <c r="K1581" t="s">
        <v>2461</v>
      </c>
      <c r="O1581" s="1"/>
      <c r="P1581" s="1"/>
      <c r="Q1581" s="1"/>
      <c r="R1581" s="1"/>
    </row>
    <row r="1582" spans="4:18" x14ac:dyDescent="0.35">
      <c r="D1582" t="s">
        <v>146</v>
      </c>
      <c r="E1582" t="s">
        <v>1082</v>
      </c>
      <c r="F1582" t="s">
        <v>938</v>
      </c>
      <c r="G1582" t="s">
        <v>2290</v>
      </c>
      <c r="I1582" t="s">
        <v>1082</v>
      </c>
      <c r="J1582" t="s">
        <v>938</v>
      </c>
      <c r="K1582" t="s">
        <v>2270</v>
      </c>
      <c r="O1582" s="1"/>
      <c r="P1582" s="1"/>
      <c r="Q1582" s="1"/>
      <c r="R1582" s="1"/>
    </row>
    <row r="1583" spans="4:18" x14ac:dyDescent="0.35">
      <c r="D1583" t="s">
        <v>146</v>
      </c>
      <c r="E1583" t="s">
        <v>1082</v>
      </c>
      <c r="F1583" t="s">
        <v>938</v>
      </c>
      <c r="G1583" t="s">
        <v>2290</v>
      </c>
      <c r="I1583" t="s">
        <v>1082</v>
      </c>
      <c r="J1583" t="s">
        <v>938</v>
      </c>
      <c r="K1583" t="s">
        <v>2462</v>
      </c>
      <c r="O1583" s="1"/>
      <c r="P1583" s="1"/>
      <c r="Q1583" s="1"/>
      <c r="R1583" s="1"/>
    </row>
    <row r="1584" spans="4:18" x14ac:dyDescent="0.35">
      <c r="D1584" t="s">
        <v>149</v>
      </c>
      <c r="E1584" t="s">
        <v>1082</v>
      </c>
      <c r="F1584" t="s">
        <v>938</v>
      </c>
      <c r="G1584" t="s">
        <v>2290</v>
      </c>
      <c r="I1584" t="s">
        <v>1082</v>
      </c>
      <c r="J1584" t="s">
        <v>938</v>
      </c>
      <c r="K1584" t="s">
        <v>2463</v>
      </c>
      <c r="O1584" s="1"/>
      <c r="P1584" s="1"/>
      <c r="Q1584" s="1"/>
      <c r="R1584" s="1"/>
    </row>
    <row r="1585" spans="4:18" x14ac:dyDescent="0.35">
      <c r="D1585" t="s">
        <v>177</v>
      </c>
      <c r="E1585" t="s">
        <v>1081</v>
      </c>
      <c r="F1585" t="s">
        <v>956</v>
      </c>
      <c r="G1585" t="s">
        <v>2561</v>
      </c>
      <c r="I1585" t="s">
        <v>1082</v>
      </c>
      <c r="J1585" t="s">
        <v>938</v>
      </c>
      <c r="K1585" s="12" t="s">
        <v>2487</v>
      </c>
      <c r="O1585" s="1"/>
      <c r="P1585" s="1"/>
      <c r="Q1585" s="1"/>
      <c r="R1585" s="1"/>
    </row>
    <row r="1586" spans="4:18" x14ac:dyDescent="0.35">
      <c r="D1586" t="s">
        <v>1315</v>
      </c>
      <c r="E1586" t="s">
        <v>1082</v>
      </c>
      <c r="F1586" t="s">
        <v>938</v>
      </c>
      <c r="G1586" t="s">
        <v>2487</v>
      </c>
      <c r="I1586" t="s">
        <v>1308</v>
      </c>
      <c r="J1586" t="s">
        <v>938</v>
      </c>
      <c r="K1586" t="s">
        <v>2483</v>
      </c>
      <c r="O1586" s="1"/>
      <c r="P1586" s="1"/>
      <c r="Q1586" s="1"/>
      <c r="R1586" s="1"/>
    </row>
    <row r="1587" spans="4:18" x14ac:dyDescent="0.35">
      <c r="D1587" t="s">
        <v>1315</v>
      </c>
      <c r="E1587" t="s">
        <v>1082</v>
      </c>
      <c r="F1587" t="s">
        <v>938</v>
      </c>
      <c r="G1587" t="s">
        <v>2487</v>
      </c>
      <c r="I1587" t="s">
        <v>1308</v>
      </c>
      <c r="J1587" t="s">
        <v>938</v>
      </c>
      <c r="K1587" t="s">
        <v>2283</v>
      </c>
      <c r="O1587" s="1"/>
      <c r="P1587" s="1"/>
      <c r="Q1587" s="1"/>
      <c r="R1587" s="1"/>
    </row>
    <row r="1588" spans="4:18" x14ac:dyDescent="0.35">
      <c r="D1588" t="s">
        <v>146</v>
      </c>
      <c r="E1588" t="s">
        <v>1082</v>
      </c>
      <c r="F1588" t="s">
        <v>938</v>
      </c>
      <c r="G1588" t="s">
        <v>2487</v>
      </c>
      <c r="I1588" t="s">
        <v>1082</v>
      </c>
      <c r="J1588" t="s">
        <v>938</v>
      </c>
      <c r="K1588" t="s">
        <v>2268</v>
      </c>
      <c r="O1588" s="1"/>
      <c r="P1588" s="1"/>
      <c r="Q1588" s="1"/>
      <c r="R1588" s="1"/>
    </row>
    <row r="1589" spans="4:18" x14ac:dyDescent="0.35">
      <c r="D1589" t="s">
        <v>177</v>
      </c>
      <c r="E1589" t="s">
        <v>1081</v>
      </c>
      <c r="F1589" t="s">
        <v>956</v>
      </c>
      <c r="G1589" t="s">
        <v>2561</v>
      </c>
      <c r="I1589" t="s">
        <v>1082</v>
      </c>
      <c r="J1589" t="s">
        <v>938</v>
      </c>
      <c r="K1589" s="12" t="s">
        <v>2380</v>
      </c>
      <c r="O1589" s="1"/>
      <c r="P1589" s="1"/>
      <c r="Q1589" s="1"/>
      <c r="R1589" s="1"/>
    </row>
    <row r="1590" spans="4:18" x14ac:dyDescent="0.35">
      <c r="D1590" t="s">
        <v>1315</v>
      </c>
      <c r="E1590" t="s">
        <v>1082</v>
      </c>
      <c r="F1590" t="s">
        <v>938</v>
      </c>
      <c r="G1590" t="s">
        <v>2380</v>
      </c>
      <c r="I1590" t="s">
        <v>1308</v>
      </c>
      <c r="J1590" t="s">
        <v>938</v>
      </c>
      <c r="K1590" t="s">
        <v>2506</v>
      </c>
      <c r="O1590" s="1"/>
      <c r="P1590" s="1"/>
      <c r="Q1590" s="1"/>
      <c r="R1590" s="1"/>
    </row>
    <row r="1591" spans="4:18" x14ac:dyDescent="0.35">
      <c r="D1591" t="s">
        <v>1315</v>
      </c>
      <c r="E1591" t="s">
        <v>1082</v>
      </c>
      <c r="F1591" t="s">
        <v>938</v>
      </c>
      <c r="G1591" t="s">
        <v>2380</v>
      </c>
      <c r="I1591" t="s">
        <v>1308</v>
      </c>
      <c r="J1591" t="s">
        <v>938</v>
      </c>
      <c r="K1591" t="s">
        <v>2283</v>
      </c>
      <c r="O1591" s="1"/>
      <c r="P1591" s="1"/>
      <c r="Q1591" s="1"/>
      <c r="R1591" s="1"/>
    </row>
    <row r="1592" spans="4:18" x14ac:dyDescent="0.35">
      <c r="D1592" t="s">
        <v>146</v>
      </c>
      <c r="E1592" t="s">
        <v>1082</v>
      </c>
      <c r="F1592" t="s">
        <v>938</v>
      </c>
      <c r="G1592" t="s">
        <v>2380</v>
      </c>
      <c r="I1592" t="s">
        <v>1082</v>
      </c>
      <c r="J1592" t="s">
        <v>938</v>
      </c>
      <c r="K1592" t="s">
        <v>2264</v>
      </c>
      <c r="O1592" s="1"/>
      <c r="P1592" s="1"/>
      <c r="Q1592" s="1"/>
      <c r="R1592" s="1"/>
    </row>
    <row r="1593" spans="4:18" x14ac:dyDescent="0.35">
      <c r="D1593" t="s">
        <v>177</v>
      </c>
      <c r="E1593" t="s">
        <v>1081</v>
      </c>
      <c r="F1593" t="s">
        <v>956</v>
      </c>
      <c r="G1593" t="s">
        <v>2561</v>
      </c>
      <c r="I1593" t="s">
        <v>1082</v>
      </c>
      <c r="J1593" t="s">
        <v>938</v>
      </c>
      <c r="K1593" s="12" t="s">
        <v>2488</v>
      </c>
      <c r="O1593" s="1"/>
      <c r="P1593" s="1"/>
      <c r="Q1593" s="1"/>
      <c r="R1593" s="1"/>
    </row>
    <row r="1594" spans="4:18" x14ac:dyDescent="0.35">
      <c r="D1594" t="s">
        <v>1315</v>
      </c>
      <c r="E1594" t="s">
        <v>1082</v>
      </c>
      <c r="F1594" t="s">
        <v>938</v>
      </c>
      <c r="G1594" t="s">
        <v>2488</v>
      </c>
      <c r="I1594" t="s">
        <v>1308</v>
      </c>
      <c r="J1594" t="s">
        <v>938</v>
      </c>
      <c r="K1594" t="s">
        <v>2283</v>
      </c>
      <c r="O1594" s="1"/>
      <c r="P1594" s="1"/>
      <c r="Q1594" s="1"/>
      <c r="R1594" s="1"/>
    </row>
    <row r="1595" spans="4:18" x14ac:dyDescent="0.35">
      <c r="D1595" t="s">
        <v>146</v>
      </c>
      <c r="E1595" t="s">
        <v>1082</v>
      </c>
      <c r="F1595" t="s">
        <v>938</v>
      </c>
      <c r="G1595" t="s">
        <v>2488</v>
      </c>
      <c r="I1595" t="s">
        <v>1082</v>
      </c>
      <c r="J1595" t="s">
        <v>938</v>
      </c>
      <c r="K1595" t="s">
        <v>2490</v>
      </c>
      <c r="O1595" s="1"/>
      <c r="P1595" s="1"/>
      <c r="Q1595" s="1"/>
      <c r="R1595" s="1"/>
    </row>
    <row r="1596" spans="4:18" x14ac:dyDescent="0.35">
      <c r="D1596" t="s">
        <v>146</v>
      </c>
      <c r="E1596" t="s">
        <v>1082</v>
      </c>
      <c r="F1596" t="s">
        <v>938</v>
      </c>
      <c r="G1596" t="s">
        <v>2488</v>
      </c>
      <c r="I1596" t="s">
        <v>1082</v>
      </c>
      <c r="J1596" t="s">
        <v>938</v>
      </c>
      <c r="K1596" t="s">
        <v>2489</v>
      </c>
      <c r="O1596" s="1"/>
      <c r="P1596" s="1"/>
      <c r="Q1596" s="1"/>
      <c r="R1596" s="1"/>
    </row>
    <row r="1597" spans="4:18" x14ac:dyDescent="0.35">
      <c r="D1597" t="s">
        <v>177</v>
      </c>
      <c r="E1597" t="s">
        <v>1081</v>
      </c>
      <c r="F1597" t="s">
        <v>956</v>
      </c>
      <c r="G1597" t="s">
        <v>2593</v>
      </c>
      <c r="I1597" t="s">
        <v>1082</v>
      </c>
      <c r="J1597" t="s">
        <v>938</v>
      </c>
      <c r="K1597" s="12" t="s">
        <v>2491</v>
      </c>
      <c r="O1597" s="1"/>
      <c r="P1597" s="1"/>
      <c r="Q1597" s="1"/>
      <c r="R1597" s="1"/>
    </row>
    <row r="1598" spans="4:18" x14ac:dyDescent="0.35">
      <c r="D1598" t="s">
        <v>1315</v>
      </c>
      <c r="E1598" t="s">
        <v>1082</v>
      </c>
      <c r="F1598" t="s">
        <v>938</v>
      </c>
      <c r="G1598" t="s">
        <v>2491</v>
      </c>
      <c r="I1598" t="s">
        <v>1308</v>
      </c>
      <c r="J1598" t="s">
        <v>938</v>
      </c>
      <c r="K1598" t="s">
        <v>2283</v>
      </c>
      <c r="O1598" s="1"/>
      <c r="P1598" s="1"/>
      <c r="Q1598" s="1"/>
      <c r="R1598" s="1"/>
    </row>
    <row r="1599" spans="4:18" x14ac:dyDescent="0.35">
      <c r="D1599" t="s">
        <v>177</v>
      </c>
      <c r="E1599" t="s">
        <v>1081</v>
      </c>
      <c r="F1599" t="s">
        <v>956</v>
      </c>
      <c r="G1599" t="s">
        <v>2568</v>
      </c>
      <c r="I1599" t="s">
        <v>1082</v>
      </c>
      <c r="J1599" t="s">
        <v>938</v>
      </c>
      <c r="K1599" s="12" t="s">
        <v>2416</v>
      </c>
      <c r="O1599" s="1"/>
      <c r="P1599" s="1"/>
      <c r="Q1599" s="1"/>
      <c r="R1599" s="1"/>
    </row>
    <row r="1600" spans="4:18" x14ac:dyDescent="0.35">
      <c r="D1600" t="s">
        <v>146</v>
      </c>
      <c r="E1600" t="s">
        <v>1082</v>
      </c>
      <c r="F1600" t="s">
        <v>938</v>
      </c>
      <c r="G1600" t="s">
        <v>2416</v>
      </c>
      <c r="I1600" t="s">
        <v>1082</v>
      </c>
      <c r="J1600" t="s">
        <v>938</v>
      </c>
      <c r="K1600" t="s">
        <v>2307</v>
      </c>
      <c r="O1600" s="1"/>
      <c r="P1600" s="1"/>
      <c r="Q1600" s="1"/>
      <c r="R1600" s="1"/>
    </row>
    <row r="1601" spans="1:18" x14ac:dyDescent="0.35">
      <c r="D1601" t="s">
        <v>149</v>
      </c>
      <c r="E1601" t="s">
        <v>1082</v>
      </c>
      <c r="F1601" t="s">
        <v>938</v>
      </c>
      <c r="G1601" t="s">
        <v>2416</v>
      </c>
      <c r="I1601" t="s">
        <v>1082</v>
      </c>
      <c r="J1601" t="s">
        <v>938</v>
      </c>
      <c r="K1601" t="s">
        <v>2303</v>
      </c>
      <c r="O1601" s="1"/>
      <c r="P1601" s="1"/>
      <c r="Q1601" s="1"/>
      <c r="R1601" s="1"/>
    </row>
    <row r="1602" spans="1:18" x14ac:dyDescent="0.35">
      <c r="D1602" t="s">
        <v>149</v>
      </c>
      <c r="E1602" t="s">
        <v>1082</v>
      </c>
      <c r="F1602" t="s">
        <v>938</v>
      </c>
      <c r="G1602" t="s">
        <v>2416</v>
      </c>
      <c r="I1602" t="s">
        <v>1082</v>
      </c>
      <c r="J1602" t="s">
        <v>938</v>
      </c>
      <c r="K1602" t="s">
        <v>2526</v>
      </c>
      <c r="O1602" s="1"/>
      <c r="P1602" s="1"/>
      <c r="Q1602" s="1"/>
      <c r="R1602" s="1"/>
    </row>
    <row r="1603" spans="1:18" x14ac:dyDescent="0.35">
      <c r="D1603" t="s">
        <v>149</v>
      </c>
      <c r="E1603" t="s">
        <v>1082</v>
      </c>
      <c r="F1603" t="s">
        <v>938</v>
      </c>
      <c r="G1603" t="s">
        <v>2416</v>
      </c>
      <c r="I1603" t="s">
        <v>1082</v>
      </c>
      <c r="J1603" t="s">
        <v>938</v>
      </c>
      <c r="K1603" t="s">
        <v>2525</v>
      </c>
      <c r="O1603" s="1"/>
      <c r="P1603" s="1"/>
      <c r="Q1603" s="1"/>
      <c r="R1603" s="1"/>
    </row>
    <row r="1604" spans="1:18" s="21" customFormat="1" x14ac:dyDescent="0.3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 s="1"/>
      <c r="P1604" s="1"/>
      <c r="Q1604" s="1"/>
      <c r="R1604" s="1"/>
    </row>
    <row r="1605" spans="1:18" x14ac:dyDescent="0.35">
      <c r="A1605" s="21"/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2"/>
      <c r="P1605" s="22"/>
      <c r="Q1605" s="22"/>
      <c r="R1605" s="22"/>
    </row>
    <row r="1606" spans="1:18" x14ac:dyDescent="0.35">
      <c r="F1606"/>
      <c r="O1606" s="1"/>
      <c r="P1606" s="1"/>
      <c r="Q1606" s="1"/>
      <c r="R1606" s="1"/>
    </row>
    <row r="1607" spans="1:18" s="15" customFormat="1" x14ac:dyDescent="0.3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 s="1"/>
      <c r="P1607" s="1"/>
      <c r="Q1607" s="1"/>
      <c r="R1607" s="1"/>
    </row>
    <row r="1608" spans="1:18" x14ac:dyDescent="0.35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20"/>
      <c r="P1608" s="20"/>
      <c r="Q1608" s="20"/>
      <c r="R1608" s="20"/>
    </row>
    <row r="1609" spans="1:18" x14ac:dyDescent="0.35">
      <c r="F1609"/>
      <c r="O1609" s="1"/>
      <c r="P1609" s="1"/>
      <c r="Q1609" s="1"/>
      <c r="R1609" s="1"/>
    </row>
    <row r="1610" spans="1:18" x14ac:dyDescent="0.35">
      <c r="D1610" t="s">
        <v>177</v>
      </c>
      <c r="F1610"/>
      <c r="H1610" t="s">
        <v>3</v>
      </c>
      <c r="L1610" s="12" t="s">
        <v>150</v>
      </c>
      <c r="O1610" s="1"/>
      <c r="P1610" s="1"/>
      <c r="Q1610" s="1"/>
      <c r="R1610" s="1"/>
    </row>
    <row r="1611" spans="1:18" x14ac:dyDescent="0.35">
      <c r="D1611" t="s">
        <v>26</v>
      </c>
      <c r="F1611"/>
      <c r="H1611" t="s">
        <v>150</v>
      </c>
      <c r="L1611" t="s">
        <v>147</v>
      </c>
      <c r="O1611" s="1"/>
      <c r="P1611" s="1"/>
      <c r="Q1611" s="1"/>
      <c r="R1611" s="1"/>
    </row>
    <row r="1612" spans="1:18" x14ac:dyDescent="0.35">
      <c r="D1612" t="s">
        <v>177</v>
      </c>
      <c r="F1612"/>
      <c r="H1612" t="s">
        <v>3</v>
      </c>
      <c r="L1612" s="12" t="s">
        <v>168</v>
      </c>
      <c r="O1612" s="1"/>
      <c r="P1612" s="1"/>
      <c r="Q1612" s="1"/>
      <c r="R1612" s="1"/>
    </row>
    <row r="1613" spans="1:18" x14ac:dyDescent="0.35">
      <c r="D1613" t="s">
        <v>26</v>
      </c>
      <c r="F1613"/>
      <c r="H1613" t="s">
        <v>168</v>
      </c>
      <c r="L1613" t="s">
        <v>4</v>
      </c>
      <c r="O1613" s="1"/>
      <c r="P1613" s="1"/>
      <c r="Q1613" s="1"/>
      <c r="R1613" s="1"/>
    </row>
    <row r="1614" spans="1:18" x14ac:dyDescent="0.35">
      <c r="D1614" t="s">
        <v>177</v>
      </c>
      <c r="F1614"/>
      <c r="H1614" t="s">
        <v>3</v>
      </c>
      <c r="L1614" s="12" t="s">
        <v>68</v>
      </c>
      <c r="O1614" s="1"/>
      <c r="P1614" s="1"/>
      <c r="Q1614" s="1"/>
      <c r="R1614" s="1"/>
    </row>
    <row r="1615" spans="1:18" x14ac:dyDescent="0.35">
      <c r="D1615" t="s">
        <v>26</v>
      </c>
      <c r="F1615"/>
      <c r="H1615" t="s">
        <v>68</v>
      </c>
      <c r="L1615" t="s">
        <v>66</v>
      </c>
      <c r="O1615" s="1"/>
      <c r="P1615" s="1"/>
      <c r="Q1615" s="1"/>
      <c r="R1615" s="1"/>
    </row>
    <row r="1616" spans="1:18" x14ac:dyDescent="0.35">
      <c r="D1616" t="s">
        <v>177</v>
      </c>
      <c r="F1616"/>
      <c r="H1616" t="s">
        <v>3</v>
      </c>
      <c r="L1616" s="12" t="s">
        <v>52</v>
      </c>
      <c r="O1616" s="1"/>
      <c r="P1616" s="1"/>
      <c r="Q1616" s="1"/>
      <c r="R1616" s="1"/>
    </row>
    <row r="1617" spans="4:18" x14ac:dyDescent="0.35">
      <c r="D1617" t="s">
        <v>26</v>
      </c>
      <c r="F1617"/>
      <c r="H1617" t="s">
        <v>52</v>
      </c>
      <c r="L1617" t="s">
        <v>48</v>
      </c>
      <c r="O1617" s="1"/>
      <c r="P1617" s="1"/>
      <c r="Q1617" s="1"/>
      <c r="R1617" s="1"/>
    </row>
    <row r="1618" spans="4:18" x14ac:dyDescent="0.35">
      <c r="D1618" t="s">
        <v>177</v>
      </c>
      <c r="F1618"/>
      <c r="H1618" t="s">
        <v>3</v>
      </c>
      <c r="L1618" s="12" t="s">
        <v>55</v>
      </c>
      <c r="O1618" s="1"/>
      <c r="P1618" s="1"/>
      <c r="Q1618" s="1"/>
      <c r="R1618" s="1"/>
    </row>
    <row r="1619" spans="4:18" x14ac:dyDescent="0.35">
      <c r="D1619" t="s">
        <v>26</v>
      </c>
      <c r="F1619"/>
      <c r="H1619" t="s">
        <v>55</v>
      </c>
      <c r="L1619" t="s">
        <v>58</v>
      </c>
      <c r="O1619" s="1"/>
      <c r="P1619" s="1"/>
      <c r="Q1619" s="1"/>
      <c r="R1619" s="1"/>
    </row>
    <row r="1620" spans="4:18" x14ac:dyDescent="0.35">
      <c r="D1620" t="s">
        <v>177</v>
      </c>
      <c r="F1620"/>
      <c r="H1620" t="s">
        <v>3</v>
      </c>
      <c r="L1620" s="12" t="s">
        <v>78</v>
      </c>
      <c r="O1620" s="1"/>
      <c r="P1620" s="1"/>
      <c r="Q1620" s="1"/>
      <c r="R1620" s="1"/>
    </row>
    <row r="1621" spans="4:18" x14ac:dyDescent="0.35">
      <c r="D1621" t="s">
        <v>26</v>
      </c>
      <c r="F1621"/>
      <c r="H1621" t="s">
        <v>78</v>
      </c>
      <c r="L1621" t="s">
        <v>80</v>
      </c>
      <c r="O1621" s="1"/>
      <c r="P1621" s="1"/>
      <c r="Q1621" s="1"/>
      <c r="R1621" s="1"/>
    </row>
    <row r="1622" spans="4:18" x14ac:dyDescent="0.35">
      <c r="D1622" t="s">
        <v>180</v>
      </c>
      <c r="F1622"/>
      <c r="H1622" t="s">
        <v>179</v>
      </c>
      <c r="L1622" t="s">
        <v>178</v>
      </c>
      <c r="O1622" s="1"/>
      <c r="P1622" s="1"/>
      <c r="Q1622" s="1"/>
      <c r="R1622" s="1"/>
    </row>
    <row r="1623" spans="4:18" x14ac:dyDescent="0.35">
      <c r="D1623" t="s">
        <v>177</v>
      </c>
      <c r="F1623"/>
      <c r="H1623" t="s">
        <v>171</v>
      </c>
      <c r="L1623" s="12" t="s">
        <v>335</v>
      </c>
      <c r="O1623" s="1"/>
      <c r="P1623" s="1"/>
      <c r="Q1623" s="1"/>
      <c r="R1623" s="1"/>
    </row>
    <row r="1624" spans="4:18" x14ac:dyDescent="0.35">
      <c r="D1624" t="s">
        <v>110</v>
      </c>
      <c r="F1624"/>
      <c r="H1624" t="s">
        <v>335</v>
      </c>
      <c r="L1624" t="s">
        <v>336</v>
      </c>
      <c r="O1624" s="1"/>
      <c r="P1624" s="1"/>
      <c r="Q1624" s="1"/>
      <c r="R1624" s="1"/>
    </row>
    <row r="1625" spans="4:18" x14ac:dyDescent="0.35">
      <c r="D1625" t="s">
        <v>177</v>
      </c>
      <c r="F1625"/>
      <c r="H1625" t="s">
        <v>171</v>
      </c>
      <c r="L1625" s="12" t="s">
        <v>0</v>
      </c>
      <c r="O1625" s="1"/>
      <c r="P1625" s="1"/>
      <c r="Q1625" s="1"/>
      <c r="R1625" s="1"/>
    </row>
    <row r="1626" spans="4:18" x14ac:dyDescent="0.35">
      <c r="D1626" t="s">
        <v>181</v>
      </c>
      <c r="F1626"/>
      <c r="H1626" t="s">
        <v>0</v>
      </c>
      <c r="L1626" t="s">
        <v>179</v>
      </c>
      <c r="O1626" s="1"/>
      <c r="P1626" s="1"/>
      <c r="Q1626" s="1"/>
      <c r="R1626" s="1"/>
    </row>
    <row r="1627" spans="4:18" x14ac:dyDescent="0.35">
      <c r="D1627" t="s">
        <v>118</v>
      </c>
      <c r="F1627"/>
      <c r="H1627" t="s">
        <v>0</v>
      </c>
      <c r="L1627" t="s">
        <v>335</v>
      </c>
      <c r="O1627" s="1"/>
      <c r="P1627" s="1"/>
      <c r="Q1627" s="1"/>
      <c r="R1627" s="1"/>
    </row>
    <row r="1628" spans="4:18" x14ac:dyDescent="0.35">
      <c r="D1628" t="s">
        <v>181</v>
      </c>
      <c r="F1628"/>
      <c r="H1628" t="s">
        <v>0</v>
      </c>
      <c r="L1628" t="s">
        <v>182</v>
      </c>
      <c r="O1628" s="1">
        <v>1.1000000000000001</v>
      </c>
      <c r="P1628" s="1"/>
      <c r="Q1628" s="1"/>
      <c r="R1628" s="1"/>
    </row>
    <row r="1629" spans="4:18" x14ac:dyDescent="0.35">
      <c r="D1629" t="s">
        <v>181</v>
      </c>
      <c r="F1629"/>
      <c r="H1629" t="s">
        <v>0</v>
      </c>
      <c r="L1629" t="s">
        <v>183</v>
      </c>
      <c r="O1629" s="1" t="s">
        <v>207</v>
      </c>
      <c r="P1629" s="1"/>
      <c r="Q1629" s="1"/>
      <c r="R1629" s="1"/>
    </row>
    <row r="1630" spans="4:18" x14ac:dyDescent="0.35">
      <c r="D1630" t="s">
        <v>181</v>
      </c>
      <c r="F1630"/>
      <c r="H1630" t="s">
        <v>0</v>
      </c>
      <c r="L1630" t="s">
        <v>184</v>
      </c>
      <c r="O1630" s="1" t="s">
        <v>207</v>
      </c>
      <c r="P1630" s="1"/>
      <c r="Q1630" s="1"/>
      <c r="R1630" s="1"/>
    </row>
    <row r="1631" spans="4:18" x14ac:dyDescent="0.35">
      <c r="D1631" t="s">
        <v>181</v>
      </c>
      <c r="F1631"/>
      <c r="H1631" t="s">
        <v>0</v>
      </c>
      <c r="L1631" t="s">
        <v>185</v>
      </c>
      <c r="O1631" s="1" t="s">
        <v>207</v>
      </c>
      <c r="P1631" s="1"/>
      <c r="Q1631" s="1"/>
      <c r="R1631" s="1"/>
    </row>
    <row r="1632" spans="4:18" x14ac:dyDescent="0.35">
      <c r="D1632" t="s">
        <v>181</v>
      </c>
      <c r="F1632"/>
      <c r="H1632" t="s">
        <v>0</v>
      </c>
      <c r="L1632" t="s">
        <v>188</v>
      </c>
      <c r="O1632" s="1" t="s">
        <v>926</v>
      </c>
      <c r="P1632" s="1"/>
      <c r="Q1632" s="1"/>
      <c r="R1632" s="1"/>
    </row>
    <row r="1633" spans="4:18" x14ac:dyDescent="0.35">
      <c r="D1633" t="s">
        <v>181</v>
      </c>
      <c r="F1633"/>
      <c r="H1633" t="s">
        <v>0</v>
      </c>
      <c r="L1633" t="s">
        <v>189</v>
      </c>
      <c r="O1633" s="1" t="s">
        <v>927</v>
      </c>
      <c r="P1633" s="1"/>
      <c r="Q1633" s="1"/>
      <c r="R1633" s="1"/>
    </row>
    <row r="1634" spans="4:18" x14ac:dyDescent="0.35">
      <c r="D1634" t="s">
        <v>181</v>
      </c>
      <c r="F1634"/>
      <c r="H1634" t="s">
        <v>0</v>
      </c>
      <c r="L1634" t="s">
        <v>190</v>
      </c>
      <c r="O1634" s="1" t="s">
        <v>928</v>
      </c>
      <c r="P1634" s="1"/>
      <c r="Q1634" s="1"/>
      <c r="R1634" s="1"/>
    </row>
    <row r="1635" spans="4:18" x14ac:dyDescent="0.35">
      <c r="D1635" t="s">
        <v>181</v>
      </c>
      <c r="F1635"/>
      <c r="H1635" t="s">
        <v>0</v>
      </c>
      <c r="L1635" t="s">
        <v>191</v>
      </c>
      <c r="O1635" s="1" t="s">
        <v>929</v>
      </c>
      <c r="P1635" s="1"/>
      <c r="Q1635" s="1"/>
      <c r="R1635" s="1"/>
    </row>
    <row r="1636" spans="4:18" x14ac:dyDescent="0.35">
      <c r="D1636" t="s">
        <v>181</v>
      </c>
      <c r="F1636"/>
      <c r="H1636" t="s">
        <v>0</v>
      </c>
      <c r="L1636" t="s">
        <v>219</v>
      </c>
      <c r="O1636" s="1" t="s">
        <v>930</v>
      </c>
      <c r="P1636" s="1"/>
      <c r="Q1636" s="1"/>
      <c r="R1636" s="1"/>
    </row>
    <row r="1637" spans="4:18" x14ac:dyDescent="0.35">
      <c r="D1637" t="s">
        <v>181</v>
      </c>
      <c r="F1637"/>
      <c r="H1637" t="s">
        <v>0</v>
      </c>
      <c r="L1637" t="s">
        <v>192</v>
      </c>
      <c r="O1637" s="3" t="s">
        <v>931</v>
      </c>
      <c r="P1637" s="3"/>
      <c r="Q1637" s="3"/>
      <c r="R1637" s="3"/>
    </row>
    <row r="1638" spans="4:18" x14ac:dyDescent="0.35">
      <c r="D1638" t="s">
        <v>181</v>
      </c>
      <c r="F1638"/>
      <c r="H1638" t="s">
        <v>0</v>
      </c>
      <c r="L1638" t="s">
        <v>194</v>
      </c>
      <c r="O1638" s="1" t="s">
        <v>932</v>
      </c>
      <c r="P1638" s="1"/>
      <c r="Q1638" s="1"/>
      <c r="R1638" s="1"/>
    </row>
    <row r="1639" spans="4:18" x14ac:dyDescent="0.35">
      <c r="D1639" t="s">
        <v>181</v>
      </c>
      <c r="F1639"/>
      <c r="H1639" t="s">
        <v>0</v>
      </c>
      <c r="L1639" t="s">
        <v>195</v>
      </c>
      <c r="O1639" s="1" t="s">
        <v>220</v>
      </c>
      <c r="P1639" s="1"/>
      <c r="Q1639" s="1"/>
      <c r="R1639" s="1"/>
    </row>
    <row r="1640" spans="4:18" x14ac:dyDescent="0.35">
      <c r="D1640" t="s">
        <v>181</v>
      </c>
      <c r="F1640"/>
      <c r="H1640" t="s">
        <v>0</v>
      </c>
      <c r="L1640" t="s">
        <v>205</v>
      </c>
      <c r="O1640" s="1" t="s">
        <v>210</v>
      </c>
      <c r="P1640" s="1"/>
      <c r="Q1640" s="1"/>
      <c r="R1640" s="1"/>
    </row>
    <row r="1641" spans="4:18" x14ac:dyDescent="0.35">
      <c r="D1641" t="s">
        <v>181</v>
      </c>
      <c r="F1641"/>
      <c r="H1641" t="s">
        <v>0</v>
      </c>
      <c r="L1641" t="s">
        <v>197</v>
      </c>
      <c r="O1641" s="1" t="s">
        <v>208</v>
      </c>
      <c r="P1641" s="1"/>
      <c r="Q1641" s="1"/>
      <c r="R1641" s="1"/>
    </row>
    <row r="1642" spans="4:18" x14ac:dyDescent="0.35">
      <c r="D1642" t="s">
        <v>181</v>
      </c>
      <c r="F1642"/>
      <c r="H1642" t="s">
        <v>0</v>
      </c>
      <c r="L1642" t="s">
        <v>199</v>
      </c>
      <c r="O1642" s="1" t="s">
        <v>208</v>
      </c>
      <c r="P1642" s="1"/>
      <c r="Q1642" s="1"/>
      <c r="R1642" s="1"/>
    </row>
    <row r="1643" spans="4:18" x14ac:dyDescent="0.35">
      <c r="D1643" t="s">
        <v>181</v>
      </c>
      <c r="F1643"/>
      <c r="H1643" t="s">
        <v>0</v>
      </c>
      <c r="L1643" t="s">
        <v>200</v>
      </c>
      <c r="O1643" s="1" t="s">
        <v>209</v>
      </c>
      <c r="P1643" s="1"/>
      <c r="Q1643" s="1"/>
      <c r="R1643" s="1"/>
    </row>
    <row r="1644" spans="4:18" x14ac:dyDescent="0.35">
      <c r="D1644" t="s">
        <v>181</v>
      </c>
      <c r="F1644"/>
      <c r="H1644" t="s">
        <v>0</v>
      </c>
      <c r="L1644" t="s">
        <v>201</v>
      </c>
      <c r="O1644" s="1" t="s">
        <v>211</v>
      </c>
      <c r="P1644" s="1"/>
      <c r="Q1644" s="1"/>
      <c r="R1644" s="1"/>
    </row>
    <row r="1645" spans="4:18" x14ac:dyDescent="0.35">
      <c r="D1645" t="s">
        <v>181</v>
      </c>
      <c r="F1645"/>
      <c r="H1645" t="s">
        <v>0</v>
      </c>
      <c r="L1645" t="s">
        <v>206</v>
      </c>
      <c r="O1645" s="1" t="s">
        <v>216</v>
      </c>
      <c r="P1645" s="1"/>
      <c r="Q1645" s="1"/>
      <c r="R1645" s="1"/>
    </row>
    <row r="1646" spans="4:18" x14ac:dyDescent="0.35">
      <c r="D1646" t="s">
        <v>181</v>
      </c>
      <c r="F1646"/>
      <c r="H1646" t="s">
        <v>0</v>
      </c>
      <c r="L1646" t="s">
        <v>218</v>
      </c>
      <c r="O1646" s="1" t="s">
        <v>933</v>
      </c>
      <c r="P1646" s="1"/>
      <c r="Q1646" s="1"/>
      <c r="R1646" s="1"/>
    </row>
    <row r="1647" spans="4:18" x14ac:dyDescent="0.35">
      <c r="D1647" t="s">
        <v>181</v>
      </c>
      <c r="F1647"/>
      <c r="H1647" t="s">
        <v>0</v>
      </c>
      <c r="L1647" t="s">
        <v>215</v>
      </c>
      <c r="O1647" s="1" t="s">
        <v>217</v>
      </c>
      <c r="P1647" s="1"/>
      <c r="Q1647" s="1"/>
      <c r="R1647" s="1"/>
    </row>
    <row r="1648" spans="4:18" x14ac:dyDescent="0.35">
      <c r="D1648" t="s">
        <v>181</v>
      </c>
      <c r="F1648"/>
      <c r="H1648" t="s">
        <v>0</v>
      </c>
      <c r="L1648" t="s">
        <v>202</v>
      </c>
      <c r="O1648" s="1" t="s">
        <v>212</v>
      </c>
      <c r="P1648" s="1"/>
      <c r="Q1648" s="1"/>
      <c r="R1648" s="1"/>
    </row>
    <row r="1649" spans="4:18" x14ac:dyDescent="0.35">
      <c r="D1649" t="s">
        <v>181</v>
      </c>
      <c r="F1649"/>
      <c r="H1649" t="s">
        <v>0</v>
      </c>
      <c r="L1649" t="s">
        <v>204</v>
      </c>
      <c r="O1649" s="1" t="s">
        <v>213</v>
      </c>
      <c r="P1649" s="1"/>
      <c r="Q1649" s="1"/>
      <c r="R1649" s="1"/>
    </row>
    <row r="1650" spans="4:18" x14ac:dyDescent="0.35">
      <c r="D1650" t="s">
        <v>27</v>
      </c>
      <c r="F1650"/>
      <c r="H1650" t="s">
        <v>0</v>
      </c>
      <c r="L1650" t="s">
        <v>14</v>
      </c>
      <c r="N1650" t="s">
        <v>28</v>
      </c>
      <c r="O1650" s="1"/>
      <c r="P1650" s="1"/>
      <c r="Q1650" s="1"/>
      <c r="R1650" s="1"/>
    </row>
    <row r="1651" spans="4:18" x14ac:dyDescent="0.35">
      <c r="D1651" t="s">
        <v>27</v>
      </c>
      <c r="F1651"/>
      <c r="H1651" t="s">
        <v>0</v>
      </c>
      <c r="L1651" t="s">
        <v>29</v>
      </c>
      <c r="N1651" t="s">
        <v>28</v>
      </c>
      <c r="O1651" s="1"/>
      <c r="P1651" s="1"/>
      <c r="Q1651" s="1"/>
      <c r="R1651" s="1"/>
    </row>
    <row r="1652" spans="4:18" x14ac:dyDescent="0.35">
      <c r="D1652" t="s">
        <v>27</v>
      </c>
      <c r="F1652"/>
      <c r="H1652" t="s">
        <v>0</v>
      </c>
      <c r="L1652" t="s">
        <v>34</v>
      </c>
      <c r="N1652" t="s">
        <v>28</v>
      </c>
      <c r="O1652" s="1"/>
      <c r="P1652" s="1"/>
      <c r="Q1652" s="1"/>
      <c r="R1652" s="1"/>
    </row>
    <row r="1653" spans="4:18" x14ac:dyDescent="0.35">
      <c r="D1653" t="s">
        <v>27</v>
      </c>
      <c r="F1653"/>
      <c r="H1653" t="s">
        <v>0</v>
      </c>
      <c r="L1653" t="s">
        <v>39</v>
      </c>
      <c r="N1653" t="s">
        <v>28</v>
      </c>
      <c r="O1653" s="1"/>
      <c r="P1653" s="1"/>
      <c r="Q1653" s="1"/>
      <c r="R1653" s="1"/>
    </row>
    <row r="1654" spans="4:18" x14ac:dyDescent="0.35">
      <c r="D1654" t="s">
        <v>27</v>
      </c>
      <c r="F1654"/>
      <c r="H1654" t="s">
        <v>0</v>
      </c>
      <c r="L1654" t="s">
        <v>43</v>
      </c>
      <c r="N1654" t="s">
        <v>28</v>
      </c>
      <c r="O1654" s="1"/>
      <c r="P1654" s="1"/>
      <c r="Q1654" s="1"/>
      <c r="R1654" s="1"/>
    </row>
    <row r="1655" spans="4:18" x14ac:dyDescent="0.35">
      <c r="D1655" t="s">
        <v>27</v>
      </c>
      <c r="F1655"/>
      <c r="H1655" t="s">
        <v>0</v>
      </c>
      <c r="L1655" t="s">
        <v>48</v>
      </c>
      <c r="N1655" t="s">
        <v>28</v>
      </c>
      <c r="O1655" s="1"/>
      <c r="P1655" s="1"/>
      <c r="Q1655" s="1"/>
      <c r="R1655" s="1"/>
    </row>
    <row r="1656" spans="4:18" x14ac:dyDescent="0.35">
      <c r="D1656" t="s">
        <v>27</v>
      </c>
      <c r="F1656"/>
      <c r="H1656" t="s">
        <v>0</v>
      </c>
      <c r="L1656" t="s">
        <v>62</v>
      </c>
      <c r="N1656" t="s">
        <v>28</v>
      </c>
      <c r="O1656" s="1"/>
      <c r="P1656" s="1"/>
      <c r="Q1656" s="1"/>
      <c r="R1656" s="1"/>
    </row>
    <row r="1657" spans="4:18" x14ac:dyDescent="0.35">
      <c r="D1657" t="s">
        <v>27</v>
      </c>
      <c r="F1657"/>
      <c r="H1657" t="s">
        <v>0</v>
      </c>
      <c r="L1657" t="s">
        <v>66</v>
      </c>
      <c r="N1657" t="s">
        <v>28</v>
      </c>
      <c r="O1657" s="1"/>
      <c r="P1657" s="1"/>
      <c r="Q1657" s="1"/>
      <c r="R1657" s="1"/>
    </row>
    <row r="1658" spans="4:18" x14ac:dyDescent="0.35">
      <c r="D1658" t="s">
        <v>27</v>
      </c>
      <c r="F1658"/>
      <c r="H1658" t="s">
        <v>0</v>
      </c>
      <c r="L1658" t="s">
        <v>80</v>
      </c>
      <c r="N1658" t="s">
        <v>28</v>
      </c>
      <c r="O1658" s="1"/>
      <c r="P1658" s="1"/>
      <c r="Q1658" s="1"/>
      <c r="R1658" s="1"/>
    </row>
    <row r="1659" spans="4:18" x14ac:dyDescent="0.35">
      <c r="D1659" t="s">
        <v>27</v>
      </c>
      <c r="F1659"/>
      <c r="H1659" t="s">
        <v>0</v>
      </c>
      <c r="L1659" t="s">
        <v>85</v>
      </c>
      <c r="N1659" t="s">
        <v>28</v>
      </c>
      <c r="O1659" s="1"/>
      <c r="P1659" s="1"/>
      <c r="Q1659" s="1"/>
      <c r="R1659" s="1"/>
    </row>
    <row r="1660" spans="4:18" x14ac:dyDescent="0.35">
      <c r="D1660" t="s">
        <v>27</v>
      </c>
      <c r="F1660"/>
      <c r="H1660" t="s">
        <v>0</v>
      </c>
      <c r="L1660" t="s">
        <v>89</v>
      </c>
      <c r="N1660" t="s">
        <v>28</v>
      </c>
      <c r="O1660" s="1"/>
      <c r="P1660" s="1"/>
      <c r="Q1660" s="1"/>
      <c r="R1660" s="1"/>
    </row>
    <row r="1661" spans="4:18" x14ac:dyDescent="0.35">
      <c r="D1661" t="s">
        <v>27</v>
      </c>
      <c r="F1661"/>
      <c r="H1661" t="s">
        <v>0</v>
      </c>
      <c r="L1661" t="s">
        <v>93</v>
      </c>
      <c r="N1661" t="s">
        <v>28</v>
      </c>
      <c r="O1661" s="1"/>
      <c r="P1661" s="1"/>
      <c r="Q1661" s="1"/>
      <c r="R1661" s="1"/>
    </row>
    <row r="1662" spans="4:18" x14ac:dyDescent="0.35">
      <c r="D1662" t="s">
        <v>27</v>
      </c>
      <c r="F1662"/>
      <c r="H1662" t="s">
        <v>0</v>
      </c>
      <c r="L1662" t="s">
        <v>95</v>
      </c>
      <c r="N1662" t="s">
        <v>28</v>
      </c>
      <c r="O1662" s="1"/>
      <c r="P1662" s="1"/>
      <c r="Q1662" s="1"/>
      <c r="R1662" s="1"/>
    </row>
    <row r="1663" spans="4:18" x14ac:dyDescent="0.35">
      <c r="D1663" t="s">
        <v>27</v>
      </c>
      <c r="F1663"/>
      <c r="H1663" t="s">
        <v>0</v>
      </c>
      <c r="L1663" t="s">
        <v>99</v>
      </c>
      <c r="N1663" t="s">
        <v>28</v>
      </c>
      <c r="O1663" s="1"/>
      <c r="P1663" s="1"/>
      <c r="Q1663" s="1"/>
      <c r="R1663" s="1"/>
    </row>
    <row r="1664" spans="4:18" x14ac:dyDescent="0.35">
      <c r="D1664" t="s">
        <v>27</v>
      </c>
      <c r="F1664"/>
      <c r="H1664" t="s">
        <v>0</v>
      </c>
      <c r="L1664" t="s">
        <v>107</v>
      </c>
      <c r="N1664" t="s">
        <v>106</v>
      </c>
      <c r="O1664" s="1"/>
      <c r="P1664" s="1"/>
      <c r="Q1664" s="1"/>
      <c r="R1664" s="1"/>
    </row>
    <row r="1665" spans="4:18" x14ac:dyDescent="0.35">
      <c r="D1665" t="s">
        <v>110</v>
      </c>
      <c r="F1665"/>
      <c r="H1665" t="s">
        <v>102</v>
      </c>
      <c r="L1665" t="s">
        <v>107</v>
      </c>
      <c r="O1665" s="1"/>
      <c r="P1665" s="1"/>
      <c r="Q1665" s="1"/>
      <c r="R1665" s="1"/>
    </row>
    <row r="1666" spans="4:18" x14ac:dyDescent="0.35">
      <c r="D1666" t="s">
        <v>118</v>
      </c>
      <c r="F1666"/>
      <c r="H1666" t="s">
        <v>112</v>
      </c>
      <c r="L1666" t="s">
        <v>116</v>
      </c>
      <c r="O1666" s="1"/>
      <c r="P1666" s="1"/>
      <c r="Q1666" s="1"/>
      <c r="R1666" s="1"/>
    </row>
    <row r="1667" spans="4:18" x14ac:dyDescent="0.35">
      <c r="D1667" t="s">
        <v>110</v>
      </c>
      <c r="F1667"/>
      <c r="H1667" t="s">
        <v>116</v>
      </c>
      <c r="L1667" t="s">
        <v>119</v>
      </c>
      <c r="O1667" s="1"/>
      <c r="P1667" s="1"/>
      <c r="Q1667" s="1"/>
      <c r="R1667" s="1"/>
    </row>
    <row r="1668" spans="4:18" x14ac:dyDescent="0.35">
      <c r="D1668" t="s">
        <v>27</v>
      </c>
      <c r="F1668"/>
      <c r="H1668" t="s">
        <v>0</v>
      </c>
      <c r="L1668" t="s">
        <v>119</v>
      </c>
      <c r="N1668" t="s">
        <v>106</v>
      </c>
      <c r="O1668" s="1"/>
      <c r="P1668" s="1"/>
      <c r="Q1668" s="1"/>
      <c r="R1668" s="1"/>
    </row>
    <row r="1669" spans="4:18" x14ac:dyDescent="0.35">
      <c r="D1669" t="s">
        <v>118</v>
      </c>
      <c r="F1669"/>
      <c r="H1669" t="s">
        <v>125</v>
      </c>
      <c r="L1669" t="s">
        <v>129</v>
      </c>
      <c r="O1669" s="1"/>
      <c r="P1669" s="1"/>
      <c r="Q1669" s="1"/>
      <c r="R1669" s="1"/>
    </row>
    <row r="1670" spans="4:18" x14ac:dyDescent="0.35">
      <c r="D1670" t="s">
        <v>110</v>
      </c>
      <c r="F1670"/>
      <c r="H1670" t="s">
        <v>129</v>
      </c>
      <c r="L1670" t="s">
        <v>130</v>
      </c>
      <c r="O1670" s="1"/>
      <c r="P1670" s="1"/>
      <c r="Q1670" s="1"/>
      <c r="R1670" s="1"/>
    </row>
    <row r="1671" spans="4:18" x14ac:dyDescent="0.35">
      <c r="D1671" t="s">
        <v>27</v>
      </c>
      <c r="F1671"/>
      <c r="H1671" t="s">
        <v>0</v>
      </c>
      <c r="L1671" t="s">
        <v>130</v>
      </c>
      <c r="N1671" t="s">
        <v>106</v>
      </c>
      <c r="O1671" s="1"/>
      <c r="P1671" s="1"/>
      <c r="Q1671" s="1"/>
      <c r="R1671" s="1"/>
    </row>
    <row r="1672" spans="4:18" x14ac:dyDescent="0.35">
      <c r="D1672" t="s">
        <v>110</v>
      </c>
      <c r="F1672"/>
      <c r="H1672" t="s">
        <v>133</v>
      </c>
      <c r="L1672" t="s">
        <v>135</v>
      </c>
      <c r="O1672" s="1"/>
      <c r="P1672" s="1"/>
      <c r="Q1672" s="1"/>
      <c r="R1672" s="1"/>
    </row>
    <row r="1673" spans="4:18" x14ac:dyDescent="0.35">
      <c r="D1673" t="s">
        <v>27</v>
      </c>
      <c r="F1673"/>
      <c r="H1673" t="s">
        <v>0</v>
      </c>
      <c r="L1673" t="s">
        <v>135</v>
      </c>
      <c r="N1673" t="s">
        <v>106</v>
      </c>
      <c r="O1673" s="1"/>
      <c r="P1673" s="1"/>
      <c r="Q1673" s="1"/>
      <c r="R1673" s="1"/>
    </row>
    <row r="1674" spans="4:18" x14ac:dyDescent="0.35">
      <c r="D1674" t="s">
        <v>27</v>
      </c>
      <c r="F1674"/>
      <c r="H1674" t="s">
        <v>0</v>
      </c>
      <c r="L1674" t="s">
        <v>138</v>
      </c>
      <c r="N1674" t="s">
        <v>106</v>
      </c>
      <c r="O1674" s="1"/>
      <c r="P1674" s="1"/>
      <c r="Q1674" s="1"/>
      <c r="R1674" s="1"/>
    </row>
    <row r="1675" spans="4:18" x14ac:dyDescent="0.35">
      <c r="D1675" t="s">
        <v>27</v>
      </c>
      <c r="F1675"/>
      <c r="H1675" t="s">
        <v>0</v>
      </c>
      <c r="L1675" t="s">
        <v>142</v>
      </c>
      <c r="N1675" t="s">
        <v>106</v>
      </c>
      <c r="O1675" s="1"/>
      <c r="P1675" s="1"/>
      <c r="Q1675" s="1"/>
      <c r="R1675" s="1"/>
    </row>
    <row r="1676" spans="4:18" x14ac:dyDescent="0.35">
      <c r="D1676" t="s">
        <v>146</v>
      </c>
      <c r="F1676"/>
      <c r="H1676" t="s">
        <v>0</v>
      </c>
      <c r="L1676" t="s">
        <v>138</v>
      </c>
      <c r="O1676" s="1"/>
      <c r="P1676" s="1"/>
      <c r="Q1676" s="1"/>
      <c r="R1676" s="1"/>
    </row>
    <row r="1677" spans="4:18" x14ac:dyDescent="0.35">
      <c r="D1677" t="s">
        <v>26</v>
      </c>
      <c r="F1677"/>
      <c r="H1677" t="s">
        <v>0</v>
      </c>
      <c r="L1677" t="s">
        <v>221</v>
      </c>
      <c r="O1677" s="1" t="s">
        <v>227</v>
      </c>
      <c r="P1677" s="1"/>
      <c r="Q1677" s="1"/>
      <c r="R1677" s="1"/>
    </row>
    <row r="1678" spans="4:18" x14ac:dyDescent="0.35">
      <c r="D1678" t="s">
        <v>26</v>
      </c>
      <c r="F1678"/>
      <c r="H1678" t="s">
        <v>0</v>
      </c>
      <c r="L1678" t="s">
        <v>228</v>
      </c>
      <c r="O1678" s="1" t="s">
        <v>231</v>
      </c>
      <c r="P1678" s="1"/>
      <c r="Q1678" s="1"/>
      <c r="R1678" s="1"/>
    </row>
    <row r="1679" spans="4:18" x14ac:dyDescent="0.35">
      <c r="D1679" t="s">
        <v>149</v>
      </c>
      <c r="F1679"/>
      <c r="H1679" t="s">
        <v>0</v>
      </c>
      <c r="L1679" t="s">
        <v>228</v>
      </c>
      <c r="O1679" s="1" t="s">
        <v>232</v>
      </c>
      <c r="P1679" s="1"/>
      <c r="Q1679" s="1"/>
      <c r="R1679" s="1"/>
    </row>
    <row r="1680" spans="4:18" x14ac:dyDescent="0.35">
      <c r="D1680" t="s">
        <v>26</v>
      </c>
      <c r="F1680"/>
      <c r="H1680" t="s">
        <v>0</v>
      </c>
      <c r="L1680" t="s">
        <v>235</v>
      </c>
      <c r="O1680" s="1" t="s">
        <v>238</v>
      </c>
      <c r="P1680" s="1"/>
      <c r="Q1680" s="1"/>
      <c r="R1680" s="1"/>
    </row>
    <row r="1681" spans="4:18" x14ac:dyDescent="0.35">
      <c r="D1681" t="s">
        <v>149</v>
      </c>
      <c r="F1681"/>
      <c r="H1681" t="s">
        <v>0</v>
      </c>
      <c r="L1681" t="s">
        <v>235</v>
      </c>
      <c r="O1681" s="1" t="s">
        <v>239</v>
      </c>
      <c r="P1681" s="1"/>
      <c r="Q1681" s="1"/>
      <c r="R1681" s="1"/>
    </row>
    <row r="1682" spans="4:18" x14ac:dyDescent="0.35">
      <c r="D1682" t="s">
        <v>26</v>
      </c>
      <c r="F1682"/>
      <c r="H1682" t="s">
        <v>0</v>
      </c>
      <c r="L1682" t="s">
        <v>240</v>
      </c>
      <c r="O1682" s="1" t="s">
        <v>244</v>
      </c>
      <c r="P1682" s="1"/>
      <c r="Q1682" s="1"/>
      <c r="R1682" s="1"/>
    </row>
    <row r="1683" spans="4:18" x14ac:dyDescent="0.35">
      <c r="D1683" t="s">
        <v>177</v>
      </c>
      <c r="F1683"/>
      <c r="H1683" t="s">
        <v>171</v>
      </c>
      <c r="L1683" s="12" t="s">
        <v>142</v>
      </c>
      <c r="O1683" s="1"/>
      <c r="P1683" s="1"/>
      <c r="Q1683" s="1"/>
      <c r="R1683" s="1"/>
    </row>
    <row r="1684" spans="4:18" x14ac:dyDescent="0.35">
      <c r="D1684" t="s">
        <v>181</v>
      </c>
      <c r="F1684"/>
      <c r="H1684" t="s">
        <v>142</v>
      </c>
      <c r="L1684" t="s">
        <v>179</v>
      </c>
      <c r="O1684" s="1"/>
      <c r="P1684" s="1"/>
      <c r="Q1684" s="1"/>
      <c r="R1684" s="1"/>
    </row>
    <row r="1685" spans="4:18" x14ac:dyDescent="0.35">
      <c r="D1685" t="s">
        <v>27</v>
      </c>
      <c r="F1685"/>
      <c r="H1685" t="s">
        <v>142</v>
      </c>
      <c r="L1685" t="s">
        <v>14</v>
      </c>
      <c r="N1685" t="s">
        <v>28</v>
      </c>
      <c r="O1685" s="1"/>
      <c r="P1685" s="1"/>
      <c r="Q1685" s="1"/>
      <c r="R1685" s="1"/>
    </row>
    <row r="1686" spans="4:18" x14ac:dyDescent="0.35">
      <c r="D1686" t="s">
        <v>27</v>
      </c>
      <c r="F1686"/>
      <c r="H1686" t="s">
        <v>142</v>
      </c>
      <c r="L1686" t="s">
        <v>29</v>
      </c>
      <c r="N1686" t="s">
        <v>28</v>
      </c>
      <c r="O1686" s="1"/>
      <c r="P1686" s="1"/>
      <c r="Q1686" s="1"/>
      <c r="R1686" s="1"/>
    </row>
    <row r="1687" spans="4:18" x14ac:dyDescent="0.35">
      <c r="D1687" t="s">
        <v>27</v>
      </c>
      <c r="F1687"/>
      <c r="H1687" t="s">
        <v>142</v>
      </c>
      <c r="L1687" t="s">
        <v>34</v>
      </c>
      <c r="N1687" t="s">
        <v>28</v>
      </c>
      <c r="O1687" s="1"/>
      <c r="P1687" s="1"/>
      <c r="Q1687" s="1"/>
      <c r="R1687" s="1"/>
    </row>
    <row r="1688" spans="4:18" x14ac:dyDescent="0.35">
      <c r="D1688" t="s">
        <v>27</v>
      </c>
      <c r="F1688"/>
      <c r="H1688" t="s">
        <v>142</v>
      </c>
      <c r="L1688" t="s">
        <v>39</v>
      </c>
      <c r="N1688" t="s">
        <v>28</v>
      </c>
      <c r="O1688" s="1"/>
      <c r="P1688" s="1"/>
      <c r="Q1688" s="1"/>
      <c r="R1688" s="1"/>
    </row>
    <row r="1689" spans="4:18" x14ac:dyDescent="0.35">
      <c r="D1689" t="s">
        <v>27</v>
      </c>
      <c r="F1689"/>
      <c r="H1689" t="s">
        <v>142</v>
      </c>
      <c r="L1689" t="s">
        <v>43</v>
      </c>
      <c r="N1689" t="s">
        <v>28</v>
      </c>
      <c r="O1689" s="1"/>
      <c r="P1689" s="1"/>
      <c r="Q1689" s="1"/>
      <c r="R1689" s="1"/>
    </row>
    <row r="1690" spans="4:18" x14ac:dyDescent="0.35">
      <c r="D1690" t="s">
        <v>27</v>
      </c>
      <c r="F1690"/>
      <c r="H1690" t="s">
        <v>142</v>
      </c>
      <c r="L1690" t="s">
        <v>58</v>
      </c>
      <c r="N1690" t="s">
        <v>28</v>
      </c>
      <c r="O1690" s="1"/>
      <c r="P1690" s="1"/>
      <c r="Q1690" s="1"/>
      <c r="R1690" s="1"/>
    </row>
    <row r="1691" spans="4:18" x14ac:dyDescent="0.35">
      <c r="D1691" t="s">
        <v>27</v>
      </c>
      <c r="F1691"/>
      <c r="H1691" t="s">
        <v>142</v>
      </c>
      <c r="L1691" t="s">
        <v>80</v>
      </c>
      <c r="N1691" t="s">
        <v>28</v>
      </c>
      <c r="O1691" s="1"/>
      <c r="P1691" s="1"/>
      <c r="Q1691" s="1"/>
      <c r="R1691" s="1"/>
    </row>
    <row r="1692" spans="4:18" x14ac:dyDescent="0.35">
      <c r="D1692" t="s">
        <v>27</v>
      </c>
      <c r="F1692"/>
      <c r="H1692" t="s">
        <v>142</v>
      </c>
      <c r="L1692" t="s">
        <v>85</v>
      </c>
      <c r="N1692" t="s">
        <v>28</v>
      </c>
      <c r="O1692" s="1"/>
      <c r="P1692" s="1"/>
      <c r="Q1692" s="1"/>
      <c r="R1692" s="1"/>
    </row>
    <row r="1693" spans="4:18" x14ac:dyDescent="0.35">
      <c r="D1693" t="s">
        <v>27</v>
      </c>
      <c r="F1693"/>
      <c r="H1693" t="s">
        <v>142</v>
      </c>
      <c r="L1693" t="s">
        <v>245</v>
      </c>
      <c r="N1693" t="s">
        <v>28</v>
      </c>
      <c r="O1693" s="1"/>
      <c r="P1693" s="1"/>
      <c r="Q1693" s="1"/>
      <c r="R1693" s="1"/>
    </row>
    <row r="1694" spans="4:18" x14ac:dyDescent="0.35">
      <c r="D1694" t="s">
        <v>27</v>
      </c>
      <c r="F1694"/>
      <c r="H1694" t="s">
        <v>142</v>
      </c>
      <c r="L1694" t="s">
        <v>249</v>
      </c>
      <c r="N1694" t="s">
        <v>28</v>
      </c>
      <c r="O1694" s="1"/>
      <c r="P1694" s="1"/>
      <c r="Q1694" s="1"/>
      <c r="R1694" s="1"/>
    </row>
    <row r="1695" spans="4:18" x14ac:dyDescent="0.35">
      <c r="D1695" t="s">
        <v>27</v>
      </c>
      <c r="F1695"/>
      <c r="H1695" t="s">
        <v>142</v>
      </c>
      <c r="L1695" t="s">
        <v>0</v>
      </c>
      <c r="N1695" t="s">
        <v>28</v>
      </c>
      <c r="O1695" s="1"/>
      <c r="P1695" s="1"/>
      <c r="Q1695" s="1"/>
      <c r="R1695" s="1"/>
    </row>
    <row r="1696" spans="4:18" x14ac:dyDescent="0.35">
      <c r="D1696" t="s">
        <v>27</v>
      </c>
      <c r="F1696"/>
      <c r="H1696" t="s">
        <v>142</v>
      </c>
      <c r="L1696" t="s">
        <v>93</v>
      </c>
      <c r="N1696" t="s">
        <v>28</v>
      </c>
      <c r="O1696" s="1"/>
      <c r="P1696" s="1"/>
      <c r="Q1696" s="1"/>
      <c r="R1696" s="1"/>
    </row>
    <row r="1697" spans="4:18" x14ac:dyDescent="0.35">
      <c r="D1697" t="s">
        <v>27</v>
      </c>
      <c r="F1697"/>
      <c r="H1697" t="s">
        <v>142</v>
      </c>
      <c r="L1697" t="s">
        <v>95</v>
      </c>
      <c r="N1697" t="s">
        <v>28</v>
      </c>
      <c r="O1697" s="1"/>
      <c r="P1697" s="1"/>
      <c r="Q1697" s="1"/>
      <c r="R1697" s="1"/>
    </row>
    <row r="1698" spans="4:18" x14ac:dyDescent="0.35">
      <c r="D1698" t="s">
        <v>27</v>
      </c>
      <c r="F1698"/>
      <c r="H1698" t="s">
        <v>142</v>
      </c>
      <c r="L1698" t="s">
        <v>253</v>
      </c>
      <c r="N1698" t="s">
        <v>28</v>
      </c>
      <c r="O1698" s="1"/>
      <c r="P1698" s="1"/>
      <c r="Q1698" s="1"/>
      <c r="R1698" s="1"/>
    </row>
    <row r="1699" spans="4:18" x14ac:dyDescent="0.35">
      <c r="D1699" t="s">
        <v>118</v>
      </c>
      <c r="F1699"/>
      <c r="H1699" t="s">
        <v>255</v>
      </c>
      <c r="L1699" t="s">
        <v>259</v>
      </c>
      <c r="O1699" s="1"/>
      <c r="P1699" s="1"/>
      <c r="Q1699" s="1"/>
      <c r="R1699" s="1"/>
    </row>
    <row r="1700" spans="4:18" x14ac:dyDescent="0.35">
      <c r="D1700" t="s">
        <v>110</v>
      </c>
      <c r="F1700"/>
      <c r="H1700" t="s">
        <v>259</v>
      </c>
      <c r="L1700" t="s">
        <v>260</v>
      </c>
      <c r="O1700" s="1"/>
      <c r="P1700" s="1"/>
      <c r="Q1700" s="1"/>
      <c r="R1700" s="1"/>
    </row>
    <row r="1701" spans="4:18" x14ac:dyDescent="0.35">
      <c r="D1701" t="s">
        <v>27</v>
      </c>
      <c r="F1701"/>
      <c r="H1701" t="s">
        <v>142</v>
      </c>
      <c r="L1701" t="s">
        <v>260</v>
      </c>
      <c r="N1701" t="s">
        <v>106</v>
      </c>
      <c r="O1701" s="1"/>
      <c r="P1701" s="1"/>
      <c r="Q1701" s="1"/>
      <c r="R1701" s="1"/>
    </row>
    <row r="1702" spans="4:18" x14ac:dyDescent="0.35">
      <c r="D1702" t="s">
        <v>146</v>
      </c>
      <c r="F1702"/>
      <c r="H1702" t="s">
        <v>264</v>
      </c>
      <c r="L1702" t="s">
        <v>263</v>
      </c>
      <c r="O1702" s="1"/>
      <c r="P1702" s="1"/>
      <c r="Q1702" s="1"/>
      <c r="R1702" s="1"/>
    </row>
    <row r="1703" spans="4:18" x14ac:dyDescent="0.35">
      <c r="D1703" t="s">
        <v>146</v>
      </c>
      <c r="F1703"/>
      <c r="H1703" t="s">
        <v>265</v>
      </c>
      <c r="L1703" t="s">
        <v>264</v>
      </c>
      <c r="O1703" s="1"/>
      <c r="P1703" s="1"/>
      <c r="Q1703" s="1"/>
      <c r="R1703" s="1"/>
    </row>
    <row r="1704" spans="4:18" x14ac:dyDescent="0.35">
      <c r="D1704" t="s">
        <v>146</v>
      </c>
      <c r="F1704"/>
      <c r="H1704" t="s">
        <v>266</v>
      </c>
      <c r="L1704" t="s">
        <v>265</v>
      </c>
      <c r="O1704" s="1"/>
      <c r="P1704" s="1"/>
      <c r="Q1704" s="1"/>
      <c r="R1704" s="1"/>
    </row>
    <row r="1705" spans="4:18" x14ac:dyDescent="0.35">
      <c r="D1705" t="s">
        <v>146</v>
      </c>
      <c r="F1705"/>
      <c r="H1705" t="s">
        <v>274</v>
      </c>
      <c r="L1705" t="s">
        <v>265</v>
      </c>
      <c r="O1705" s="1"/>
      <c r="P1705" s="1"/>
      <c r="Q1705" s="1"/>
      <c r="R1705" s="1"/>
    </row>
    <row r="1706" spans="4:18" x14ac:dyDescent="0.35">
      <c r="D1706" t="s">
        <v>146</v>
      </c>
      <c r="F1706"/>
      <c r="H1706" t="s">
        <v>275</v>
      </c>
      <c r="L1706" t="s">
        <v>265</v>
      </c>
      <c r="O1706" s="1"/>
      <c r="P1706" s="1"/>
      <c r="Q1706" s="1"/>
      <c r="R1706" s="1"/>
    </row>
    <row r="1707" spans="4:18" x14ac:dyDescent="0.35">
      <c r="D1707" t="s">
        <v>146</v>
      </c>
      <c r="F1707"/>
      <c r="H1707" t="s">
        <v>276</v>
      </c>
      <c r="L1707" t="s">
        <v>265</v>
      </c>
      <c r="O1707" s="1"/>
      <c r="P1707" s="1"/>
      <c r="Q1707" s="1"/>
      <c r="R1707" s="1"/>
    </row>
    <row r="1708" spans="4:18" x14ac:dyDescent="0.35">
      <c r="D1708" t="s">
        <v>149</v>
      </c>
      <c r="F1708"/>
      <c r="H1708" t="s">
        <v>283</v>
      </c>
      <c r="L1708" t="s">
        <v>275</v>
      </c>
      <c r="O1708" s="1"/>
      <c r="P1708" s="1"/>
      <c r="Q1708" s="1"/>
      <c r="R1708" s="1"/>
    </row>
    <row r="1709" spans="4:18" x14ac:dyDescent="0.35">
      <c r="D1709" t="s">
        <v>27</v>
      </c>
      <c r="F1709"/>
      <c r="H1709" t="s">
        <v>142</v>
      </c>
      <c r="L1709" t="s">
        <v>264</v>
      </c>
      <c r="N1709" t="s">
        <v>106</v>
      </c>
      <c r="O1709" s="1"/>
      <c r="P1709" s="1"/>
      <c r="Q1709" s="1"/>
      <c r="R1709" s="1"/>
    </row>
    <row r="1710" spans="4:18" x14ac:dyDescent="0.35">
      <c r="D1710" t="s">
        <v>27</v>
      </c>
      <c r="F1710"/>
      <c r="H1710" t="s">
        <v>142</v>
      </c>
      <c r="L1710" t="s">
        <v>332</v>
      </c>
      <c r="N1710" t="s">
        <v>106</v>
      </c>
      <c r="O1710" s="1"/>
      <c r="P1710" s="1"/>
      <c r="Q1710" s="1"/>
      <c r="R1710" s="1"/>
    </row>
    <row r="1711" spans="4:18" x14ac:dyDescent="0.35">
      <c r="D1711" t="s">
        <v>27</v>
      </c>
      <c r="F1711"/>
      <c r="H1711" t="s">
        <v>142</v>
      </c>
      <c r="L1711" t="s">
        <v>319</v>
      </c>
      <c r="N1711" t="s">
        <v>106</v>
      </c>
      <c r="O1711" s="1"/>
      <c r="P1711" s="1"/>
      <c r="Q1711" s="1"/>
      <c r="R1711" s="1"/>
    </row>
    <row r="1712" spans="4:18" x14ac:dyDescent="0.35">
      <c r="D1712" t="s">
        <v>149</v>
      </c>
      <c r="F1712"/>
      <c r="H1712" t="s">
        <v>147</v>
      </c>
      <c r="L1712" t="s">
        <v>0</v>
      </c>
      <c r="O1712" s="1"/>
      <c r="P1712" s="1"/>
      <c r="Q1712" s="1"/>
      <c r="R1712" s="1"/>
    </row>
    <row r="1713" spans="4:18" x14ac:dyDescent="0.35">
      <c r="D1713" t="s">
        <v>149</v>
      </c>
      <c r="F1713"/>
      <c r="H1713" t="s">
        <v>148</v>
      </c>
      <c r="L1713" t="s">
        <v>0</v>
      </c>
      <c r="O1713" s="1"/>
      <c r="P1713" s="1"/>
      <c r="Q1713" s="1"/>
      <c r="R1713" s="1"/>
    </row>
    <row r="1714" spans="4:18" x14ac:dyDescent="0.35">
      <c r="D1714" t="s">
        <v>149</v>
      </c>
      <c r="F1714"/>
      <c r="H1714" t="s">
        <v>148</v>
      </c>
      <c r="L1714" t="s">
        <v>142</v>
      </c>
      <c r="O1714" s="1"/>
      <c r="P1714" s="1"/>
      <c r="Q1714" s="1"/>
      <c r="R1714" s="1"/>
    </row>
    <row r="1715" spans="4:18" x14ac:dyDescent="0.35">
      <c r="D1715" t="s">
        <v>149</v>
      </c>
      <c r="F1715"/>
      <c r="H1715" t="s">
        <v>4</v>
      </c>
      <c r="L1715" t="s">
        <v>0</v>
      </c>
      <c r="O1715" s="1"/>
      <c r="P1715" s="1"/>
      <c r="Q1715" s="1"/>
      <c r="R1715" s="1"/>
    </row>
    <row r="1716" spans="4:18" x14ac:dyDescent="0.35">
      <c r="D1716" t="s">
        <v>149</v>
      </c>
      <c r="F1716"/>
      <c r="H1716" t="s">
        <v>4</v>
      </c>
      <c r="L1716" t="s">
        <v>142</v>
      </c>
      <c r="O1716" s="1"/>
      <c r="P1716" s="1"/>
      <c r="Q1716" s="1"/>
      <c r="R1716" s="1"/>
    </row>
    <row r="1717" spans="4:18" x14ac:dyDescent="0.35">
      <c r="D1717" t="s">
        <v>177</v>
      </c>
      <c r="F1717"/>
      <c r="H1717" t="s">
        <v>324</v>
      </c>
      <c r="L1717" s="12" t="s">
        <v>332</v>
      </c>
      <c r="O1717" s="1"/>
      <c r="P1717" s="1"/>
      <c r="Q1717" s="1"/>
      <c r="R1717" s="1"/>
    </row>
    <row r="1718" spans="4:18" x14ac:dyDescent="0.35">
      <c r="D1718" t="s">
        <v>27</v>
      </c>
      <c r="F1718"/>
      <c r="H1718" t="s">
        <v>332</v>
      </c>
      <c r="L1718" t="s">
        <v>95</v>
      </c>
      <c r="N1718" t="s">
        <v>28</v>
      </c>
      <c r="O1718" s="1"/>
      <c r="P1718" s="1"/>
      <c r="Q1718" s="1"/>
      <c r="R1718" s="1"/>
    </row>
    <row r="1719" spans="4:18" x14ac:dyDescent="0.35">
      <c r="D1719" t="s">
        <v>27</v>
      </c>
      <c r="F1719"/>
      <c r="H1719" t="s">
        <v>332</v>
      </c>
      <c r="L1719" t="s">
        <v>353</v>
      </c>
      <c r="N1719" t="s">
        <v>28</v>
      </c>
      <c r="O1719" s="1"/>
      <c r="P1719" s="1"/>
      <c r="Q1719" s="1"/>
      <c r="R1719" s="1"/>
    </row>
    <row r="1720" spans="4:18" x14ac:dyDescent="0.35">
      <c r="D1720" t="s">
        <v>27</v>
      </c>
      <c r="F1720"/>
      <c r="H1720" t="s">
        <v>332</v>
      </c>
      <c r="L1720" t="s">
        <v>379</v>
      </c>
      <c r="N1720" t="s">
        <v>28</v>
      </c>
      <c r="O1720" s="1"/>
      <c r="P1720" s="1"/>
      <c r="Q1720" s="1"/>
      <c r="R1720" s="1"/>
    </row>
    <row r="1721" spans="4:18" x14ac:dyDescent="0.35">
      <c r="D1721" t="s">
        <v>27</v>
      </c>
      <c r="F1721"/>
      <c r="H1721" t="s">
        <v>332</v>
      </c>
      <c r="L1721" t="s">
        <v>374</v>
      </c>
      <c r="N1721" t="s">
        <v>28</v>
      </c>
      <c r="O1721" s="1"/>
      <c r="P1721" s="1"/>
      <c r="Q1721" s="1"/>
      <c r="R1721" s="1"/>
    </row>
    <row r="1722" spans="4:18" x14ac:dyDescent="0.35">
      <c r="D1722" t="s">
        <v>27</v>
      </c>
      <c r="F1722"/>
      <c r="H1722" t="s">
        <v>332</v>
      </c>
      <c r="L1722" t="s">
        <v>387</v>
      </c>
      <c r="N1722" t="s">
        <v>28</v>
      </c>
      <c r="O1722" s="1"/>
      <c r="P1722" s="1"/>
      <c r="Q1722" s="1"/>
      <c r="R1722" s="1"/>
    </row>
    <row r="1723" spans="4:18" x14ac:dyDescent="0.35">
      <c r="D1723" t="s">
        <v>27</v>
      </c>
      <c r="F1723"/>
      <c r="H1723" t="s">
        <v>332</v>
      </c>
      <c r="L1723" t="s">
        <v>335</v>
      </c>
      <c r="N1723" t="s">
        <v>28</v>
      </c>
      <c r="O1723" s="1"/>
      <c r="P1723" s="1"/>
      <c r="Q1723" s="1"/>
      <c r="R1723" s="1"/>
    </row>
    <row r="1724" spans="4:18" x14ac:dyDescent="0.35">
      <c r="D1724" t="s">
        <v>27</v>
      </c>
      <c r="F1724"/>
      <c r="H1724" t="s">
        <v>332</v>
      </c>
      <c r="L1724" t="s">
        <v>14</v>
      </c>
      <c r="N1724" t="s">
        <v>28</v>
      </c>
      <c r="O1724" s="1"/>
      <c r="P1724" s="1"/>
      <c r="Q1724" s="1"/>
      <c r="R1724" s="1"/>
    </row>
    <row r="1725" spans="4:18" x14ac:dyDescent="0.35">
      <c r="D1725" t="s">
        <v>27</v>
      </c>
      <c r="F1725"/>
      <c r="H1725" t="s">
        <v>332</v>
      </c>
      <c r="L1725" t="s">
        <v>340</v>
      </c>
      <c r="N1725" t="s">
        <v>28</v>
      </c>
      <c r="O1725" s="1"/>
      <c r="P1725" s="1"/>
      <c r="Q1725" s="1"/>
      <c r="R1725" s="1"/>
    </row>
    <row r="1726" spans="4:18" x14ac:dyDescent="0.35">
      <c r="D1726" t="s">
        <v>27</v>
      </c>
      <c r="F1726"/>
      <c r="H1726" t="s">
        <v>332</v>
      </c>
      <c r="L1726" t="s">
        <v>116</v>
      </c>
      <c r="N1726" t="s">
        <v>106</v>
      </c>
      <c r="O1726" s="1"/>
      <c r="P1726" s="1"/>
      <c r="Q1726" s="1"/>
      <c r="R1726" s="1"/>
    </row>
    <row r="1727" spans="4:18" x14ac:dyDescent="0.35">
      <c r="D1727" t="s">
        <v>27</v>
      </c>
      <c r="F1727"/>
      <c r="H1727" t="s">
        <v>332</v>
      </c>
      <c r="L1727" t="s">
        <v>392</v>
      </c>
      <c r="N1727" t="s">
        <v>106</v>
      </c>
      <c r="O1727" s="1"/>
      <c r="P1727" s="1"/>
      <c r="Q1727" s="1"/>
      <c r="R1727" s="1"/>
    </row>
    <row r="1728" spans="4:18" x14ac:dyDescent="0.35">
      <c r="D1728" t="s">
        <v>27</v>
      </c>
      <c r="F1728"/>
      <c r="H1728" t="s">
        <v>332</v>
      </c>
      <c r="L1728" t="s">
        <v>881</v>
      </c>
      <c r="N1728" t="s">
        <v>106</v>
      </c>
      <c r="O1728" s="1"/>
      <c r="P1728" s="1"/>
      <c r="Q1728" s="1"/>
      <c r="R1728" s="1"/>
    </row>
    <row r="1729" spans="4:18" x14ac:dyDescent="0.35">
      <c r="D1729" t="s">
        <v>27</v>
      </c>
      <c r="F1729"/>
      <c r="H1729" t="s">
        <v>332</v>
      </c>
      <c r="L1729" t="s">
        <v>34</v>
      </c>
      <c r="N1729" t="s">
        <v>106</v>
      </c>
      <c r="O1729" s="1"/>
      <c r="P1729" s="1"/>
      <c r="Q1729" s="1"/>
      <c r="R1729" s="1"/>
    </row>
    <row r="1730" spans="4:18" x14ac:dyDescent="0.35">
      <c r="D1730" t="s">
        <v>27</v>
      </c>
      <c r="F1730"/>
      <c r="H1730" t="s">
        <v>332</v>
      </c>
      <c r="L1730" t="s">
        <v>39</v>
      </c>
      <c r="N1730" t="s">
        <v>106</v>
      </c>
      <c r="O1730" s="1"/>
      <c r="P1730" s="1"/>
      <c r="Q1730" s="1"/>
      <c r="R1730" s="1"/>
    </row>
    <row r="1731" spans="4:18" x14ac:dyDescent="0.35">
      <c r="D1731" t="s">
        <v>27</v>
      </c>
      <c r="F1731"/>
      <c r="H1731" t="s">
        <v>332</v>
      </c>
      <c r="L1731" t="s">
        <v>750</v>
      </c>
      <c r="N1731" t="s">
        <v>106</v>
      </c>
      <c r="O1731" s="1"/>
      <c r="P1731" s="1"/>
      <c r="Q1731" s="1"/>
      <c r="R1731" s="1"/>
    </row>
    <row r="1732" spans="4:18" x14ac:dyDescent="0.35">
      <c r="D1732" t="s">
        <v>27</v>
      </c>
      <c r="F1732"/>
      <c r="H1732" t="s">
        <v>332</v>
      </c>
      <c r="L1732" t="s">
        <v>773</v>
      </c>
      <c r="N1732" t="s">
        <v>106</v>
      </c>
      <c r="O1732" s="1"/>
      <c r="P1732" s="1"/>
      <c r="Q1732" s="1"/>
      <c r="R1732" s="1"/>
    </row>
    <row r="1733" spans="4:18" x14ac:dyDescent="0.35">
      <c r="D1733" t="s">
        <v>27</v>
      </c>
      <c r="F1733"/>
      <c r="H1733" t="s">
        <v>332</v>
      </c>
      <c r="L1733" t="s">
        <v>890</v>
      </c>
      <c r="N1733" t="s">
        <v>106</v>
      </c>
      <c r="O1733" s="1"/>
      <c r="P1733" s="1"/>
      <c r="Q1733" s="1"/>
      <c r="R1733" s="1"/>
    </row>
    <row r="1734" spans="4:18" x14ac:dyDescent="0.35">
      <c r="D1734" t="s">
        <v>177</v>
      </c>
      <c r="F1734"/>
      <c r="H1734" t="s">
        <v>345</v>
      </c>
      <c r="L1734" s="12" t="s">
        <v>374</v>
      </c>
      <c r="O1734" s="1"/>
      <c r="P1734" s="1"/>
      <c r="Q1734" s="1"/>
      <c r="R1734" s="1"/>
    </row>
    <row r="1735" spans="4:18" x14ac:dyDescent="0.35">
      <c r="D1735" t="s">
        <v>110</v>
      </c>
      <c r="F1735"/>
      <c r="H1735" t="s">
        <v>374</v>
      </c>
      <c r="L1735" t="s">
        <v>375</v>
      </c>
      <c r="O1735" s="1"/>
      <c r="P1735" s="1"/>
      <c r="Q1735" s="1"/>
      <c r="R1735" s="1"/>
    </row>
    <row r="1736" spans="4:18" x14ac:dyDescent="0.35">
      <c r="D1736" t="s">
        <v>177</v>
      </c>
      <c r="F1736"/>
      <c r="H1736" t="s">
        <v>345</v>
      </c>
      <c r="L1736" s="12" t="s">
        <v>358</v>
      </c>
      <c r="O1736" s="1"/>
      <c r="P1736" s="1"/>
      <c r="Q1736" s="1"/>
      <c r="R1736" s="1"/>
    </row>
    <row r="1737" spans="4:18" x14ac:dyDescent="0.35">
      <c r="D1737" t="s">
        <v>118</v>
      </c>
      <c r="F1737"/>
      <c r="H1737" t="s">
        <v>358</v>
      </c>
      <c r="L1737" t="s">
        <v>374</v>
      </c>
      <c r="O1737" s="1"/>
      <c r="P1737" s="1"/>
      <c r="Q1737" s="1"/>
      <c r="R1737" s="1"/>
    </row>
    <row r="1738" spans="4:18" x14ac:dyDescent="0.35">
      <c r="D1738" t="s">
        <v>177</v>
      </c>
      <c r="F1738"/>
      <c r="H1738" t="s">
        <v>345</v>
      </c>
      <c r="L1738" s="12" t="s">
        <v>379</v>
      </c>
      <c r="O1738" s="1"/>
      <c r="P1738" s="1"/>
      <c r="Q1738" s="1"/>
      <c r="R1738" s="1"/>
    </row>
    <row r="1739" spans="4:18" x14ac:dyDescent="0.35">
      <c r="D1739" t="s">
        <v>110</v>
      </c>
      <c r="F1739"/>
      <c r="H1739" t="s">
        <v>379</v>
      </c>
      <c r="L1739" t="s">
        <v>380</v>
      </c>
      <c r="O1739" s="1"/>
      <c r="P1739" s="1"/>
      <c r="Q1739" s="1"/>
      <c r="R1739" s="1"/>
    </row>
    <row r="1740" spans="4:18" x14ac:dyDescent="0.35">
      <c r="D1740" t="s">
        <v>177</v>
      </c>
      <c r="F1740"/>
      <c r="H1740" t="s">
        <v>345</v>
      </c>
      <c r="L1740" s="12" t="s">
        <v>359</v>
      </c>
      <c r="O1740" s="1"/>
      <c r="P1740" s="1"/>
      <c r="Q1740" s="1"/>
      <c r="R1740" s="1"/>
    </row>
    <row r="1741" spans="4:18" ht="14" customHeight="1" x14ac:dyDescent="0.35">
      <c r="D1741" t="s">
        <v>118</v>
      </c>
      <c r="F1741"/>
      <c r="H1741" t="s">
        <v>359</v>
      </c>
      <c r="L1741" t="s">
        <v>379</v>
      </c>
      <c r="O1741" s="1"/>
      <c r="P1741" s="1"/>
      <c r="Q1741" s="1"/>
      <c r="R1741" s="1"/>
    </row>
    <row r="1742" spans="4:18" ht="14" customHeight="1" x14ac:dyDescent="0.35">
      <c r="D1742" t="s">
        <v>177</v>
      </c>
      <c r="F1742"/>
      <c r="H1742" t="s">
        <v>345</v>
      </c>
      <c r="L1742" s="12" t="s">
        <v>383</v>
      </c>
      <c r="O1742" s="1"/>
      <c r="P1742" s="1"/>
      <c r="Q1742" s="1"/>
      <c r="R1742" s="1"/>
    </row>
    <row r="1743" spans="4:18" ht="14" customHeight="1" x14ac:dyDescent="0.35">
      <c r="D1743" t="s">
        <v>110</v>
      </c>
      <c r="F1743"/>
      <c r="H1743" t="s">
        <v>383</v>
      </c>
      <c r="L1743" t="s">
        <v>384</v>
      </c>
      <c r="O1743" s="1"/>
      <c r="P1743" s="1"/>
      <c r="Q1743" s="1"/>
      <c r="R1743" s="1"/>
    </row>
    <row r="1744" spans="4:18" x14ac:dyDescent="0.35">
      <c r="D1744" t="s">
        <v>177</v>
      </c>
      <c r="F1744"/>
      <c r="H1744" t="s">
        <v>345</v>
      </c>
      <c r="L1744" s="12" t="s">
        <v>360</v>
      </c>
      <c r="O1744" s="1"/>
      <c r="P1744" s="1"/>
      <c r="Q1744" s="1"/>
      <c r="R1744" s="1"/>
    </row>
    <row r="1745" spans="4:18" x14ac:dyDescent="0.35">
      <c r="D1745" t="s">
        <v>118</v>
      </c>
      <c r="F1745"/>
      <c r="H1745" t="s">
        <v>360</v>
      </c>
      <c r="L1745" t="s">
        <v>383</v>
      </c>
      <c r="O1745" s="1"/>
      <c r="P1745" s="1"/>
      <c r="Q1745" s="1"/>
      <c r="R1745" s="1"/>
    </row>
    <row r="1746" spans="4:18" x14ac:dyDescent="0.35">
      <c r="D1746" t="s">
        <v>177</v>
      </c>
      <c r="F1746"/>
      <c r="H1746" t="s">
        <v>345</v>
      </c>
      <c r="L1746" s="12" t="s">
        <v>353</v>
      </c>
      <c r="O1746" s="1"/>
      <c r="P1746" s="1"/>
      <c r="Q1746" s="1"/>
      <c r="R1746" s="1"/>
    </row>
    <row r="1747" spans="4:18" x14ac:dyDescent="0.35">
      <c r="D1747" t="s">
        <v>110</v>
      </c>
      <c r="F1747"/>
      <c r="H1747" t="s">
        <v>353</v>
      </c>
      <c r="L1747" t="s">
        <v>354</v>
      </c>
      <c r="O1747" s="1"/>
      <c r="P1747" s="1"/>
      <c r="Q1747" s="1"/>
      <c r="R1747" s="1"/>
    </row>
    <row r="1748" spans="4:18" x14ac:dyDescent="0.35">
      <c r="D1748" t="s">
        <v>177</v>
      </c>
      <c r="F1748"/>
      <c r="H1748" t="s">
        <v>345</v>
      </c>
      <c r="L1748" s="12" t="s">
        <v>348</v>
      </c>
      <c r="O1748" s="1"/>
      <c r="P1748" s="1"/>
      <c r="Q1748" s="1"/>
      <c r="R1748" s="1"/>
    </row>
    <row r="1749" spans="4:18" x14ac:dyDescent="0.35">
      <c r="D1749" t="s">
        <v>118</v>
      </c>
      <c r="F1749"/>
      <c r="H1749" t="s">
        <v>348</v>
      </c>
      <c r="L1749" t="s">
        <v>353</v>
      </c>
      <c r="O1749" s="1"/>
      <c r="P1749" s="1"/>
      <c r="Q1749" s="1"/>
      <c r="R1749" s="1"/>
    </row>
    <row r="1750" spans="4:18" x14ac:dyDescent="0.35">
      <c r="D1750" t="s">
        <v>177</v>
      </c>
      <c r="F1750"/>
      <c r="H1750" t="s">
        <v>171</v>
      </c>
      <c r="L1750" s="12" t="s">
        <v>387</v>
      </c>
      <c r="O1750" s="1"/>
      <c r="P1750" s="1"/>
      <c r="Q1750" s="1"/>
      <c r="R1750" s="1"/>
    </row>
    <row r="1751" spans="4:18" x14ac:dyDescent="0.35">
      <c r="D1751" t="s">
        <v>110</v>
      </c>
      <c r="F1751"/>
      <c r="H1751" t="s">
        <v>387</v>
      </c>
      <c r="L1751" t="s">
        <v>388</v>
      </c>
      <c r="O1751" s="1"/>
      <c r="P1751" s="1"/>
      <c r="Q1751" s="1"/>
      <c r="R1751" s="1"/>
    </row>
    <row r="1752" spans="4:18" x14ac:dyDescent="0.35">
      <c r="D1752" t="s">
        <v>177</v>
      </c>
      <c r="F1752"/>
      <c r="H1752" t="s">
        <v>171</v>
      </c>
      <c r="L1752" s="12" t="s">
        <v>361</v>
      </c>
      <c r="O1752" s="1"/>
      <c r="P1752" s="1"/>
      <c r="Q1752" s="1"/>
      <c r="R1752" s="1"/>
    </row>
    <row r="1753" spans="4:18" x14ac:dyDescent="0.35">
      <c r="D1753" t="s">
        <v>118</v>
      </c>
      <c r="F1753"/>
      <c r="H1753" t="s">
        <v>361</v>
      </c>
      <c r="L1753" t="s">
        <v>387</v>
      </c>
      <c r="O1753" s="1"/>
      <c r="P1753" s="1"/>
      <c r="Q1753" s="1"/>
      <c r="R1753" s="1"/>
    </row>
    <row r="1754" spans="4:18" x14ac:dyDescent="0.35">
      <c r="D1754" t="s">
        <v>180</v>
      </c>
      <c r="F1754"/>
      <c r="H1754" t="s">
        <v>596</v>
      </c>
      <c r="L1754" t="s">
        <v>595</v>
      </c>
      <c r="O1754" s="1"/>
      <c r="P1754" s="1"/>
      <c r="Q1754" s="1"/>
      <c r="R1754" s="1"/>
    </row>
    <row r="1755" spans="4:18" x14ac:dyDescent="0.35">
      <c r="D1755" t="s">
        <v>146</v>
      </c>
      <c r="F1755"/>
      <c r="H1755" t="s">
        <v>596</v>
      </c>
      <c r="L1755" t="s">
        <v>597</v>
      </c>
      <c r="O1755" s="1"/>
      <c r="P1755" s="1"/>
      <c r="Q1755" s="1"/>
      <c r="R1755" s="1"/>
    </row>
    <row r="1756" spans="4:18" x14ac:dyDescent="0.35">
      <c r="D1756" t="s">
        <v>180</v>
      </c>
      <c r="F1756"/>
      <c r="H1756" t="s">
        <v>597</v>
      </c>
      <c r="L1756" t="s">
        <v>595</v>
      </c>
      <c r="O1756" s="1"/>
      <c r="P1756" s="1"/>
      <c r="Q1756" s="1"/>
      <c r="R1756" s="1"/>
    </row>
    <row r="1757" spans="4:18" x14ac:dyDescent="0.35">
      <c r="D1757" t="s">
        <v>146</v>
      </c>
      <c r="F1757"/>
      <c r="H1757" t="s">
        <v>597</v>
      </c>
      <c r="L1757" t="s">
        <v>598</v>
      </c>
      <c r="O1757" s="1"/>
      <c r="P1757" s="1"/>
      <c r="Q1757" s="1"/>
      <c r="R1757" s="1"/>
    </row>
    <row r="1758" spans="4:18" x14ac:dyDescent="0.35">
      <c r="D1758" t="s">
        <v>180</v>
      </c>
      <c r="F1758"/>
      <c r="H1758" t="s">
        <v>598</v>
      </c>
      <c r="L1758" t="s">
        <v>595</v>
      </c>
      <c r="O1758" s="1"/>
      <c r="P1758" s="1"/>
      <c r="Q1758" s="1"/>
      <c r="R1758" s="1"/>
    </row>
    <row r="1759" spans="4:18" x14ac:dyDescent="0.35">
      <c r="D1759" t="s">
        <v>177</v>
      </c>
      <c r="F1759"/>
      <c r="H1759" t="s">
        <v>291</v>
      </c>
      <c r="L1759" s="12" t="s">
        <v>644</v>
      </c>
      <c r="O1759" s="1"/>
      <c r="P1759" s="1"/>
      <c r="Q1759" s="1"/>
      <c r="R1759" s="1"/>
    </row>
    <row r="1760" spans="4:18" x14ac:dyDescent="0.35">
      <c r="D1760" t="s">
        <v>181</v>
      </c>
      <c r="F1760"/>
      <c r="H1760" t="s">
        <v>644</v>
      </c>
      <c r="L1760" t="s">
        <v>598</v>
      </c>
      <c r="O1760" s="1"/>
      <c r="P1760" s="1"/>
      <c r="Q1760" s="1"/>
      <c r="R1760" s="1"/>
    </row>
    <row r="1761" spans="4:18" x14ac:dyDescent="0.35">
      <c r="D1761" t="s">
        <v>177</v>
      </c>
      <c r="F1761"/>
      <c r="H1761" t="s">
        <v>291</v>
      </c>
      <c r="L1761" s="12" t="s">
        <v>649</v>
      </c>
      <c r="O1761" s="1"/>
      <c r="P1761" s="1"/>
      <c r="Q1761" s="1"/>
      <c r="R1761" s="1"/>
    </row>
    <row r="1762" spans="4:18" x14ac:dyDescent="0.35">
      <c r="D1762" t="s">
        <v>181</v>
      </c>
      <c r="F1762"/>
      <c r="H1762" t="s">
        <v>649</v>
      </c>
      <c r="L1762" t="s">
        <v>597</v>
      </c>
      <c r="O1762" s="1"/>
      <c r="P1762" s="1"/>
      <c r="Q1762" s="1"/>
      <c r="R1762" s="1"/>
    </row>
    <row r="1763" spans="4:18" x14ac:dyDescent="0.35">
      <c r="D1763" t="s">
        <v>146</v>
      </c>
      <c r="F1763"/>
      <c r="H1763" t="s">
        <v>649</v>
      </c>
      <c r="L1763" t="s">
        <v>644</v>
      </c>
      <c r="O1763" s="1"/>
      <c r="P1763" s="1"/>
      <c r="Q1763" s="1"/>
      <c r="R1763" s="1"/>
    </row>
    <row r="1764" spans="4:18" x14ac:dyDescent="0.35">
      <c r="D1764" t="s">
        <v>177</v>
      </c>
      <c r="F1764"/>
      <c r="H1764" t="s">
        <v>291</v>
      </c>
      <c r="L1764" s="12" t="s">
        <v>655</v>
      </c>
      <c r="O1764" s="1"/>
      <c r="P1764" s="1"/>
      <c r="Q1764" s="1"/>
      <c r="R1764" s="1"/>
    </row>
    <row r="1765" spans="4:18" x14ac:dyDescent="0.35">
      <c r="D1765" t="s">
        <v>181</v>
      </c>
      <c r="F1765"/>
      <c r="H1765" t="s">
        <v>655</v>
      </c>
      <c r="L1765" t="s">
        <v>596</v>
      </c>
      <c r="O1765" s="1"/>
      <c r="P1765" s="1"/>
      <c r="Q1765" s="1"/>
      <c r="R1765" s="1"/>
    </row>
    <row r="1766" spans="4:18" x14ac:dyDescent="0.35">
      <c r="D1766" t="s">
        <v>146</v>
      </c>
      <c r="F1766"/>
      <c r="H1766" t="s">
        <v>655</v>
      </c>
      <c r="L1766" t="s">
        <v>649</v>
      </c>
      <c r="O1766" s="1"/>
      <c r="P1766" s="1"/>
      <c r="Q1766" s="1"/>
      <c r="R1766" s="1"/>
    </row>
    <row r="1767" spans="4:18" x14ac:dyDescent="0.35">
      <c r="D1767" t="s">
        <v>118</v>
      </c>
      <c r="F1767"/>
      <c r="H1767" t="s">
        <v>655</v>
      </c>
      <c r="L1767" t="s">
        <v>662</v>
      </c>
      <c r="O1767" s="1"/>
      <c r="P1767" s="1"/>
      <c r="Q1767" s="1"/>
      <c r="R1767" s="1"/>
    </row>
    <row r="1768" spans="4:18" x14ac:dyDescent="0.35">
      <c r="D1768" t="s">
        <v>27</v>
      </c>
      <c r="F1768"/>
      <c r="H1768" t="s">
        <v>655</v>
      </c>
      <c r="L1768" t="s">
        <v>686</v>
      </c>
      <c r="N1768" t="s">
        <v>28</v>
      </c>
      <c r="O1768" s="1"/>
      <c r="P1768" s="1"/>
      <c r="Q1768" s="1"/>
      <c r="R1768" s="1"/>
    </row>
    <row r="1769" spans="4:18" x14ac:dyDescent="0.35">
      <c r="D1769" t="s">
        <v>177</v>
      </c>
      <c r="F1769"/>
      <c r="H1769" t="s">
        <v>291</v>
      </c>
      <c r="L1769" s="12" t="s">
        <v>662</v>
      </c>
      <c r="O1769" s="1"/>
      <c r="P1769" s="1"/>
      <c r="Q1769" s="1"/>
      <c r="R1769" s="1"/>
    </row>
    <row r="1770" spans="4:18" x14ac:dyDescent="0.35">
      <c r="D1770" t="s">
        <v>110</v>
      </c>
      <c r="F1770"/>
      <c r="H1770" t="s">
        <v>662</v>
      </c>
      <c r="L1770" t="s">
        <v>663</v>
      </c>
      <c r="O1770" s="1"/>
      <c r="P1770" s="1"/>
      <c r="Q1770" s="1"/>
      <c r="R1770" s="1"/>
    </row>
    <row r="1771" spans="4:18" x14ac:dyDescent="0.35">
      <c r="D1771" t="s">
        <v>177</v>
      </c>
      <c r="F1771"/>
      <c r="H1771" t="s">
        <v>291</v>
      </c>
      <c r="L1771" s="12" t="s">
        <v>664</v>
      </c>
      <c r="O1771" s="1"/>
      <c r="P1771" s="1"/>
      <c r="Q1771" s="1"/>
      <c r="R1771" s="1"/>
    </row>
    <row r="1772" spans="4:18" x14ac:dyDescent="0.35">
      <c r="D1772" t="s">
        <v>181</v>
      </c>
      <c r="F1772"/>
      <c r="H1772" t="s">
        <v>664</v>
      </c>
      <c r="L1772" t="s">
        <v>596</v>
      </c>
      <c r="O1772" s="1"/>
      <c r="P1772" s="1"/>
      <c r="Q1772" s="1"/>
      <c r="R1772" s="1"/>
    </row>
    <row r="1773" spans="4:18" x14ac:dyDescent="0.35">
      <c r="D1773" t="s">
        <v>118</v>
      </c>
      <c r="F1773"/>
      <c r="H1773" t="s">
        <v>664</v>
      </c>
      <c r="L1773" t="s">
        <v>668</v>
      </c>
      <c r="O1773" s="1"/>
      <c r="P1773" s="1"/>
      <c r="Q1773" s="1"/>
      <c r="R1773" s="1"/>
    </row>
    <row r="1774" spans="4:18" x14ac:dyDescent="0.35">
      <c r="D1774" t="s">
        <v>177</v>
      </c>
      <c r="F1774"/>
      <c r="H1774" t="s">
        <v>291</v>
      </c>
      <c r="L1774" s="12" t="s">
        <v>668</v>
      </c>
      <c r="O1774" s="1"/>
      <c r="P1774" s="1"/>
      <c r="Q1774" s="1"/>
      <c r="R1774" s="1"/>
    </row>
    <row r="1775" spans="4:18" x14ac:dyDescent="0.35">
      <c r="D1775" t="s">
        <v>110</v>
      </c>
      <c r="F1775"/>
      <c r="H1775" t="s">
        <v>668</v>
      </c>
      <c r="L1775" t="s">
        <v>670</v>
      </c>
      <c r="O1775" s="1"/>
      <c r="P1775" s="1"/>
      <c r="Q1775" s="1"/>
      <c r="R1775" s="1"/>
    </row>
    <row r="1776" spans="4:18" x14ac:dyDescent="0.35">
      <c r="D1776" t="s">
        <v>177</v>
      </c>
      <c r="F1776"/>
      <c r="H1776" t="s">
        <v>291</v>
      </c>
      <c r="L1776" s="12" t="s">
        <v>673</v>
      </c>
      <c r="O1776" s="1"/>
      <c r="P1776" s="1"/>
      <c r="Q1776" s="1"/>
      <c r="R1776" s="1"/>
    </row>
    <row r="1777" spans="4:18" x14ac:dyDescent="0.35">
      <c r="D1777" t="s">
        <v>181</v>
      </c>
      <c r="F1777"/>
      <c r="H1777" t="s">
        <v>673</v>
      </c>
      <c r="L1777" t="s">
        <v>596</v>
      </c>
      <c r="O1777" s="1"/>
      <c r="P1777" s="1"/>
      <c r="Q1777" s="1"/>
      <c r="R1777" s="1"/>
    </row>
    <row r="1778" spans="4:18" x14ac:dyDescent="0.35">
      <c r="D1778" t="s">
        <v>118</v>
      </c>
      <c r="F1778"/>
      <c r="H1778" t="s">
        <v>673</v>
      </c>
      <c r="L1778" t="s">
        <v>677</v>
      </c>
      <c r="O1778" s="1"/>
      <c r="P1778" s="1"/>
      <c r="Q1778" s="1"/>
      <c r="R1778" s="1"/>
    </row>
    <row r="1779" spans="4:18" x14ac:dyDescent="0.35">
      <c r="D1779" t="s">
        <v>177</v>
      </c>
      <c r="F1779"/>
      <c r="H1779" t="s">
        <v>291</v>
      </c>
      <c r="L1779" s="12" t="s">
        <v>677</v>
      </c>
      <c r="O1779" s="1"/>
      <c r="P1779" s="1"/>
      <c r="Q1779" s="1"/>
      <c r="R1779" s="1"/>
    </row>
    <row r="1780" spans="4:18" x14ac:dyDescent="0.35">
      <c r="D1780" t="s">
        <v>110</v>
      </c>
      <c r="F1780"/>
      <c r="H1780" t="s">
        <v>677</v>
      </c>
      <c r="L1780" t="s">
        <v>678</v>
      </c>
      <c r="O1780" s="1"/>
      <c r="P1780" s="1"/>
      <c r="Q1780" s="1"/>
      <c r="R1780" s="1"/>
    </row>
    <row r="1781" spans="4:18" x14ac:dyDescent="0.35">
      <c r="D1781" t="s">
        <v>177</v>
      </c>
      <c r="F1781"/>
      <c r="H1781" t="s">
        <v>291</v>
      </c>
      <c r="L1781" s="12" t="s">
        <v>683</v>
      </c>
      <c r="O1781" s="1"/>
      <c r="P1781" s="1"/>
      <c r="Q1781" s="1"/>
      <c r="R1781" s="1"/>
    </row>
    <row r="1782" spans="4:18" x14ac:dyDescent="0.35">
      <c r="D1782" t="s">
        <v>181</v>
      </c>
      <c r="F1782"/>
      <c r="H1782" t="s">
        <v>683</v>
      </c>
      <c r="L1782" t="s">
        <v>596</v>
      </c>
      <c r="O1782" s="1"/>
      <c r="P1782" s="1"/>
      <c r="Q1782" s="1"/>
      <c r="R1782" s="1"/>
    </row>
    <row r="1783" spans="4:18" x14ac:dyDescent="0.35">
      <c r="D1783" t="s">
        <v>180</v>
      </c>
      <c r="F1783"/>
      <c r="H1783" t="s">
        <v>413</v>
      </c>
      <c r="L1783" t="s">
        <v>412</v>
      </c>
      <c r="O1783" s="1"/>
      <c r="P1783" s="1"/>
      <c r="Q1783" s="1"/>
      <c r="R1783" s="1"/>
    </row>
    <row r="1784" spans="4:18" x14ac:dyDescent="0.35">
      <c r="D1784" t="s">
        <v>569</v>
      </c>
      <c r="F1784"/>
      <c r="H1784" t="s">
        <v>413</v>
      </c>
      <c r="L1784" t="s">
        <v>179</v>
      </c>
      <c r="O1784" s="1"/>
      <c r="P1784" s="1"/>
      <c r="Q1784" s="1"/>
      <c r="R1784" s="1"/>
    </row>
    <row r="1785" spans="4:18" x14ac:dyDescent="0.35">
      <c r="D1785" t="s">
        <v>146</v>
      </c>
      <c r="F1785"/>
      <c r="H1785" t="s">
        <v>413</v>
      </c>
      <c r="L1785" t="s">
        <v>596</v>
      </c>
      <c r="O1785" s="1"/>
      <c r="P1785" s="1"/>
      <c r="Q1785" s="1"/>
      <c r="R1785" s="1"/>
    </row>
    <row r="1786" spans="4:18" x14ac:dyDescent="0.35">
      <c r="D1786" t="s">
        <v>177</v>
      </c>
      <c r="F1786"/>
      <c r="H1786" t="s">
        <v>397</v>
      </c>
      <c r="L1786" s="12" t="s">
        <v>420</v>
      </c>
      <c r="O1786" s="1"/>
      <c r="P1786" s="1"/>
      <c r="Q1786" s="1"/>
      <c r="R1786" s="1"/>
    </row>
    <row r="1787" spans="4:18" x14ac:dyDescent="0.35">
      <c r="D1787" t="s">
        <v>181</v>
      </c>
      <c r="F1787"/>
      <c r="H1787" t="s">
        <v>420</v>
      </c>
      <c r="L1787" t="s">
        <v>413</v>
      </c>
      <c r="O1787" s="1"/>
      <c r="P1787" s="1"/>
      <c r="Q1787" s="1"/>
      <c r="R1787" s="1"/>
    </row>
    <row r="1788" spans="4:18" x14ac:dyDescent="0.35">
      <c r="D1788" t="s">
        <v>118</v>
      </c>
      <c r="F1788"/>
      <c r="H1788" t="s">
        <v>420</v>
      </c>
      <c r="L1788" t="s">
        <v>295</v>
      </c>
      <c r="O1788" s="1"/>
      <c r="P1788" s="1"/>
      <c r="Q1788" s="1"/>
      <c r="R1788" s="1"/>
    </row>
    <row r="1789" spans="4:18" x14ac:dyDescent="0.35">
      <c r="D1789" t="s">
        <v>146</v>
      </c>
      <c r="F1789"/>
      <c r="H1789" t="s">
        <v>420</v>
      </c>
      <c r="L1789" t="s">
        <v>414</v>
      </c>
      <c r="O1789" s="1"/>
      <c r="P1789" s="1"/>
      <c r="Q1789" s="1"/>
      <c r="R1789" s="1"/>
    </row>
    <row r="1790" spans="4:18" x14ac:dyDescent="0.35">
      <c r="D1790" t="s">
        <v>428</v>
      </c>
      <c r="F1790"/>
      <c r="H1790" t="s">
        <v>420</v>
      </c>
      <c r="L1790" t="s">
        <v>423</v>
      </c>
      <c r="O1790" s="1"/>
      <c r="P1790" s="1"/>
      <c r="Q1790" s="1"/>
      <c r="R1790" s="1"/>
    </row>
    <row r="1791" spans="4:18" x14ac:dyDescent="0.35">
      <c r="D1791" t="s">
        <v>177</v>
      </c>
      <c r="F1791"/>
      <c r="H1791" t="s">
        <v>409</v>
      </c>
      <c r="L1791" s="12" t="s">
        <v>423</v>
      </c>
      <c r="O1791" s="1"/>
      <c r="P1791" s="1"/>
      <c r="Q1791" s="1"/>
      <c r="R1791" s="1"/>
    </row>
    <row r="1792" spans="4:18" x14ac:dyDescent="0.35">
      <c r="D1792" t="s">
        <v>177</v>
      </c>
      <c r="F1792"/>
      <c r="H1792" t="s">
        <v>397</v>
      </c>
      <c r="L1792" s="12" t="s">
        <v>414</v>
      </c>
      <c r="O1792" s="1"/>
      <c r="P1792" s="1"/>
      <c r="Q1792" s="1"/>
      <c r="R1792" s="1"/>
    </row>
    <row r="1793" spans="4:18" x14ac:dyDescent="0.35">
      <c r="D1793" t="s">
        <v>118</v>
      </c>
      <c r="F1793"/>
      <c r="H1793" t="s">
        <v>414</v>
      </c>
      <c r="L1793" t="s">
        <v>295</v>
      </c>
      <c r="O1793" s="1"/>
      <c r="P1793" s="1"/>
      <c r="Q1793" s="1"/>
      <c r="R1793" s="1"/>
    </row>
    <row r="1794" spans="4:18" x14ac:dyDescent="0.35">
      <c r="D1794" t="s">
        <v>146</v>
      </c>
      <c r="F1794"/>
      <c r="H1794" t="s">
        <v>414</v>
      </c>
      <c r="L1794" t="s">
        <v>288</v>
      </c>
      <c r="O1794" s="1"/>
      <c r="P1794" s="1"/>
      <c r="Q1794" s="1"/>
      <c r="R1794" s="1"/>
    </row>
    <row r="1795" spans="4:18" x14ac:dyDescent="0.35">
      <c r="D1795" t="s">
        <v>177</v>
      </c>
      <c r="F1795"/>
      <c r="H1795" t="s">
        <v>397</v>
      </c>
      <c r="L1795" s="12" t="s">
        <v>288</v>
      </c>
      <c r="O1795" s="1"/>
      <c r="P1795" s="1"/>
      <c r="Q1795" s="1"/>
      <c r="R1795" s="1"/>
    </row>
    <row r="1796" spans="4:18" x14ac:dyDescent="0.35">
      <c r="D1796" t="s">
        <v>146</v>
      </c>
      <c r="F1796"/>
      <c r="H1796" t="s">
        <v>288</v>
      </c>
      <c r="L1796" t="s">
        <v>655</v>
      </c>
      <c r="O1796" s="1"/>
      <c r="P1796" s="1"/>
      <c r="Q1796" s="1"/>
      <c r="R1796" s="1"/>
    </row>
    <row r="1797" spans="4:18" x14ac:dyDescent="0.35">
      <c r="D1797" t="s">
        <v>118</v>
      </c>
      <c r="F1797"/>
      <c r="H1797" t="s">
        <v>288</v>
      </c>
      <c r="L1797" t="s">
        <v>295</v>
      </c>
      <c r="O1797" s="1"/>
      <c r="P1797" s="1"/>
      <c r="Q1797" s="1"/>
      <c r="R1797" s="1"/>
    </row>
    <row r="1798" spans="4:18" x14ac:dyDescent="0.35">
      <c r="D1798" t="s">
        <v>177</v>
      </c>
      <c r="F1798"/>
      <c r="H1798" t="s">
        <v>397</v>
      </c>
      <c r="L1798" s="12" t="s">
        <v>295</v>
      </c>
      <c r="O1798" s="1"/>
      <c r="P1798" s="1"/>
      <c r="Q1798" s="1"/>
      <c r="R1798" s="1"/>
    </row>
    <row r="1799" spans="4:18" x14ac:dyDescent="0.35">
      <c r="D1799" t="s">
        <v>110</v>
      </c>
      <c r="F1799"/>
      <c r="H1799" t="s">
        <v>295</v>
      </c>
      <c r="L1799" t="s">
        <v>429</v>
      </c>
      <c r="O1799" s="1"/>
      <c r="P1799" s="1"/>
      <c r="Q1799" s="1"/>
      <c r="R1799" s="1"/>
    </row>
    <row r="1800" spans="4:18" x14ac:dyDescent="0.35">
      <c r="D1800" t="s">
        <v>110</v>
      </c>
      <c r="F1800"/>
      <c r="H1800" t="s">
        <v>295</v>
      </c>
      <c r="L1800" t="s">
        <v>435</v>
      </c>
      <c r="O1800" s="1"/>
      <c r="P1800" s="1"/>
      <c r="Q1800" s="1"/>
      <c r="R1800" s="1"/>
    </row>
    <row r="1801" spans="4:18" x14ac:dyDescent="0.35">
      <c r="D1801" t="s">
        <v>110</v>
      </c>
      <c r="F1801"/>
      <c r="H1801" t="s">
        <v>295</v>
      </c>
      <c r="L1801" t="s">
        <v>300</v>
      </c>
      <c r="O1801" s="1"/>
      <c r="P1801" s="1"/>
      <c r="Q1801" s="1"/>
      <c r="R1801" s="1"/>
    </row>
    <row r="1802" spans="4:18" x14ac:dyDescent="0.35">
      <c r="D1802" t="s">
        <v>110</v>
      </c>
      <c r="F1802"/>
      <c r="H1802" t="s">
        <v>295</v>
      </c>
      <c r="L1802" t="s">
        <v>305</v>
      </c>
      <c r="O1802" s="1"/>
      <c r="P1802" s="1"/>
      <c r="Q1802" s="1"/>
      <c r="R1802" s="1"/>
    </row>
    <row r="1803" spans="4:18" x14ac:dyDescent="0.35">
      <c r="D1803" t="s">
        <v>110</v>
      </c>
      <c r="F1803"/>
      <c r="H1803" t="s">
        <v>297</v>
      </c>
      <c r="L1803" t="s">
        <v>310</v>
      </c>
      <c r="O1803" s="1"/>
      <c r="P1803" s="1"/>
      <c r="Q1803" s="1"/>
      <c r="R1803" s="1"/>
    </row>
    <row r="1804" spans="4:18" x14ac:dyDescent="0.35">
      <c r="D1804" t="s">
        <v>110</v>
      </c>
      <c r="F1804"/>
      <c r="H1804" t="s">
        <v>299</v>
      </c>
      <c r="L1804" t="s">
        <v>314</v>
      </c>
      <c r="O1804" s="1"/>
      <c r="P1804" s="1"/>
      <c r="Q1804" s="1"/>
      <c r="R1804" s="1"/>
    </row>
    <row r="1805" spans="4:18" x14ac:dyDescent="0.35">
      <c r="D1805" t="s">
        <v>146</v>
      </c>
      <c r="F1805"/>
      <c r="H1805" t="s">
        <v>305</v>
      </c>
      <c r="L1805" t="s">
        <v>310</v>
      </c>
      <c r="O1805" s="1"/>
      <c r="P1805" s="1"/>
      <c r="Q1805" s="1"/>
      <c r="R1805" s="1"/>
    </row>
    <row r="1806" spans="4:18" x14ac:dyDescent="0.35">
      <c r="D1806" t="s">
        <v>146</v>
      </c>
      <c r="F1806"/>
      <c r="H1806" t="s">
        <v>305</v>
      </c>
      <c r="L1806" t="s">
        <v>314</v>
      </c>
      <c r="O1806" s="1"/>
      <c r="P1806" s="1"/>
      <c r="Q1806" s="1"/>
      <c r="R1806" s="1"/>
    </row>
    <row r="1807" spans="4:18" x14ac:dyDescent="0.35">
      <c r="D1807" t="s">
        <v>110</v>
      </c>
      <c r="F1807"/>
      <c r="H1807" t="s">
        <v>299</v>
      </c>
      <c r="L1807" t="s">
        <v>319</v>
      </c>
      <c r="O1807" s="1"/>
      <c r="P1807" s="1"/>
      <c r="Q1807" s="1"/>
      <c r="R1807" s="1"/>
    </row>
    <row r="1808" spans="4:18" x14ac:dyDescent="0.35">
      <c r="D1808" t="s">
        <v>177</v>
      </c>
      <c r="F1808"/>
      <c r="H1808" t="s">
        <v>397</v>
      </c>
      <c r="L1808" s="12" t="s">
        <v>297</v>
      </c>
      <c r="O1808" s="1"/>
      <c r="P1808" s="1"/>
      <c r="Q1808" s="1"/>
      <c r="R1808" s="1"/>
    </row>
    <row r="1809" spans="4:18" x14ac:dyDescent="0.35">
      <c r="D1809" t="s">
        <v>177</v>
      </c>
      <c r="F1809"/>
      <c r="H1809" t="s">
        <v>397</v>
      </c>
      <c r="L1809" s="12" t="s">
        <v>299</v>
      </c>
      <c r="O1809" s="1"/>
      <c r="P1809" s="1"/>
      <c r="Q1809" s="1"/>
      <c r="R1809" s="1"/>
    </row>
    <row r="1810" spans="4:18" x14ac:dyDescent="0.35">
      <c r="D1810" t="s">
        <v>177</v>
      </c>
      <c r="F1810"/>
      <c r="H1810" t="s">
        <v>397</v>
      </c>
      <c r="L1810" s="12" t="s">
        <v>443</v>
      </c>
      <c r="O1810" s="1"/>
      <c r="P1810" s="1"/>
      <c r="Q1810" s="1"/>
      <c r="R1810" s="1"/>
    </row>
    <row r="1811" spans="4:18" x14ac:dyDescent="0.35">
      <c r="D1811" t="s">
        <v>181</v>
      </c>
      <c r="F1811"/>
      <c r="H1811" t="s">
        <v>443</v>
      </c>
      <c r="L1811" t="s">
        <v>413</v>
      </c>
      <c r="O1811" s="1"/>
      <c r="P1811" s="1"/>
      <c r="Q1811" s="1"/>
      <c r="R1811" s="1"/>
    </row>
    <row r="1812" spans="4:18" x14ac:dyDescent="0.35">
      <c r="D1812" t="s">
        <v>118</v>
      </c>
      <c r="F1812"/>
      <c r="H1812" t="s">
        <v>443</v>
      </c>
      <c r="L1812" t="s">
        <v>447</v>
      </c>
      <c r="O1812" s="1"/>
      <c r="P1812" s="1"/>
      <c r="Q1812" s="1"/>
      <c r="R1812" s="1"/>
    </row>
    <row r="1813" spans="4:18" x14ac:dyDescent="0.35">
      <c r="D1813" t="s">
        <v>146</v>
      </c>
      <c r="F1813"/>
      <c r="H1813" t="s">
        <v>443</v>
      </c>
      <c r="L1813" t="s">
        <v>442</v>
      </c>
      <c r="O1813" s="1"/>
      <c r="P1813" s="1"/>
      <c r="Q1813" s="1"/>
      <c r="R1813" s="1"/>
    </row>
    <row r="1814" spans="4:18" x14ac:dyDescent="0.35">
      <c r="D1814" t="s">
        <v>428</v>
      </c>
      <c r="F1814"/>
      <c r="H1814" t="s">
        <v>443</v>
      </c>
      <c r="L1814" t="s">
        <v>473</v>
      </c>
      <c r="O1814" s="1"/>
      <c r="P1814" s="1"/>
      <c r="Q1814" s="1"/>
      <c r="R1814" s="1"/>
    </row>
    <row r="1815" spans="4:18" x14ac:dyDescent="0.35">
      <c r="D1815" t="s">
        <v>177</v>
      </c>
      <c r="F1815"/>
      <c r="H1815" t="s">
        <v>409</v>
      </c>
      <c r="L1815" s="12" t="s">
        <v>473</v>
      </c>
      <c r="O1815" s="1"/>
      <c r="P1815" s="1"/>
      <c r="Q1815" s="1"/>
      <c r="R1815" s="1"/>
    </row>
    <row r="1816" spans="4:18" x14ac:dyDescent="0.35">
      <c r="D1816" t="s">
        <v>177</v>
      </c>
      <c r="F1816"/>
      <c r="H1816" t="s">
        <v>397</v>
      </c>
      <c r="L1816" s="12" t="s">
        <v>442</v>
      </c>
      <c r="O1816" s="1"/>
      <c r="P1816" s="1"/>
      <c r="Q1816" s="1"/>
      <c r="R1816" s="1"/>
    </row>
    <row r="1817" spans="4:18" x14ac:dyDescent="0.35">
      <c r="D1817" t="s">
        <v>118</v>
      </c>
      <c r="F1817"/>
      <c r="H1817" t="s">
        <v>442</v>
      </c>
      <c r="L1817" t="s">
        <v>447</v>
      </c>
      <c r="O1817" s="1"/>
      <c r="P1817" s="1"/>
      <c r="Q1817" s="1"/>
      <c r="R1817" s="1"/>
    </row>
    <row r="1818" spans="4:18" x14ac:dyDescent="0.35">
      <c r="D1818" t="s">
        <v>146</v>
      </c>
      <c r="F1818"/>
      <c r="H1818" t="s">
        <v>442</v>
      </c>
      <c r="L1818" t="s">
        <v>441</v>
      </c>
      <c r="O1818" s="1"/>
      <c r="P1818" s="1"/>
      <c r="Q1818" s="1"/>
      <c r="R1818" s="1"/>
    </row>
    <row r="1819" spans="4:18" x14ac:dyDescent="0.35">
      <c r="D1819" t="s">
        <v>177</v>
      </c>
      <c r="F1819"/>
      <c r="H1819" t="s">
        <v>397</v>
      </c>
      <c r="L1819" s="12" t="s">
        <v>441</v>
      </c>
      <c r="O1819" s="1"/>
      <c r="P1819" s="1"/>
      <c r="Q1819" s="1"/>
      <c r="R1819" s="1"/>
    </row>
    <row r="1820" spans="4:18" x14ac:dyDescent="0.35">
      <c r="D1820" t="s">
        <v>118</v>
      </c>
      <c r="F1820"/>
      <c r="H1820" t="s">
        <v>441</v>
      </c>
      <c r="L1820" t="s">
        <v>447</v>
      </c>
      <c r="O1820" s="1"/>
      <c r="P1820" s="1"/>
      <c r="Q1820" s="1"/>
      <c r="R1820" s="1"/>
    </row>
    <row r="1821" spans="4:18" x14ac:dyDescent="0.35">
      <c r="D1821" t="s">
        <v>177</v>
      </c>
      <c r="F1821"/>
      <c r="H1821" t="s">
        <v>397</v>
      </c>
      <c r="L1821" s="12" t="s">
        <v>447</v>
      </c>
      <c r="O1821" s="1"/>
      <c r="P1821" s="1"/>
      <c r="Q1821" s="1"/>
      <c r="R1821" s="1"/>
    </row>
    <row r="1822" spans="4:18" x14ac:dyDescent="0.35">
      <c r="D1822" t="s">
        <v>110</v>
      </c>
      <c r="F1822"/>
      <c r="H1822" t="s">
        <v>447</v>
      </c>
      <c r="L1822" t="s">
        <v>448</v>
      </c>
      <c r="O1822" s="1"/>
      <c r="P1822" s="1"/>
      <c r="Q1822" s="1"/>
      <c r="R1822" s="1"/>
    </row>
    <row r="1823" spans="4:18" x14ac:dyDescent="0.35">
      <c r="D1823" t="s">
        <v>110</v>
      </c>
      <c r="F1823"/>
      <c r="H1823" t="s">
        <v>447</v>
      </c>
      <c r="L1823" t="s">
        <v>450</v>
      </c>
      <c r="O1823" s="1"/>
      <c r="P1823" s="1"/>
      <c r="Q1823" s="1"/>
      <c r="R1823" s="1"/>
    </row>
    <row r="1824" spans="4:18" x14ac:dyDescent="0.35">
      <c r="D1824" t="s">
        <v>110</v>
      </c>
      <c r="F1824"/>
      <c r="H1824" t="s">
        <v>447</v>
      </c>
      <c r="L1824" t="s">
        <v>452</v>
      </c>
      <c r="O1824" s="1"/>
      <c r="P1824" s="1"/>
      <c r="Q1824" s="1"/>
      <c r="R1824" s="1"/>
    </row>
    <row r="1825" spans="4:18" x14ac:dyDescent="0.35">
      <c r="D1825" t="s">
        <v>177</v>
      </c>
      <c r="F1825"/>
      <c r="H1825" t="s">
        <v>397</v>
      </c>
      <c r="L1825" s="12" t="s">
        <v>477</v>
      </c>
      <c r="O1825" s="1"/>
      <c r="P1825" s="1"/>
      <c r="Q1825" s="1"/>
      <c r="R1825" s="1"/>
    </row>
    <row r="1826" spans="4:18" x14ac:dyDescent="0.35">
      <c r="D1826" t="s">
        <v>181</v>
      </c>
      <c r="F1826"/>
      <c r="H1826" t="s">
        <v>477</v>
      </c>
      <c r="L1826" t="s">
        <v>413</v>
      </c>
      <c r="O1826" s="1"/>
      <c r="P1826" s="1"/>
      <c r="Q1826" s="1"/>
      <c r="R1826" s="1"/>
    </row>
    <row r="1827" spans="4:18" x14ac:dyDescent="0.35">
      <c r="D1827" t="s">
        <v>118</v>
      </c>
      <c r="F1827"/>
      <c r="H1827" t="s">
        <v>477</v>
      </c>
      <c r="L1827" t="s">
        <v>481</v>
      </c>
      <c r="O1827" s="1"/>
      <c r="P1827" s="1"/>
      <c r="Q1827" s="1"/>
      <c r="R1827" s="1"/>
    </row>
    <row r="1828" spans="4:18" x14ac:dyDescent="0.35">
      <c r="D1828" t="s">
        <v>146</v>
      </c>
      <c r="F1828"/>
      <c r="H1828" t="s">
        <v>477</v>
      </c>
      <c r="L1828" t="s">
        <v>476</v>
      </c>
      <c r="O1828" s="1"/>
      <c r="P1828" s="1"/>
      <c r="Q1828" s="1"/>
      <c r="R1828" s="1"/>
    </row>
    <row r="1829" spans="4:18" x14ac:dyDescent="0.35">
      <c r="D1829" t="s">
        <v>428</v>
      </c>
      <c r="F1829"/>
      <c r="H1829" t="s">
        <v>477</v>
      </c>
      <c r="L1829" t="s">
        <v>506</v>
      </c>
      <c r="O1829" s="1"/>
      <c r="P1829" s="1"/>
      <c r="Q1829" s="1"/>
      <c r="R1829" s="1"/>
    </row>
    <row r="1830" spans="4:18" x14ac:dyDescent="0.35">
      <c r="D1830" t="s">
        <v>177</v>
      </c>
      <c r="F1830"/>
      <c r="H1830" t="s">
        <v>409</v>
      </c>
      <c r="L1830" s="12" t="s">
        <v>506</v>
      </c>
      <c r="O1830" s="1"/>
      <c r="P1830" s="1"/>
      <c r="Q1830" s="1"/>
      <c r="R1830" s="1"/>
    </row>
    <row r="1831" spans="4:18" x14ac:dyDescent="0.35">
      <c r="D1831" t="s">
        <v>177</v>
      </c>
      <c r="F1831"/>
      <c r="H1831" t="s">
        <v>397</v>
      </c>
      <c r="L1831" s="12" t="s">
        <v>476</v>
      </c>
      <c r="O1831" s="1"/>
      <c r="P1831" s="1"/>
      <c r="Q1831" s="1"/>
      <c r="R1831" s="1"/>
    </row>
    <row r="1832" spans="4:18" x14ac:dyDescent="0.35">
      <c r="D1832" t="s">
        <v>118</v>
      </c>
      <c r="F1832"/>
      <c r="H1832" t="s">
        <v>476</v>
      </c>
      <c r="L1832" t="s">
        <v>481</v>
      </c>
      <c r="O1832" s="1"/>
      <c r="P1832" s="1"/>
      <c r="Q1832" s="1"/>
      <c r="R1832" s="1"/>
    </row>
    <row r="1833" spans="4:18" x14ac:dyDescent="0.35">
      <c r="D1833" t="s">
        <v>146</v>
      </c>
      <c r="F1833"/>
      <c r="H1833" t="s">
        <v>476</v>
      </c>
      <c r="L1833" t="s">
        <v>475</v>
      </c>
      <c r="O1833" s="1"/>
      <c r="P1833" s="1"/>
      <c r="Q1833" s="1"/>
      <c r="R1833" s="1"/>
    </row>
    <row r="1834" spans="4:18" x14ac:dyDescent="0.35">
      <c r="D1834" t="s">
        <v>177</v>
      </c>
      <c r="F1834"/>
      <c r="H1834" t="s">
        <v>397</v>
      </c>
      <c r="L1834" s="12" t="s">
        <v>475</v>
      </c>
      <c r="O1834" s="1"/>
      <c r="P1834" s="1"/>
      <c r="Q1834" s="1"/>
      <c r="R1834" s="1"/>
    </row>
    <row r="1835" spans="4:18" x14ac:dyDescent="0.35">
      <c r="D1835" t="s">
        <v>118</v>
      </c>
      <c r="F1835"/>
      <c r="H1835" t="s">
        <v>475</v>
      </c>
      <c r="L1835" t="s">
        <v>481</v>
      </c>
      <c r="O1835" s="1"/>
      <c r="P1835" s="1"/>
      <c r="Q1835" s="1"/>
      <c r="R1835" s="1"/>
    </row>
    <row r="1836" spans="4:18" x14ac:dyDescent="0.35">
      <c r="D1836" t="s">
        <v>177</v>
      </c>
      <c r="F1836"/>
      <c r="H1836" t="s">
        <v>397</v>
      </c>
      <c r="L1836" s="12" t="s">
        <v>481</v>
      </c>
      <c r="O1836" s="1"/>
      <c r="P1836" s="1"/>
      <c r="Q1836" s="1"/>
      <c r="R1836" s="1"/>
    </row>
    <row r="1837" spans="4:18" x14ac:dyDescent="0.35">
      <c r="D1837" t="s">
        <v>110</v>
      </c>
      <c r="F1837"/>
      <c r="H1837" t="s">
        <v>481</v>
      </c>
      <c r="L1837" t="s">
        <v>486</v>
      </c>
      <c r="O1837" s="1"/>
      <c r="P1837" s="1"/>
      <c r="Q1837" s="1"/>
      <c r="R1837" s="1"/>
    </row>
    <row r="1838" spans="4:18" x14ac:dyDescent="0.35">
      <c r="D1838" t="s">
        <v>110</v>
      </c>
      <c r="F1838"/>
      <c r="H1838" t="s">
        <v>481</v>
      </c>
      <c r="L1838" t="s">
        <v>487</v>
      </c>
      <c r="O1838" s="1"/>
      <c r="P1838" s="1"/>
      <c r="Q1838" s="1"/>
      <c r="R1838" s="1"/>
    </row>
    <row r="1839" spans="4:18" x14ac:dyDescent="0.35">
      <c r="D1839" t="s">
        <v>110</v>
      </c>
      <c r="F1839"/>
      <c r="H1839" t="s">
        <v>481</v>
      </c>
      <c r="L1839" t="s">
        <v>492</v>
      </c>
      <c r="O1839" s="1"/>
      <c r="P1839" s="1"/>
      <c r="Q1839" s="1"/>
      <c r="R1839" s="1"/>
    </row>
    <row r="1840" spans="4:18" x14ac:dyDescent="0.35">
      <c r="D1840" t="s">
        <v>177</v>
      </c>
      <c r="F1840"/>
      <c r="H1840" t="s">
        <v>397</v>
      </c>
      <c r="L1840" s="12" t="s">
        <v>508</v>
      </c>
      <c r="O1840" s="1"/>
      <c r="P1840" s="1"/>
      <c r="Q1840" s="1"/>
      <c r="R1840" s="1"/>
    </row>
    <row r="1841" spans="4:18" x14ac:dyDescent="0.35">
      <c r="D1841" t="s">
        <v>181</v>
      </c>
      <c r="F1841"/>
      <c r="H1841" t="s">
        <v>508</v>
      </c>
      <c r="L1841" t="s">
        <v>413</v>
      </c>
      <c r="O1841" s="1"/>
      <c r="P1841" s="1"/>
      <c r="Q1841" s="1"/>
      <c r="R1841" s="1"/>
    </row>
    <row r="1842" spans="4:18" x14ac:dyDescent="0.35">
      <c r="D1842" t="s">
        <v>118</v>
      </c>
      <c r="F1842"/>
      <c r="H1842" t="s">
        <v>508</v>
      </c>
      <c r="L1842" t="s">
        <v>513</v>
      </c>
      <c r="O1842" s="1"/>
      <c r="P1842" s="1"/>
      <c r="Q1842" s="1"/>
      <c r="R1842" s="1"/>
    </row>
    <row r="1843" spans="4:18" x14ac:dyDescent="0.35">
      <c r="D1843" t="s">
        <v>428</v>
      </c>
      <c r="F1843"/>
      <c r="H1843" t="s">
        <v>508</v>
      </c>
      <c r="L1843" t="s">
        <v>519</v>
      </c>
      <c r="O1843" s="1"/>
      <c r="P1843" s="1"/>
      <c r="Q1843" s="1"/>
      <c r="R1843" s="1"/>
    </row>
    <row r="1844" spans="4:18" x14ac:dyDescent="0.35">
      <c r="D1844" t="s">
        <v>177</v>
      </c>
      <c r="F1844"/>
      <c r="H1844" t="s">
        <v>409</v>
      </c>
      <c r="L1844" s="12" t="s">
        <v>519</v>
      </c>
      <c r="O1844" s="1"/>
      <c r="P1844" s="1"/>
      <c r="Q1844" s="1"/>
      <c r="R1844" s="1"/>
    </row>
    <row r="1845" spans="4:18" x14ac:dyDescent="0.35">
      <c r="D1845" t="s">
        <v>177</v>
      </c>
      <c r="F1845"/>
      <c r="H1845" t="s">
        <v>397</v>
      </c>
      <c r="L1845" s="12" t="s">
        <v>513</v>
      </c>
      <c r="O1845" s="1"/>
      <c r="P1845" s="1"/>
      <c r="Q1845" s="1"/>
      <c r="R1845" s="1"/>
    </row>
    <row r="1846" spans="4:18" x14ac:dyDescent="0.35">
      <c r="D1846" t="s">
        <v>110</v>
      </c>
      <c r="F1846"/>
      <c r="H1846" t="s">
        <v>513</v>
      </c>
      <c r="L1846" t="s">
        <v>515</v>
      </c>
      <c r="O1846" s="1"/>
      <c r="P1846" s="1"/>
      <c r="Q1846" s="1"/>
      <c r="R1846" s="1"/>
    </row>
    <row r="1847" spans="4:18" x14ac:dyDescent="0.35">
      <c r="D1847" t="s">
        <v>177</v>
      </c>
      <c r="F1847"/>
      <c r="H1847" t="s">
        <v>397</v>
      </c>
      <c r="L1847" s="12" t="s">
        <v>521</v>
      </c>
      <c r="O1847" s="1"/>
      <c r="P1847" s="1"/>
      <c r="Q1847" s="1"/>
      <c r="R1847" s="1"/>
    </row>
    <row r="1848" spans="4:18" x14ac:dyDescent="0.35">
      <c r="D1848" t="s">
        <v>181</v>
      </c>
      <c r="F1848"/>
      <c r="H1848" t="s">
        <v>521</v>
      </c>
      <c r="L1848" t="s">
        <v>413</v>
      </c>
      <c r="O1848" s="1"/>
      <c r="P1848" s="1"/>
      <c r="Q1848" s="1"/>
      <c r="R1848" s="1"/>
    </row>
    <row r="1849" spans="4:18" x14ac:dyDescent="0.35">
      <c r="D1849" t="s">
        <v>118</v>
      </c>
      <c r="F1849"/>
      <c r="H1849" t="s">
        <v>521</v>
      </c>
      <c r="L1849" t="s">
        <v>526</v>
      </c>
      <c r="O1849" s="1"/>
      <c r="P1849" s="1"/>
      <c r="Q1849" s="1"/>
      <c r="R1849" s="1"/>
    </row>
    <row r="1850" spans="4:18" x14ac:dyDescent="0.35">
      <c r="D1850" t="s">
        <v>428</v>
      </c>
      <c r="F1850"/>
      <c r="H1850" t="s">
        <v>521</v>
      </c>
      <c r="L1850" t="s">
        <v>531</v>
      </c>
      <c r="O1850" s="1"/>
      <c r="P1850" s="1"/>
      <c r="Q1850" s="1"/>
      <c r="R1850" s="1"/>
    </row>
    <row r="1851" spans="4:18" x14ac:dyDescent="0.35">
      <c r="D1851" t="s">
        <v>177</v>
      </c>
      <c r="F1851"/>
      <c r="H1851" t="s">
        <v>409</v>
      </c>
      <c r="L1851" s="12" t="s">
        <v>531</v>
      </c>
      <c r="O1851" s="1"/>
      <c r="P1851" s="1"/>
      <c r="Q1851" s="1"/>
      <c r="R1851" s="1"/>
    </row>
    <row r="1852" spans="4:18" x14ac:dyDescent="0.35">
      <c r="D1852" t="s">
        <v>177</v>
      </c>
      <c r="F1852"/>
      <c r="H1852" t="s">
        <v>397</v>
      </c>
      <c r="L1852" s="12" t="s">
        <v>526</v>
      </c>
      <c r="O1852" s="1"/>
      <c r="P1852" s="1"/>
      <c r="Q1852" s="1"/>
      <c r="R1852" s="1"/>
    </row>
    <row r="1853" spans="4:18" x14ac:dyDescent="0.35">
      <c r="D1853" t="s">
        <v>110</v>
      </c>
      <c r="F1853"/>
      <c r="H1853" t="s">
        <v>526</v>
      </c>
      <c r="L1853" t="s">
        <v>527</v>
      </c>
      <c r="O1853" s="1"/>
      <c r="P1853" s="1"/>
      <c r="Q1853" s="1"/>
      <c r="R1853" s="1"/>
    </row>
    <row r="1854" spans="4:18" x14ac:dyDescent="0.35">
      <c r="D1854" t="s">
        <v>177</v>
      </c>
      <c r="F1854"/>
      <c r="H1854" t="s">
        <v>397</v>
      </c>
      <c r="L1854" s="12" t="s">
        <v>533</v>
      </c>
      <c r="O1854" s="1"/>
      <c r="P1854" s="1"/>
      <c r="Q1854" s="1"/>
      <c r="R1854" s="1"/>
    </row>
    <row r="1855" spans="4:18" x14ac:dyDescent="0.35">
      <c r="D1855" t="s">
        <v>181</v>
      </c>
      <c r="F1855"/>
      <c r="H1855" t="s">
        <v>533</v>
      </c>
      <c r="L1855" t="s">
        <v>413</v>
      </c>
      <c r="O1855" s="1"/>
      <c r="P1855" s="1"/>
      <c r="Q1855" s="1"/>
      <c r="R1855" s="1"/>
    </row>
    <row r="1856" spans="4:18" x14ac:dyDescent="0.35">
      <c r="D1856" t="s">
        <v>118</v>
      </c>
      <c r="F1856"/>
      <c r="H1856" t="s">
        <v>533</v>
      </c>
      <c r="L1856" t="s">
        <v>540</v>
      </c>
      <c r="O1856" s="1"/>
      <c r="P1856" s="1"/>
      <c r="Q1856" s="1"/>
      <c r="R1856" s="1"/>
    </row>
    <row r="1857" spans="4:18" x14ac:dyDescent="0.35">
      <c r="D1857" t="s">
        <v>428</v>
      </c>
      <c r="F1857"/>
      <c r="H1857" t="s">
        <v>533</v>
      </c>
      <c r="L1857" t="s">
        <v>538</v>
      </c>
      <c r="O1857" s="1"/>
      <c r="P1857" s="1"/>
      <c r="Q1857" s="1"/>
      <c r="R1857" s="1"/>
    </row>
    <row r="1858" spans="4:18" x14ac:dyDescent="0.35">
      <c r="D1858" t="s">
        <v>177</v>
      </c>
      <c r="F1858"/>
      <c r="H1858" t="s">
        <v>409</v>
      </c>
      <c r="L1858" s="12" t="s">
        <v>538</v>
      </c>
      <c r="O1858" s="1"/>
      <c r="P1858" s="1"/>
      <c r="Q1858" s="1"/>
      <c r="R1858" s="1"/>
    </row>
    <row r="1859" spans="4:18" x14ac:dyDescent="0.35">
      <c r="D1859" t="s">
        <v>177</v>
      </c>
      <c r="F1859"/>
      <c r="H1859" t="s">
        <v>397</v>
      </c>
      <c r="L1859" s="12" t="s">
        <v>540</v>
      </c>
      <c r="O1859" s="1"/>
      <c r="P1859" s="1"/>
      <c r="Q1859" s="1"/>
      <c r="R1859" s="1"/>
    </row>
    <row r="1860" spans="4:18" x14ac:dyDescent="0.35">
      <c r="D1860" t="s">
        <v>110</v>
      </c>
      <c r="F1860"/>
      <c r="H1860" t="s">
        <v>540</v>
      </c>
      <c r="L1860" t="s">
        <v>542</v>
      </c>
      <c r="O1860" s="1"/>
      <c r="P1860" s="1"/>
      <c r="Q1860" s="1"/>
      <c r="R1860" s="1"/>
    </row>
    <row r="1861" spans="4:18" x14ac:dyDescent="0.35">
      <c r="D1861" t="s">
        <v>177</v>
      </c>
      <c r="F1861"/>
      <c r="H1861" t="s">
        <v>397</v>
      </c>
      <c r="L1861" s="12" t="s">
        <v>547</v>
      </c>
      <c r="O1861" s="1"/>
      <c r="P1861" s="1"/>
      <c r="Q1861" s="1"/>
      <c r="R1861" s="1"/>
    </row>
    <row r="1862" spans="4:18" x14ac:dyDescent="0.35">
      <c r="D1862" t="s">
        <v>181</v>
      </c>
      <c r="F1862"/>
      <c r="H1862" t="s">
        <v>547</v>
      </c>
      <c r="L1862" t="s">
        <v>413</v>
      </c>
      <c r="O1862" s="1"/>
      <c r="P1862" s="1"/>
      <c r="Q1862" s="1"/>
      <c r="R1862" s="1"/>
    </row>
    <row r="1863" spans="4:18" x14ac:dyDescent="0.35">
      <c r="D1863" t="s">
        <v>118</v>
      </c>
      <c r="F1863"/>
      <c r="H1863" t="s">
        <v>547</v>
      </c>
      <c r="L1863" t="s">
        <v>558</v>
      </c>
      <c r="O1863" s="1"/>
      <c r="P1863" s="1"/>
      <c r="Q1863" s="1"/>
      <c r="R1863" s="1"/>
    </row>
    <row r="1864" spans="4:18" x14ac:dyDescent="0.35">
      <c r="D1864" t="s">
        <v>146</v>
      </c>
      <c r="F1864"/>
      <c r="H1864" t="s">
        <v>547</v>
      </c>
      <c r="L1864" t="s">
        <v>546</v>
      </c>
      <c r="O1864" s="1"/>
      <c r="P1864" s="1"/>
      <c r="Q1864" s="1"/>
      <c r="R1864" s="1"/>
    </row>
    <row r="1865" spans="4:18" x14ac:dyDescent="0.35">
      <c r="D1865" t="s">
        <v>428</v>
      </c>
      <c r="F1865"/>
      <c r="H1865" t="s">
        <v>547</v>
      </c>
      <c r="L1865" t="s">
        <v>556</v>
      </c>
      <c r="O1865" s="1"/>
      <c r="P1865" s="1"/>
      <c r="Q1865" s="1"/>
      <c r="R1865" s="1"/>
    </row>
    <row r="1866" spans="4:18" x14ac:dyDescent="0.35">
      <c r="D1866" t="s">
        <v>177</v>
      </c>
      <c r="F1866"/>
      <c r="H1866" t="s">
        <v>409</v>
      </c>
      <c r="L1866" s="12" t="s">
        <v>556</v>
      </c>
      <c r="O1866" s="1"/>
      <c r="P1866" s="1"/>
      <c r="Q1866" s="1"/>
      <c r="R1866" s="1"/>
    </row>
    <row r="1867" spans="4:18" x14ac:dyDescent="0.35">
      <c r="D1867" t="s">
        <v>177</v>
      </c>
      <c r="F1867"/>
      <c r="H1867" t="s">
        <v>397</v>
      </c>
      <c r="L1867" s="12" t="s">
        <v>546</v>
      </c>
      <c r="O1867" s="1"/>
      <c r="P1867" s="1"/>
      <c r="Q1867" s="1"/>
      <c r="R1867" s="1"/>
    </row>
    <row r="1868" spans="4:18" x14ac:dyDescent="0.35">
      <c r="D1868" t="s">
        <v>118</v>
      </c>
      <c r="F1868"/>
      <c r="H1868" t="s">
        <v>546</v>
      </c>
      <c r="L1868" t="s">
        <v>558</v>
      </c>
      <c r="O1868" s="1"/>
      <c r="P1868" s="1"/>
      <c r="Q1868" s="1"/>
      <c r="R1868" s="1"/>
    </row>
    <row r="1869" spans="4:18" x14ac:dyDescent="0.35">
      <c r="D1869" t="s">
        <v>177</v>
      </c>
      <c r="F1869"/>
      <c r="H1869" t="s">
        <v>397</v>
      </c>
      <c r="L1869" s="12" t="s">
        <v>558</v>
      </c>
      <c r="O1869" s="1"/>
      <c r="P1869" s="1"/>
      <c r="Q1869" s="1"/>
      <c r="R1869" s="1"/>
    </row>
    <row r="1870" spans="4:18" x14ac:dyDescent="0.35">
      <c r="D1870" t="s">
        <v>110</v>
      </c>
      <c r="F1870"/>
      <c r="H1870" t="s">
        <v>558</v>
      </c>
      <c r="L1870" t="s">
        <v>560</v>
      </c>
      <c r="O1870" s="1"/>
      <c r="P1870" s="1"/>
      <c r="Q1870" s="1"/>
      <c r="R1870" s="1"/>
    </row>
    <row r="1871" spans="4:18" x14ac:dyDescent="0.35">
      <c r="D1871" t="s">
        <v>110</v>
      </c>
      <c r="F1871"/>
      <c r="H1871" t="s">
        <v>558</v>
      </c>
      <c r="L1871" t="s">
        <v>565</v>
      </c>
      <c r="O1871" s="1"/>
      <c r="P1871" s="1"/>
      <c r="Q1871" s="1"/>
      <c r="R1871" s="1"/>
    </row>
    <row r="1872" spans="4:18" x14ac:dyDescent="0.35">
      <c r="D1872" t="s">
        <v>177</v>
      </c>
      <c r="F1872"/>
      <c r="H1872" t="s">
        <v>397</v>
      </c>
      <c r="L1872" s="12" t="s">
        <v>570</v>
      </c>
      <c r="O1872" s="1"/>
      <c r="P1872" s="1"/>
      <c r="Q1872" s="1"/>
      <c r="R1872" s="1"/>
    </row>
    <row r="1873" spans="4:18" x14ac:dyDescent="0.35">
      <c r="D1873" t="s">
        <v>181</v>
      </c>
      <c r="F1873"/>
      <c r="H1873" t="s">
        <v>570</v>
      </c>
      <c r="L1873" t="s">
        <v>179</v>
      </c>
      <c r="O1873" s="1"/>
      <c r="P1873" s="1"/>
      <c r="Q1873" s="1"/>
      <c r="R1873" s="1"/>
    </row>
    <row r="1874" spans="4:18" x14ac:dyDescent="0.35">
      <c r="D1874" t="s">
        <v>118</v>
      </c>
      <c r="F1874"/>
      <c r="H1874" t="s">
        <v>570</v>
      </c>
      <c r="L1874" t="s">
        <v>577</v>
      </c>
      <c r="O1874" s="1"/>
      <c r="P1874" s="1"/>
      <c r="Q1874" s="1"/>
      <c r="R1874" s="1"/>
    </row>
    <row r="1875" spans="4:18" x14ac:dyDescent="0.35">
      <c r="D1875" t="s">
        <v>428</v>
      </c>
      <c r="F1875"/>
      <c r="H1875" t="s">
        <v>570</v>
      </c>
      <c r="L1875" t="s">
        <v>575</v>
      </c>
      <c r="O1875" s="1"/>
      <c r="P1875" s="1"/>
      <c r="Q1875" s="1"/>
      <c r="R1875" s="1"/>
    </row>
    <row r="1876" spans="4:18" x14ac:dyDescent="0.35">
      <c r="D1876" t="s">
        <v>177</v>
      </c>
      <c r="F1876"/>
      <c r="H1876" t="s">
        <v>409</v>
      </c>
      <c r="L1876" s="12" t="s">
        <v>575</v>
      </c>
      <c r="O1876" s="1"/>
      <c r="P1876" s="1"/>
      <c r="Q1876" s="1"/>
      <c r="R1876" s="1"/>
    </row>
    <row r="1877" spans="4:18" x14ac:dyDescent="0.35">
      <c r="D1877" t="s">
        <v>177</v>
      </c>
      <c r="F1877"/>
      <c r="H1877" t="s">
        <v>397</v>
      </c>
      <c r="L1877" s="12" t="s">
        <v>577</v>
      </c>
      <c r="O1877" s="1"/>
      <c r="P1877" s="1"/>
      <c r="Q1877" s="1"/>
      <c r="R1877" s="1"/>
    </row>
    <row r="1878" spans="4:18" x14ac:dyDescent="0.35">
      <c r="D1878" t="s">
        <v>110</v>
      </c>
      <c r="F1878"/>
      <c r="H1878" t="s">
        <v>577</v>
      </c>
      <c r="L1878" t="s">
        <v>578</v>
      </c>
      <c r="O1878" s="1"/>
      <c r="P1878" s="1"/>
      <c r="Q1878" s="1"/>
      <c r="R1878" s="1"/>
    </row>
    <row r="1879" spans="4:18" x14ac:dyDescent="0.35">
      <c r="D1879" t="s">
        <v>177</v>
      </c>
      <c r="F1879"/>
      <c r="H1879" t="s">
        <v>397</v>
      </c>
      <c r="L1879" s="12" t="s">
        <v>583</v>
      </c>
      <c r="O1879" s="1"/>
      <c r="P1879" s="1"/>
      <c r="Q1879" s="1"/>
      <c r="R1879" s="1"/>
    </row>
    <row r="1880" spans="4:18" x14ac:dyDescent="0.35">
      <c r="D1880" t="s">
        <v>181</v>
      </c>
      <c r="F1880"/>
      <c r="H1880" t="s">
        <v>583</v>
      </c>
      <c r="L1880" t="s">
        <v>179</v>
      </c>
      <c r="O1880" s="1"/>
      <c r="P1880" s="1"/>
      <c r="Q1880" s="1"/>
      <c r="R1880" s="1"/>
    </row>
    <row r="1881" spans="4:18" x14ac:dyDescent="0.35">
      <c r="D1881" t="s">
        <v>118</v>
      </c>
      <c r="F1881"/>
      <c r="H1881" t="s">
        <v>583</v>
      </c>
      <c r="L1881" t="s">
        <v>589</v>
      </c>
      <c r="O1881" s="1"/>
      <c r="P1881" s="1"/>
      <c r="Q1881" s="1"/>
      <c r="R1881" s="1"/>
    </row>
    <row r="1882" spans="4:18" x14ac:dyDescent="0.35">
      <c r="D1882" t="s">
        <v>428</v>
      </c>
      <c r="F1882"/>
      <c r="H1882" t="s">
        <v>583</v>
      </c>
      <c r="L1882" t="s">
        <v>587</v>
      </c>
      <c r="O1882" s="1"/>
      <c r="P1882" s="1"/>
      <c r="Q1882" s="1"/>
      <c r="R1882" s="1"/>
    </row>
    <row r="1883" spans="4:18" x14ac:dyDescent="0.35">
      <c r="D1883" t="s">
        <v>177</v>
      </c>
      <c r="F1883"/>
      <c r="H1883" t="s">
        <v>409</v>
      </c>
      <c r="L1883" s="12" t="s">
        <v>587</v>
      </c>
      <c r="O1883" s="1"/>
      <c r="P1883" s="1"/>
      <c r="Q1883" s="1"/>
      <c r="R1883" s="1"/>
    </row>
    <row r="1884" spans="4:18" x14ac:dyDescent="0.35">
      <c r="D1884" t="s">
        <v>177</v>
      </c>
      <c r="F1884"/>
      <c r="H1884" t="s">
        <v>397</v>
      </c>
      <c r="L1884" s="12" t="s">
        <v>589</v>
      </c>
      <c r="O1884" s="1"/>
      <c r="P1884" s="1"/>
      <c r="Q1884" s="1"/>
      <c r="R1884" s="1"/>
    </row>
    <row r="1885" spans="4:18" x14ac:dyDescent="0.35">
      <c r="D1885" t="s">
        <v>110</v>
      </c>
      <c r="F1885"/>
      <c r="H1885" t="s">
        <v>589</v>
      </c>
      <c r="L1885" t="s">
        <v>591</v>
      </c>
      <c r="O1885" s="1"/>
      <c r="P1885" s="1"/>
      <c r="Q1885" s="1"/>
      <c r="R1885" s="1"/>
    </row>
    <row r="1886" spans="4:18" x14ac:dyDescent="0.35">
      <c r="D1886" t="s">
        <v>177</v>
      </c>
      <c r="F1886"/>
      <c r="H1886" t="s">
        <v>397</v>
      </c>
      <c r="L1886" s="12" t="s">
        <v>600</v>
      </c>
      <c r="O1886" s="1"/>
      <c r="P1886" s="1"/>
      <c r="Q1886" s="1"/>
      <c r="R1886" s="1"/>
    </row>
    <row r="1887" spans="4:18" x14ac:dyDescent="0.35">
      <c r="D1887" t="s">
        <v>181</v>
      </c>
      <c r="F1887"/>
      <c r="H1887" t="s">
        <v>600</v>
      </c>
      <c r="L1887" t="s">
        <v>413</v>
      </c>
      <c r="O1887" s="1"/>
      <c r="P1887" s="1"/>
      <c r="Q1887" s="1"/>
      <c r="R1887" s="1"/>
    </row>
    <row r="1888" spans="4:18" x14ac:dyDescent="0.35">
      <c r="D1888" t="s">
        <v>181</v>
      </c>
      <c r="F1888"/>
      <c r="H1888" t="s">
        <v>600</v>
      </c>
      <c r="L1888" t="s">
        <v>596</v>
      </c>
      <c r="O1888" s="1"/>
      <c r="P1888" s="1"/>
      <c r="Q1888" s="1"/>
      <c r="R1888" s="1"/>
    </row>
    <row r="1889" spans="4:18" x14ac:dyDescent="0.35">
      <c r="D1889" t="s">
        <v>118</v>
      </c>
      <c r="F1889"/>
      <c r="H1889" t="s">
        <v>600</v>
      </c>
      <c r="L1889" t="s">
        <v>604</v>
      </c>
      <c r="O1889" s="1"/>
      <c r="P1889" s="1"/>
      <c r="Q1889" s="1"/>
      <c r="R1889" s="1"/>
    </row>
    <row r="1890" spans="4:18" x14ac:dyDescent="0.35">
      <c r="D1890" t="s">
        <v>177</v>
      </c>
      <c r="F1890"/>
      <c r="H1890" t="s">
        <v>397</v>
      </c>
      <c r="L1890" s="12" t="s">
        <v>604</v>
      </c>
      <c r="O1890" s="1"/>
      <c r="P1890" s="1"/>
      <c r="Q1890" s="1"/>
      <c r="R1890" s="1"/>
    </row>
    <row r="1891" spans="4:18" x14ac:dyDescent="0.35">
      <c r="D1891" t="s">
        <v>110</v>
      </c>
      <c r="F1891"/>
      <c r="H1891" t="s">
        <v>604</v>
      </c>
      <c r="L1891" t="s">
        <v>605</v>
      </c>
      <c r="O1891" s="1"/>
      <c r="P1891" s="1"/>
      <c r="Q1891" s="1"/>
      <c r="R1891" s="1"/>
    </row>
    <row r="1892" spans="4:18" x14ac:dyDescent="0.35">
      <c r="D1892" t="s">
        <v>177</v>
      </c>
      <c r="F1892"/>
      <c r="H1892" t="s">
        <v>397</v>
      </c>
      <c r="L1892" s="12" t="s">
        <v>610</v>
      </c>
      <c r="O1892" s="1"/>
      <c r="P1892" s="1"/>
      <c r="Q1892" s="1"/>
      <c r="R1892" s="1"/>
    </row>
    <row r="1893" spans="4:18" x14ac:dyDescent="0.35">
      <c r="D1893" t="s">
        <v>181</v>
      </c>
      <c r="F1893"/>
      <c r="H1893" t="s">
        <v>610</v>
      </c>
      <c r="L1893" t="s">
        <v>413</v>
      </c>
      <c r="O1893" s="1"/>
      <c r="P1893" s="1"/>
      <c r="Q1893" s="1"/>
      <c r="R1893" s="1"/>
    </row>
    <row r="1894" spans="4:18" x14ac:dyDescent="0.35">
      <c r="D1894" t="s">
        <v>118</v>
      </c>
      <c r="F1894"/>
      <c r="H1894" t="s">
        <v>610</v>
      </c>
      <c r="L1894" t="s">
        <v>615</v>
      </c>
      <c r="O1894" s="1"/>
      <c r="P1894" s="1"/>
      <c r="Q1894" s="1"/>
      <c r="R1894" s="1"/>
    </row>
    <row r="1895" spans="4:18" x14ac:dyDescent="0.35">
      <c r="D1895" t="s">
        <v>177</v>
      </c>
      <c r="F1895"/>
      <c r="H1895" t="s">
        <v>397</v>
      </c>
      <c r="L1895" s="12" t="s">
        <v>615</v>
      </c>
      <c r="O1895" s="1"/>
      <c r="P1895" s="1"/>
      <c r="Q1895" s="1"/>
      <c r="R1895" s="1"/>
    </row>
    <row r="1896" spans="4:18" x14ac:dyDescent="0.35">
      <c r="D1896" t="s">
        <v>110</v>
      </c>
      <c r="F1896"/>
      <c r="H1896" t="s">
        <v>615</v>
      </c>
      <c r="L1896" t="s">
        <v>616</v>
      </c>
      <c r="O1896" s="1"/>
      <c r="P1896" s="1"/>
      <c r="Q1896" s="1"/>
      <c r="R1896" s="1"/>
    </row>
    <row r="1897" spans="4:18" x14ac:dyDescent="0.35">
      <c r="D1897" t="s">
        <v>177</v>
      </c>
      <c r="F1897"/>
      <c r="H1897" t="s">
        <v>397</v>
      </c>
      <c r="L1897" s="12" t="s">
        <v>622</v>
      </c>
      <c r="O1897" s="1"/>
      <c r="P1897" s="1"/>
      <c r="Q1897" s="1"/>
      <c r="R1897" s="1"/>
    </row>
    <row r="1898" spans="4:18" x14ac:dyDescent="0.35">
      <c r="D1898" t="s">
        <v>181</v>
      </c>
      <c r="F1898"/>
      <c r="H1898" t="s">
        <v>622</v>
      </c>
      <c r="L1898" t="s">
        <v>413</v>
      </c>
      <c r="O1898" s="1"/>
      <c r="P1898" s="1"/>
      <c r="Q1898" s="1"/>
      <c r="R1898" s="1"/>
    </row>
    <row r="1899" spans="4:18" x14ac:dyDescent="0.35">
      <c r="D1899" t="s">
        <v>118</v>
      </c>
      <c r="F1899"/>
      <c r="H1899" t="s">
        <v>622</v>
      </c>
      <c r="L1899" t="s">
        <v>626</v>
      </c>
      <c r="O1899" s="1"/>
      <c r="P1899" s="1"/>
      <c r="Q1899" s="1"/>
      <c r="R1899" s="1"/>
    </row>
    <row r="1900" spans="4:18" x14ac:dyDescent="0.35">
      <c r="D1900" t="s">
        <v>177</v>
      </c>
      <c r="F1900"/>
      <c r="H1900" t="s">
        <v>397</v>
      </c>
      <c r="L1900" s="12" t="s">
        <v>626</v>
      </c>
      <c r="O1900" s="1"/>
      <c r="P1900" s="1"/>
      <c r="Q1900" s="1"/>
      <c r="R1900" s="1"/>
    </row>
    <row r="1901" spans="4:18" x14ac:dyDescent="0.35">
      <c r="D1901" t="s">
        <v>110</v>
      </c>
      <c r="F1901"/>
      <c r="H1901" t="s">
        <v>626</v>
      </c>
      <c r="L1901" t="s">
        <v>627</v>
      </c>
      <c r="O1901" s="1"/>
      <c r="P1901" s="1"/>
      <c r="Q1901" s="1"/>
      <c r="R1901" s="1"/>
    </row>
    <row r="1902" spans="4:18" x14ac:dyDescent="0.35">
      <c r="D1902" t="s">
        <v>177</v>
      </c>
      <c r="F1902"/>
      <c r="H1902" t="s">
        <v>631</v>
      </c>
      <c r="L1902" s="12" t="s">
        <v>693</v>
      </c>
      <c r="O1902" s="1"/>
      <c r="P1902" s="1"/>
      <c r="Q1902" s="1"/>
      <c r="R1902" s="1"/>
    </row>
    <row r="1903" spans="4:18" x14ac:dyDescent="0.35">
      <c r="D1903" t="s">
        <v>703</v>
      </c>
      <c r="F1903"/>
      <c r="H1903" t="s">
        <v>693</v>
      </c>
      <c r="L1903" t="s">
        <v>179</v>
      </c>
      <c r="O1903" s="1"/>
      <c r="P1903" s="1"/>
      <c r="Q1903" s="1"/>
      <c r="R1903" s="1"/>
    </row>
    <row r="1904" spans="4:18" x14ac:dyDescent="0.35">
      <c r="D1904" t="s">
        <v>703</v>
      </c>
      <c r="F1904"/>
      <c r="H1904" t="s">
        <v>693</v>
      </c>
      <c r="L1904" t="s">
        <v>413</v>
      </c>
      <c r="O1904" s="1"/>
      <c r="P1904" s="1"/>
      <c r="Q1904" s="1"/>
      <c r="R1904" s="1"/>
    </row>
    <row r="1905" spans="4:18" x14ac:dyDescent="0.35">
      <c r="D1905" t="s">
        <v>118</v>
      </c>
      <c r="F1905"/>
      <c r="H1905" t="s">
        <v>693</v>
      </c>
      <c r="L1905" t="s">
        <v>697</v>
      </c>
      <c r="O1905" s="1"/>
      <c r="P1905" s="1"/>
      <c r="Q1905" s="1"/>
      <c r="R1905" s="1"/>
    </row>
    <row r="1906" spans="4:18" x14ac:dyDescent="0.35">
      <c r="D1906" t="s">
        <v>177</v>
      </c>
      <c r="F1906"/>
      <c r="H1906" t="s">
        <v>631</v>
      </c>
      <c r="L1906" s="12" t="s">
        <v>697</v>
      </c>
      <c r="O1906" s="1"/>
      <c r="P1906" s="1"/>
      <c r="Q1906" s="1"/>
      <c r="R1906" s="1"/>
    </row>
    <row r="1907" spans="4:18" x14ac:dyDescent="0.35">
      <c r="D1907" t="s">
        <v>110</v>
      </c>
      <c r="F1907"/>
      <c r="H1907" t="s">
        <v>697</v>
      </c>
      <c r="L1907" t="s">
        <v>698</v>
      </c>
      <c r="O1907" s="1"/>
      <c r="P1907" s="1"/>
      <c r="Q1907" s="1"/>
      <c r="R1907" s="1"/>
    </row>
    <row r="1908" spans="4:18" x14ac:dyDescent="0.35">
      <c r="D1908" t="s">
        <v>177</v>
      </c>
      <c r="F1908"/>
      <c r="H1908" t="s">
        <v>631</v>
      </c>
      <c r="L1908" s="12" t="s">
        <v>704</v>
      </c>
      <c r="O1908" s="1"/>
      <c r="P1908" s="1"/>
      <c r="Q1908" s="1"/>
      <c r="R1908" s="1"/>
    </row>
    <row r="1909" spans="4:18" x14ac:dyDescent="0.35">
      <c r="D1909" t="s">
        <v>703</v>
      </c>
      <c r="F1909"/>
      <c r="H1909" t="s">
        <v>704</v>
      </c>
      <c r="L1909" t="s">
        <v>179</v>
      </c>
      <c r="O1909" s="1"/>
      <c r="P1909" s="1"/>
      <c r="Q1909" s="1"/>
      <c r="R1909" s="1"/>
    </row>
    <row r="1910" spans="4:18" x14ac:dyDescent="0.35">
      <c r="D1910" t="s">
        <v>703</v>
      </c>
      <c r="F1910"/>
      <c r="H1910" t="s">
        <v>704</v>
      </c>
      <c r="L1910" t="s">
        <v>413</v>
      </c>
      <c r="O1910" s="1"/>
      <c r="P1910" s="1"/>
      <c r="Q1910" s="1"/>
      <c r="R1910" s="1"/>
    </row>
    <row r="1911" spans="4:18" x14ac:dyDescent="0.35">
      <c r="D1911" t="s">
        <v>118</v>
      </c>
      <c r="F1911"/>
      <c r="H1911" t="s">
        <v>704</v>
      </c>
      <c r="L1911" t="s">
        <v>709</v>
      </c>
      <c r="O1911" s="1"/>
      <c r="P1911" s="1"/>
      <c r="Q1911" s="1"/>
      <c r="R1911" s="1"/>
    </row>
    <row r="1912" spans="4:18" x14ac:dyDescent="0.35">
      <c r="D1912" t="s">
        <v>177</v>
      </c>
      <c r="F1912"/>
      <c r="H1912" t="s">
        <v>631</v>
      </c>
      <c r="L1912" s="12" t="s">
        <v>709</v>
      </c>
      <c r="O1912" s="1"/>
      <c r="P1912" s="1"/>
      <c r="Q1912" s="1"/>
      <c r="R1912" s="1"/>
    </row>
    <row r="1913" spans="4:18" x14ac:dyDescent="0.35">
      <c r="D1913" t="s">
        <v>110</v>
      </c>
      <c r="F1913"/>
      <c r="H1913" t="s">
        <v>709</v>
      </c>
      <c r="L1913" t="s">
        <v>712</v>
      </c>
      <c r="O1913" s="1"/>
      <c r="P1913" s="1"/>
      <c r="Q1913" s="1"/>
      <c r="R1913" s="1"/>
    </row>
    <row r="1914" spans="4:18" x14ac:dyDescent="0.35">
      <c r="D1914" t="s">
        <v>177</v>
      </c>
      <c r="F1914"/>
      <c r="H1914" t="s">
        <v>631</v>
      </c>
      <c r="L1914" s="12" t="s">
        <v>713</v>
      </c>
      <c r="O1914" s="1"/>
      <c r="P1914" s="1"/>
      <c r="Q1914" s="1"/>
      <c r="R1914" s="1"/>
    </row>
    <row r="1915" spans="4:18" x14ac:dyDescent="0.35">
      <c r="D1915" t="s">
        <v>703</v>
      </c>
      <c r="F1915"/>
      <c r="H1915" t="s">
        <v>713</v>
      </c>
      <c r="L1915" t="s">
        <v>179</v>
      </c>
      <c r="O1915" s="1"/>
      <c r="P1915" s="1"/>
      <c r="Q1915" s="1"/>
      <c r="R1915" s="1"/>
    </row>
    <row r="1916" spans="4:18" x14ac:dyDescent="0.35">
      <c r="D1916" t="s">
        <v>703</v>
      </c>
      <c r="F1916"/>
      <c r="H1916" t="s">
        <v>713</v>
      </c>
      <c r="L1916" t="s">
        <v>413</v>
      </c>
      <c r="O1916" s="1"/>
      <c r="P1916" s="1"/>
      <c r="Q1916" s="1"/>
      <c r="R1916" s="1"/>
    </row>
    <row r="1917" spans="4:18" x14ac:dyDescent="0.35">
      <c r="D1917" t="s">
        <v>118</v>
      </c>
      <c r="F1917"/>
      <c r="H1917" t="s">
        <v>713</v>
      </c>
      <c r="L1917" t="s">
        <v>718</v>
      </c>
      <c r="O1917" s="1"/>
      <c r="P1917" s="1"/>
      <c r="Q1917" s="1"/>
      <c r="R1917" s="1"/>
    </row>
    <row r="1918" spans="4:18" x14ac:dyDescent="0.35">
      <c r="D1918" t="s">
        <v>177</v>
      </c>
      <c r="F1918"/>
      <c r="H1918" t="s">
        <v>631</v>
      </c>
      <c r="L1918" s="12" t="s">
        <v>718</v>
      </c>
      <c r="O1918" s="1"/>
      <c r="P1918" s="1"/>
      <c r="Q1918" s="1"/>
      <c r="R1918" s="1"/>
    </row>
    <row r="1919" spans="4:18" x14ac:dyDescent="0.35">
      <c r="D1919" t="s">
        <v>110</v>
      </c>
      <c r="F1919"/>
      <c r="H1919" t="s">
        <v>718</v>
      </c>
      <c r="L1919" t="s">
        <v>719</v>
      </c>
      <c r="O1919" s="1"/>
      <c r="P1919" s="1"/>
      <c r="Q1919" s="1"/>
      <c r="R1919" s="1"/>
    </row>
    <row r="1920" spans="4:18" x14ac:dyDescent="0.35">
      <c r="D1920" t="s">
        <v>177</v>
      </c>
      <c r="F1920"/>
      <c r="H1920" t="s">
        <v>631</v>
      </c>
      <c r="L1920" s="12" t="s">
        <v>722</v>
      </c>
      <c r="O1920" s="1"/>
      <c r="P1920" s="1"/>
      <c r="Q1920" s="1"/>
      <c r="R1920" s="1"/>
    </row>
    <row r="1921" spans="4:18" x14ac:dyDescent="0.35">
      <c r="D1921" t="s">
        <v>703</v>
      </c>
      <c r="F1921"/>
      <c r="H1921" t="s">
        <v>722</v>
      </c>
      <c r="L1921" t="s">
        <v>179</v>
      </c>
      <c r="O1921" s="1"/>
      <c r="P1921" s="1"/>
      <c r="Q1921" s="1"/>
      <c r="R1921" s="1"/>
    </row>
    <row r="1922" spans="4:18" x14ac:dyDescent="0.35">
      <c r="D1922" t="s">
        <v>703</v>
      </c>
      <c r="F1922"/>
      <c r="H1922" t="s">
        <v>722</v>
      </c>
      <c r="L1922" t="s">
        <v>413</v>
      </c>
      <c r="O1922" s="1"/>
      <c r="P1922" s="1"/>
      <c r="Q1922" s="1"/>
      <c r="R1922" s="1"/>
    </row>
    <row r="1923" spans="4:18" x14ac:dyDescent="0.35">
      <c r="D1923" t="s">
        <v>118</v>
      </c>
      <c r="F1923"/>
      <c r="H1923" t="s">
        <v>722</v>
      </c>
      <c r="L1923" t="s">
        <v>727</v>
      </c>
      <c r="O1923" s="1"/>
      <c r="P1923" s="1"/>
      <c r="Q1923" s="1"/>
      <c r="R1923" s="1"/>
    </row>
    <row r="1924" spans="4:18" x14ac:dyDescent="0.35">
      <c r="D1924" t="s">
        <v>177</v>
      </c>
      <c r="F1924"/>
      <c r="H1924" t="s">
        <v>631</v>
      </c>
      <c r="L1924" s="12" t="s">
        <v>727</v>
      </c>
      <c r="O1924" s="1"/>
      <c r="P1924" s="1"/>
      <c r="Q1924" s="1"/>
      <c r="R1924" s="1"/>
    </row>
    <row r="1925" spans="4:18" x14ac:dyDescent="0.35">
      <c r="D1925" t="s">
        <v>110</v>
      </c>
      <c r="F1925"/>
      <c r="H1925" t="s">
        <v>727</v>
      </c>
      <c r="L1925" t="s">
        <v>728</v>
      </c>
      <c r="O1925" s="1"/>
      <c r="P1925" s="1"/>
      <c r="Q1925" s="1"/>
      <c r="R1925" s="1"/>
    </row>
    <row r="1926" spans="4:18" x14ac:dyDescent="0.35">
      <c r="D1926" t="s">
        <v>177</v>
      </c>
      <c r="F1926"/>
      <c r="H1926" t="s">
        <v>631</v>
      </c>
      <c r="L1926" s="12" t="s">
        <v>733</v>
      </c>
      <c r="O1926" s="1"/>
      <c r="P1926" s="1"/>
      <c r="Q1926" s="1"/>
      <c r="R1926" s="1"/>
    </row>
    <row r="1927" spans="4:18" x14ac:dyDescent="0.35">
      <c r="D1927" t="s">
        <v>181</v>
      </c>
      <c r="F1927"/>
      <c r="H1927" t="s">
        <v>733</v>
      </c>
      <c r="L1927" t="s">
        <v>179</v>
      </c>
      <c r="O1927" s="1"/>
      <c r="P1927" s="1"/>
      <c r="Q1927" s="1"/>
      <c r="R1927" s="1"/>
    </row>
    <row r="1928" spans="4:18" x14ac:dyDescent="0.35">
      <c r="D1928" t="s">
        <v>118</v>
      </c>
      <c r="F1928"/>
      <c r="H1928" t="s">
        <v>733</v>
      </c>
      <c r="L1928" t="s">
        <v>737</v>
      </c>
      <c r="O1928" s="1"/>
      <c r="P1928" s="1"/>
      <c r="Q1928" s="1"/>
      <c r="R1928" s="1"/>
    </row>
    <row r="1929" spans="4:18" x14ac:dyDescent="0.35">
      <c r="D1929" t="s">
        <v>177</v>
      </c>
      <c r="F1929"/>
      <c r="H1929" t="s">
        <v>631</v>
      </c>
      <c r="L1929" s="12" t="s">
        <v>737</v>
      </c>
      <c r="O1929" s="1"/>
      <c r="P1929" s="1"/>
      <c r="Q1929" s="1"/>
      <c r="R1929" s="1"/>
    </row>
    <row r="1930" spans="4:18" x14ac:dyDescent="0.35">
      <c r="D1930" t="s">
        <v>110</v>
      </c>
      <c r="F1930"/>
      <c r="H1930" t="s">
        <v>737</v>
      </c>
      <c r="L1930" t="s">
        <v>738</v>
      </c>
      <c r="O1930" s="1"/>
      <c r="P1930" s="1"/>
      <c r="Q1930" s="1"/>
      <c r="R1930" s="1"/>
    </row>
    <row r="1931" spans="4:18" x14ac:dyDescent="0.35">
      <c r="D1931" t="s">
        <v>177</v>
      </c>
      <c r="F1931"/>
      <c r="H1931" t="s">
        <v>638</v>
      </c>
      <c r="L1931" s="12" t="s">
        <v>740</v>
      </c>
      <c r="O1931" s="1"/>
      <c r="P1931" s="1"/>
      <c r="Q1931" s="1"/>
      <c r="R1931" s="1"/>
    </row>
    <row r="1932" spans="4:18" x14ac:dyDescent="0.35">
      <c r="D1932" t="s">
        <v>181</v>
      </c>
      <c r="F1932"/>
      <c r="H1932" t="s">
        <v>740</v>
      </c>
      <c r="L1932" t="s">
        <v>413</v>
      </c>
      <c r="O1932" s="1"/>
      <c r="P1932" s="1"/>
      <c r="Q1932" s="1"/>
      <c r="R1932" s="1"/>
    </row>
    <row r="1933" spans="4:18" x14ac:dyDescent="0.35">
      <c r="D1933" t="s">
        <v>118</v>
      </c>
      <c r="F1933"/>
      <c r="H1933" t="s">
        <v>740</v>
      </c>
      <c r="L1933" t="s">
        <v>745</v>
      </c>
      <c r="O1933" s="1"/>
      <c r="P1933" s="1"/>
      <c r="Q1933" s="1"/>
      <c r="R1933" s="1"/>
    </row>
    <row r="1934" spans="4:18" x14ac:dyDescent="0.35">
      <c r="D1934" t="s">
        <v>177</v>
      </c>
      <c r="F1934"/>
      <c r="H1934" t="s">
        <v>638</v>
      </c>
      <c r="L1934" s="12" t="s">
        <v>745</v>
      </c>
      <c r="O1934" s="1"/>
      <c r="P1934" s="1"/>
      <c r="Q1934" s="1"/>
      <c r="R1934" s="1"/>
    </row>
    <row r="1935" spans="4:18" x14ac:dyDescent="0.35">
      <c r="D1935" t="s">
        <v>110</v>
      </c>
      <c r="F1935"/>
      <c r="H1935" t="s">
        <v>745</v>
      </c>
      <c r="L1935" t="s">
        <v>746</v>
      </c>
      <c r="O1935" s="1"/>
      <c r="P1935" s="1"/>
      <c r="Q1935" s="1"/>
      <c r="R1935" s="1"/>
    </row>
    <row r="1936" spans="4:18" x14ac:dyDescent="0.35">
      <c r="D1936" t="s">
        <v>180</v>
      </c>
      <c r="F1936"/>
      <c r="H1936" t="s">
        <v>880</v>
      </c>
      <c r="L1936" t="s">
        <v>877</v>
      </c>
      <c r="O1936" s="1"/>
      <c r="P1936" s="1"/>
      <c r="Q1936" s="1"/>
      <c r="R1936" s="1"/>
    </row>
    <row r="1937" spans="4:18" x14ac:dyDescent="0.35">
      <c r="D1937" t="s">
        <v>146</v>
      </c>
      <c r="F1937"/>
      <c r="H1937" t="s">
        <v>880</v>
      </c>
      <c r="L1937" t="s">
        <v>879</v>
      </c>
      <c r="O1937" s="1"/>
      <c r="P1937" s="1"/>
      <c r="Q1937" s="1"/>
      <c r="R1937" s="1"/>
    </row>
    <row r="1938" spans="4:18" x14ac:dyDescent="0.35">
      <c r="D1938" t="s">
        <v>180</v>
      </c>
      <c r="F1938"/>
      <c r="H1938" t="s">
        <v>879</v>
      </c>
      <c r="L1938" t="s">
        <v>877</v>
      </c>
      <c r="O1938" s="1"/>
      <c r="P1938" s="1"/>
      <c r="Q1938" s="1"/>
      <c r="R1938" s="1"/>
    </row>
    <row r="1939" spans="4:18" x14ac:dyDescent="0.35">
      <c r="D1939" t="s">
        <v>146</v>
      </c>
      <c r="F1939"/>
      <c r="H1939" t="s">
        <v>879</v>
      </c>
      <c r="L1939" t="s">
        <v>878</v>
      </c>
      <c r="O1939" s="1"/>
      <c r="P1939" s="1"/>
      <c r="Q1939" s="1"/>
      <c r="R1939" s="1"/>
    </row>
    <row r="1940" spans="4:18" x14ac:dyDescent="0.35">
      <c r="D1940" t="s">
        <v>180</v>
      </c>
      <c r="F1940"/>
      <c r="H1940" t="s">
        <v>878</v>
      </c>
      <c r="L1940" t="s">
        <v>877</v>
      </c>
      <c r="O1940" s="1"/>
      <c r="P1940" s="1"/>
      <c r="Q1940" s="1"/>
      <c r="R1940" s="1"/>
    </row>
    <row r="1941" spans="4:18" x14ac:dyDescent="0.35">
      <c r="D1941" t="s">
        <v>177</v>
      </c>
      <c r="F1941"/>
      <c r="H1941" t="s">
        <v>636</v>
      </c>
      <c r="L1941" s="12" t="s">
        <v>750</v>
      </c>
      <c r="O1941" s="1"/>
      <c r="P1941" s="1"/>
      <c r="Q1941" s="1"/>
      <c r="R1941" s="1"/>
    </row>
    <row r="1942" spans="4:18" x14ac:dyDescent="0.35">
      <c r="D1942" t="s">
        <v>181</v>
      </c>
      <c r="F1942"/>
      <c r="H1942" t="s">
        <v>750</v>
      </c>
      <c r="L1942" t="s">
        <v>880</v>
      </c>
      <c r="O1942" s="1"/>
      <c r="P1942" s="1"/>
      <c r="Q1942" s="1"/>
      <c r="R1942" s="1"/>
    </row>
    <row r="1943" spans="4:18" x14ac:dyDescent="0.35">
      <c r="D1943" t="s">
        <v>428</v>
      </c>
      <c r="F1943"/>
      <c r="H1943" t="s">
        <v>750</v>
      </c>
      <c r="L1943" t="s">
        <v>896</v>
      </c>
      <c r="O1943" s="1"/>
      <c r="P1943" s="1"/>
      <c r="Q1943" s="1"/>
      <c r="R1943" s="1"/>
    </row>
    <row r="1944" spans="4:18" x14ac:dyDescent="0.35">
      <c r="D1944" t="s">
        <v>177</v>
      </c>
      <c r="F1944"/>
      <c r="H1944" t="s">
        <v>894</v>
      </c>
      <c r="L1944" s="12" t="s">
        <v>896</v>
      </c>
      <c r="O1944" s="1"/>
      <c r="P1944" s="1"/>
      <c r="Q1944" s="1"/>
      <c r="R1944" s="1"/>
    </row>
    <row r="1945" spans="4:18" x14ac:dyDescent="0.35">
      <c r="D1945" t="s">
        <v>177</v>
      </c>
      <c r="F1945"/>
      <c r="H1945" t="s">
        <v>636</v>
      </c>
      <c r="L1945" s="12" t="s">
        <v>755</v>
      </c>
      <c r="O1945" s="1"/>
      <c r="P1945" s="1"/>
      <c r="Q1945" s="1"/>
      <c r="R1945" s="1"/>
    </row>
    <row r="1946" spans="4:18" x14ac:dyDescent="0.35">
      <c r="D1946" t="s">
        <v>181</v>
      </c>
      <c r="F1946"/>
      <c r="H1946" t="s">
        <v>755</v>
      </c>
      <c r="L1946" t="s">
        <v>880</v>
      </c>
      <c r="O1946" s="1"/>
      <c r="P1946" s="1"/>
      <c r="Q1946" s="1"/>
      <c r="R1946" s="1"/>
    </row>
    <row r="1947" spans="4:18" x14ac:dyDescent="0.35">
      <c r="D1947" t="s">
        <v>428</v>
      </c>
      <c r="F1947"/>
      <c r="H1947" t="s">
        <v>755</v>
      </c>
      <c r="L1947" t="s">
        <v>896</v>
      </c>
      <c r="O1947" s="1"/>
      <c r="P1947" s="1"/>
      <c r="Q1947" s="1"/>
      <c r="R1947" s="1"/>
    </row>
    <row r="1948" spans="4:18" x14ac:dyDescent="0.35">
      <c r="D1948" t="s">
        <v>177</v>
      </c>
      <c r="F1948"/>
      <c r="H1948" t="s">
        <v>636</v>
      </c>
      <c r="L1948" s="12" t="s">
        <v>758</v>
      </c>
      <c r="O1948" s="1"/>
      <c r="P1948" s="1"/>
      <c r="Q1948" s="1"/>
      <c r="R1948" s="1"/>
    </row>
    <row r="1949" spans="4:18" x14ac:dyDescent="0.35">
      <c r="D1949" t="s">
        <v>181</v>
      </c>
      <c r="F1949"/>
      <c r="H1949" t="s">
        <v>758</v>
      </c>
      <c r="L1949" t="s">
        <v>880</v>
      </c>
      <c r="O1949" s="1"/>
      <c r="P1949" s="1"/>
      <c r="Q1949" s="1"/>
      <c r="R1949" s="1"/>
    </row>
    <row r="1950" spans="4:18" x14ac:dyDescent="0.35">
      <c r="D1950" t="s">
        <v>428</v>
      </c>
      <c r="F1950"/>
      <c r="H1950" t="s">
        <v>758</v>
      </c>
      <c r="L1950" t="s">
        <v>896</v>
      </c>
      <c r="O1950" s="1"/>
      <c r="P1950" s="1"/>
      <c r="Q1950" s="1"/>
      <c r="R1950" s="1"/>
    </row>
    <row r="1951" spans="4:18" x14ac:dyDescent="0.35">
      <c r="D1951" t="s">
        <v>177</v>
      </c>
      <c r="F1951"/>
      <c r="H1951" t="s">
        <v>636</v>
      </c>
      <c r="L1951" s="12" t="s">
        <v>761</v>
      </c>
      <c r="O1951" s="1"/>
      <c r="P1951" s="1"/>
      <c r="Q1951" s="1"/>
      <c r="R1951" s="1"/>
    </row>
    <row r="1952" spans="4:18" x14ac:dyDescent="0.35">
      <c r="D1952" t="s">
        <v>181</v>
      </c>
      <c r="F1952"/>
      <c r="H1952" t="s">
        <v>761</v>
      </c>
      <c r="L1952" t="s">
        <v>880</v>
      </c>
      <c r="O1952" s="1"/>
      <c r="P1952" s="1"/>
      <c r="Q1952" s="1"/>
      <c r="R1952" s="1"/>
    </row>
    <row r="1953" spans="4:18" x14ac:dyDescent="0.35">
      <c r="D1953" t="s">
        <v>428</v>
      </c>
      <c r="F1953"/>
      <c r="H1953" t="s">
        <v>761</v>
      </c>
      <c r="L1953" t="s">
        <v>896</v>
      </c>
      <c r="O1953" s="1"/>
      <c r="P1953" s="1"/>
      <c r="Q1953" s="1"/>
      <c r="R1953" s="1"/>
    </row>
    <row r="1954" spans="4:18" x14ac:dyDescent="0.35">
      <c r="D1954" t="s">
        <v>177</v>
      </c>
      <c r="F1954"/>
      <c r="H1954" t="s">
        <v>636</v>
      </c>
      <c r="L1954" s="12" t="s">
        <v>764</v>
      </c>
      <c r="O1954" s="1"/>
      <c r="P1954" s="1"/>
      <c r="Q1954" s="1"/>
      <c r="R1954" s="1"/>
    </row>
    <row r="1955" spans="4:18" x14ac:dyDescent="0.35">
      <c r="D1955" t="s">
        <v>181</v>
      </c>
      <c r="F1955"/>
      <c r="H1955" t="s">
        <v>764</v>
      </c>
      <c r="L1955" t="s">
        <v>880</v>
      </c>
      <c r="O1955" s="1"/>
      <c r="P1955" s="1"/>
      <c r="Q1955" s="1"/>
      <c r="R1955" s="1"/>
    </row>
    <row r="1956" spans="4:18" x14ac:dyDescent="0.35">
      <c r="D1956" t="s">
        <v>428</v>
      </c>
      <c r="F1956"/>
      <c r="H1956" t="s">
        <v>764</v>
      </c>
      <c r="L1956" t="s">
        <v>896</v>
      </c>
      <c r="O1956" s="1"/>
      <c r="P1956" s="1"/>
      <c r="Q1956" s="1"/>
      <c r="R1956" s="1"/>
    </row>
    <row r="1957" spans="4:18" x14ac:dyDescent="0.35">
      <c r="D1957" t="s">
        <v>177</v>
      </c>
      <c r="F1957"/>
      <c r="H1957" t="s">
        <v>636</v>
      </c>
      <c r="L1957" s="12" t="s">
        <v>767</v>
      </c>
      <c r="O1957" s="1"/>
      <c r="P1957" s="1"/>
      <c r="Q1957" s="1"/>
      <c r="R1957" s="1"/>
    </row>
    <row r="1958" spans="4:18" x14ac:dyDescent="0.35">
      <c r="D1958" t="s">
        <v>181</v>
      </c>
      <c r="F1958"/>
      <c r="H1958" t="s">
        <v>767</v>
      </c>
      <c r="L1958" t="s">
        <v>880</v>
      </c>
      <c r="O1958" s="1"/>
      <c r="P1958" s="1"/>
      <c r="Q1958" s="1"/>
      <c r="R1958" s="1"/>
    </row>
    <row r="1959" spans="4:18" x14ac:dyDescent="0.35">
      <c r="D1959" t="s">
        <v>428</v>
      </c>
      <c r="F1959"/>
      <c r="H1959" t="s">
        <v>767</v>
      </c>
      <c r="L1959" t="s">
        <v>896</v>
      </c>
      <c r="O1959" s="1"/>
      <c r="P1959" s="1"/>
      <c r="Q1959" s="1"/>
      <c r="R1959" s="1"/>
    </row>
    <row r="1960" spans="4:18" x14ac:dyDescent="0.35">
      <c r="D1960" t="s">
        <v>177</v>
      </c>
      <c r="F1960"/>
      <c r="H1960" t="s">
        <v>636</v>
      </c>
      <c r="L1960" s="12" t="s">
        <v>770</v>
      </c>
      <c r="O1960" s="1"/>
      <c r="P1960" s="1"/>
      <c r="Q1960" s="1"/>
      <c r="R1960" s="1"/>
    </row>
    <row r="1961" spans="4:18" x14ac:dyDescent="0.35">
      <c r="D1961" t="s">
        <v>181</v>
      </c>
      <c r="F1961"/>
      <c r="H1961" t="s">
        <v>770</v>
      </c>
      <c r="L1961" t="s">
        <v>880</v>
      </c>
      <c r="O1961" s="1"/>
      <c r="P1961" s="1"/>
      <c r="Q1961" s="1"/>
      <c r="R1961" s="1"/>
    </row>
    <row r="1962" spans="4:18" x14ac:dyDescent="0.35">
      <c r="D1962" t="s">
        <v>428</v>
      </c>
      <c r="F1962"/>
      <c r="H1962" t="s">
        <v>770</v>
      </c>
      <c r="L1962" t="s">
        <v>896</v>
      </c>
      <c r="O1962" s="1"/>
      <c r="P1962" s="1"/>
      <c r="Q1962" s="1"/>
      <c r="R1962" s="1"/>
    </row>
    <row r="1963" spans="4:18" x14ac:dyDescent="0.35">
      <c r="D1963" t="s">
        <v>177</v>
      </c>
      <c r="F1963"/>
      <c r="H1963" t="s">
        <v>636</v>
      </c>
      <c r="L1963" s="12" t="s">
        <v>773</v>
      </c>
      <c r="O1963" s="1"/>
      <c r="P1963" s="1"/>
      <c r="Q1963" s="1"/>
      <c r="R1963" s="1"/>
    </row>
    <row r="1964" spans="4:18" x14ac:dyDescent="0.35">
      <c r="D1964" t="s">
        <v>181</v>
      </c>
      <c r="F1964"/>
      <c r="H1964" t="s">
        <v>773</v>
      </c>
      <c r="L1964" t="s">
        <v>880</v>
      </c>
      <c r="O1964" s="1"/>
      <c r="P1964" s="1"/>
      <c r="Q1964" s="1"/>
      <c r="R1964" s="1"/>
    </row>
    <row r="1965" spans="4:18" x14ac:dyDescent="0.35">
      <c r="D1965" t="s">
        <v>428</v>
      </c>
      <c r="F1965"/>
      <c r="H1965" t="s">
        <v>773</v>
      </c>
      <c r="L1965" t="s">
        <v>896</v>
      </c>
      <c r="O1965" s="1"/>
      <c r="P1965" s="1"/>
      <c r="Q1965" s="1"/>
      <c r="R1965" s="1"/>
    </row>
    <row r="1966" spans="4:18" x14ac:dyDescent="0.35">
      <c r="D1966" t="s">
        <v>177</v>
      </c>
      <c r="F1966"/>
      <c r="H1966" t="s">
        <v>636</v>
      </c>
      <c r="L1966" s="12" t="s">
        <v>776</v>
      </c>
      <c r="O1966" s="1"/>
      <c r="P1966" s="1"/>
      <c r="Q1966" s="1"/>
      <c r="R1966" s="1"/>
    </row>
    <row r="1967" spans="4:18" x14ac:dyDescent="0.35">
      <c r="D1967" t="s">
        <v>177</v>
      </c>
      <c r="F1967"/>
      <c r="H1967" t="s">
        <v>636</v>
      </c>
      <c r="L1967" s="12" t="s">
        <v>781</v>
      </c>
      <c r="O1967" s="1"/>
      <c r="P1967" s="1"/>
      <c r="Q1967" s="1"/>
      <c r="R1967" s="1"/>
    </row>
    <row r="1968" spans="4:18" x14ac:dyDescent="0.35">
      <c r="D1968" t="s">
        <v>177</v>
      </c>
      <c r="F1968"/>
      <c r="H1968" t="s">
        <v>636</v>
      </c>
      <c r="L1968" s="12" t="s">
        <v>784</v>
      </c>
      <c r="O1968" s="1"/>
      <c r="P1968" s="1"/>
      <c r="Q1968" s="1"/>
      <c r="R1968" s="1"/>
    </row>
    <row r="1969" spans="4:18" x14ac:dyDescent="0.35">
      <c r="D1969" t="s">
        <v>177</v>
      </c>
      <c r="F1969"/>
      <c r="H1969" t="s">
        <v>636</v>
      </c>
      <c r="L1969" s="12" t="s">
        <v>787</v>
      </c>
      <c r="O1969" s="1"/>
      <c r="P1969" s="1"/>
      <c r="Q1969" s="1"/>
      <c r="R1969" s="1"/>
    </row>
    <row r="1970" spans="4:18" x14ac:dyDescent="0.35">
      <c r="D1970" t="s">
        <v>177</v>
      </c>
      <c r="F1970"/>
      <c r="H1970" t="s">
        <v>636</v>
      </c>
      <c r="L1970" s="12" t="s">
        <v>790</v>
      </c>
      <c r="O1970" s="1"/>
      <c r="P1970" s="1"/>
      <c r="Q1970" s="1"/>
      <c r="R1970" s="1"/>
    </row>
    <row r="1971" spans="4:18" x14ac:dyDescent="0.35">
      <c r="D1971" t="s">
        <v>177</v>
      </c>
      <c r="F1971"/>
      <c r="H1971" t="s">
        <v>636</v>
      </c>
      <c r="L1971" s="12" t="s">
        <v>793</v>
      </c>
      <c r="O1971" s="1"/>
      <c r="P1971" s="1"/>
      <c r="Q1971" s="1"/>
      <c r="R1971" s="1"/>
    </row>
    <row r="1972" spans="4:18" x14ac:dyDescent="0.35">
      <c r="D1972" t="s">
        <v>177</v>
      </c>
      <c r="F1972"/>
      <c r="H1972" t="s">
        <v>636</v>
      </c>
      <c r="L1972" s="12" t="s">
        <v>796</v>
      </c>
      <c r="O1972" s="1"/>
      <c r="P1972" s="1"/>
      <c r="Q1972" s="1"/>
      <c r="R1972" s="1"/>
    </row>
    <row r="1973" spans="4:18" x14ac:dyDescent="0.35">
      <c r="D1973" t="s">
        <v>177</v>
      </c>
      <c r="F1973"/>
      <c r="H1973" t="s">
        <v>636</v>
      </c>
      <c r="L1973" s="12" t="s">
        <v>799</v>
      </c>
      <c r="O1973" s="1"/>
      <c r="P1973" s="1"/>
      <c r="Q1973" s="1"/>
      <c r="R1973" s="1"/>
    </row>
    <row r="1974" spans="4:18" x14ac:dyDescent="0.35">
      <c r="D1974" t="s">
        <v>177</v>
      </c>
      <c r="F1974"/>
      <c r="H1974" t="s">
        <v>636</v>
      </c>
      <c r="L1974" s="12" t="s">
        <v>802</v>
      </c>
      <c r="O1974" s="1"/>
      <c r="P1974" s="1"/>
      <c r="Q1974" s="1"/>
      <c r="R1974" s="1"/>
    </row>
    <row r="1975" spans="4:18" x14ac:dyDescent="0.35">
      <c r="D1975" t="s">
        <v>177</v>
      </c>
      <c r="F1975"/>
      <c r="H1975" t="s">
        <v>636</v>
      </c>
      <c r="L1975" s="12" t="s">
        <v>803</v>
      </c>
      <c r="O1975" s="1"/>
      <c r="P1975" s="1"/>
      <c r="Q1975" s="1"/>
      <c r="R1975" s="1"/>
    </row>
    <row r="1976" spans="4:18" x14ac:dyDescent="0.35">
      <c r="D1976" t="s">
        <v>177</v>
      </c>
      <c r="F1976"/>
      <c r="H1976" t="s">
        <v>636</v>
      </c>
      <c r="L1976" s="12" t="s">
        <v>808</v>
      </c>
      <c r="O1976" s="1"/>
      <c r="P1976" s="1"/>
      <c r="Q1976" s="1"/>
      <c r="R1976" s="1"/>
    </row>
    <row r="1977" spans="4:18" x14ac:dyDescent="0.35">
      <c r="D1977" t="s">
        <v>177</v>
      </c>
      <c r="F1977"/>
      <c r="H1977" t="s">
        <v>636</v>
      </c>
      <c r="L1977" s="12" t="s">
        <v>811</v>
      </c>
      <c r="O1977" s="1"/>
      <c r="P1977" s="1"/>
      <c r="Q1977" s="1"/>
      <c r="R1977" s="1"/>
    </row>
    <row r="1978" spans="4:18" x14ac:dyDescent="0.35">
      <c r="D1978" t="s">
        <v>177</v>
      </c>
      <c r="F1978"/>
      <c r="H1978" t="s">
        <v>636</v>
      </c>
      <c r="L1978" s="12" t="s">
        <v>814</v>
      </c>
      <c r="O1978" s="1"/>
      <c r="P1978" s="1"/>
      <c r="Q1978" s="1"/>
      <c r="R1978" s="1"/>
    </row>
    <row r="1979" spans="4:18" x14ac:dyDescent="0.35">
      <c r="D1979" t="s">
        <v>177</v>
      </c>
      <c r="F1979"/>
      <c r="H1979" t="s">
        <v>636</v>
      </c>
      <c r="L1979" s="12" t="s">
        <v>817</v>
      </c>
      <c r="O1979" s="1"/>
      <c r="P1979" s="1"/>
      <c r="Q1979" s="1"/>
      <c r="R1979" s="1"/>
    </row>
    <row r="1980" spans="4:18" x14ac:dyDescent="0.35">
      <c r="D1980" t="s">
        <v>177</v>
      </c>
      <c r="F1980"/>
      <c r="H1980" t="s">
        <v>636</v>
      </c>
      <c r="L1980" s="12" t="s">
        <v>820</v>
      </c>
      <c r="O1980" s="1"/>
      <c r="P1980" s="1"/>
      <c r="Q1980" s="1"/>
      <c r="R1980" s="1"/>
    </row>
    <row r="1981" spans="4:18" x14ac:dyDescent="0.35">
      <c r="D1981" t="s">
        <v>177</v>
      </c>
      <c r="F1981"/>
      <c r="H1981" t="s">
        <v>636</v>
      </c>
      <c r="L1981" s="12" t="s">
        <v>823</v>
      </c>
      <c r="O1981" s="1"/>
      <c r="P1981" s="1"/>
      <c r="Q1981" s="1"/>
      <c r="R1981" s="1"/>
    </row>
    <row r="1982" spans="4:18" x14ac:dyDescent="0.35">
      <c r="D1982" t="s">
        <v>177</v>
      </c>
      <c r="F1982"/>
      <c r="H1982" t="s">
        <v>636</v>
      </c>
      <c r="L1982" s="12" t="s">
        <v>826</v>
      </c>
      <c r="O1982" s="1"/>
      <c r="P1982" s="1"/>
      <c r="Q1982" s="1"/>
      <c r="R1982" s="1"/>
    </row>
    <row r="1983" spans="4:18" x14ac:dyDescent="0.35">
      <c r="D1983" t="s">
        <v>177</v>
      </c>
      <c r="F1983"/>
      <c r="H1983" t="s">
        <v>636</v>
      </c>
      <c r="L1983" s="12" t="s">
        <v>829</v>
      </c>
      <c r="O1983" s="1"/>
      <c r="P1983" s="1"/>
      <c r="Q1983" s="1"/>
      <c r="R1983" s="1"/>
    </row>
    <row r="1984" spans="4:18" x14ac:dyDescent="0.35">
      <c r="D1984" t="s">
        <v>177</v>
      </c>
      <c r="F1984"/>
      <c r="H1984" t="s">
        <v>636</v>
      </c>
      <c r="L1984" s="12" t="s">
        <v>832</v>
      </c>
      <c r="O1984" s="1"/>
      <c r="P1984" s="1"/>
      <c r="Q1984" s="1"/>
      <c r="R1984" s="1"/>
    </row>
    <row r="1985" spans="4:18" x14ac:dyDescent="0.35">
      <c r="D1985" t="s">
        <v>177</v>
      </c>
      <c r="F1985"/>
      <c r="H1985" t="s">
        <v>636</v>
      </c>
      <c r="L1985" s="12" t="s">
        <v>835</v>
      </c>
      <c r="O1985" s="1"/>
      <c r="P1985" s="1"/>
      <c r="Q1985" s="1"/>
      <c r="R1985" s="1"/>
    </row>
    <row r="1986" spans="4:18" x14ac:dyDescent="0.35">
      <c r="D1986" t="s">
        <v>177</v>
      </c>
      <c r="F1986"/>
      <c r="H1986" t="s">
        <v>636</v>
      </c>
      <c r="L1986" s="12" t="s">
        <v>838</v>
      </c>
      <c r="O1986" s="1"/>
      <c r="P1986" s="1"/>
      <c r="Q1986" s="1"/>
      <c r="R1986" s="1"/>
    </row>
    <row r="1987" spans="4:18" x14ac:dyDescent="0.35">
      <c r="D1987" t="s">
        <v>177</v>
      </c>
      <c r="F1987"/>
      <c r="H1987" t="s">
        <v>636</v>
      </c>
      <c r="L1987" s="12" t="s">
        <v>841</v>
      </c>
      <c r="O1987" s="1"/>
      <c r="P1987" s="1"/>
      <c r="Q1987" s="1"/>
      <c r="R1987" s="1"/>
    </row>
    <row r="1988" spans="4:18" x14ac:dyDescent="0.35">
      <c r="D1988" t="s">
        <v>177</v>
      </c>
      <c r="F1988"/>
      <c r="H1988" t="s">
        <v>636</v>
      </c>
      <c r="L1988" s="12" t="s">
        <v>844</v>
      </c>
      <c r="O1988" s="1"/>
      <c r="P1988" s="1"/>
      <c r="Q1988" s="1"/>
      <c r="R1988" s="1"/>
    </row>
    <row r="1989" spans="4:18" x14ac:dyDescent="0.35">
      <c r="D1989" t="s">
        <v>177</v>
      </c>
      <c r="F1989"/>
      <c r="H1989" t="s">
        <v>636</v>
      </c>
      <c r="L1989" s="12" t="s">
        <v>847</v>
      </c>
      <c r="O1989" s="1"/>
      <c r="P1989" s="1"/>
      <c r="Q1989" s="1"/>
      <c r="R1989" s="1"/>
    </row>
    <row r="1990" spans="4:18" x14ac:dyDescent="0.35">
      <c r="D1990" t="s">
        <v>177</v>
      </c>
      <c r="F1990"/>
      <c r="H1990" t="s">
        <v>636</v>
      </c>
      <c r="L1990" s="12" t="s">
        <v>850</v>
      </c>
      <c r="O1990" s="1"/>
      <c r="P1990" s="1"/>
      <c r="Q1990" s="1"/>
      <c r="R1990" s="1"/>
    </row>
    <row r="1991" spans="4:18" x14ac:dyDescent="0.35">
      <c r="D1991" t="s">
        <v>177</v>
      </c>
      <c r="F1991"/>
      <c r="H1991" t="s">
        <v>636</v>
      </c>
      <c r="L1991" s="12" t="s">
        <v>853</v>
      </c>
      <c r="O1991" s="1"/>
      <c r="P1991" s="1"/>
      <c r="Q1991" s="1"/>
      <c r="R1991" s="1"/>
    </row>
    <row r="1992" spans="4:18" x14ac:dyDescent="0.35">
      <c r="D1992" t="s">
        <v>177</v>
      </c>
      <c r="F1992"/>
      <c r="H1992" t="s">
        <v>636</v>
      </c>
      <c r="L1992" s="12" t="s">
        <v>856</v>
      </c>
      <c r="O1992" s="1"/>
      <c r="P1992" s="1"/>
      <c r="Q1992" s="1"/>
      <c r="R1992" s="1"/>
    </row>
    <row r="1993" spans="4:18" x14ac:dyDescent="0.35">
      <c r="D1993" t="s">
        <v>177</v>
      </c>
      <c r="F1993"/>
      <c r="H1993" t="s">
        <v>636</v>
      </c>
      <c r="L1993" s="12" t="s">
        <v>859</v>
      </c>
      <c r="O1993" s="1"/>
      <c r="P1993" s="1"/>
      <c r="Q1993" s="1"/>
      <c r="R1993" s="1"/>
    </row>
    <row r="1994" spans="4:18" x14ac:dyDescent="0.35">
      <c r="D1994" t="s">
        <v>177</v>
      </c>
      <c r="F1994"/>
      <c r="H1994" t="s">
        <v>636</v>
      </c>
      <c r="L1994" s="12" t="s">
        <v>862</v>
      </c>
      <c r="O1994" s="1"/>
      <c r="P1994" s="1"/>
      <c r="Q1994" s="1"/>
      <c r="R1994" s="1"/>
    </row>
    <row r="1995" spans="4:18" x14ac:dyDescent="0.35">
      <c r="D1995" t="s">
        <v>177</v>
      </c>
      <c r="F1995"/>
      <c r="H1995" t="s">
        <v>636</v>
      </c>
      <c r="L1995" s="12" t="s">
        <v>865</v>
      </c>
      <c r="O1995" s="1"/>
      <c r="P1995" s="1"/>
      <c r="Q1995" s="1"/>
      <c r="R1995" s="1"/>
    </row>
    <row r="1996" spans="4:18" x14ac:dyDescent="0.35">
      <c r="D1996" t="s">
        <v>177</v>
      </c>
      <c r="F1996"/>
      <c r="H1996" t="s">
        <v>636</v>
      </c>
      <c r="L1996" s="12" t="s">
        <v>868</v>
      </c>
      <c r="O1996" s="1"/>
      <c r="P1996" s="1"/>
      <c r="Q1996" s="1"/>
      <c r="R1996" s="1"/>
    </row>
    <row r="1997" spans="4:18" x14ac:dyDescent="0.35">
      <c r="D1997" t="s">
        <v>177</v>
      </c>
      <c r="F1997"/>
      <c r="H1997" t="s">
        <v>636</v>
      </c>
      <c r="L1997" s="12" t="s">
        <v>871</v>
      </c>
      <c r="O1997" s="1"/>
      <c r="P1997" s="1"/>
      <c r="Q1997" s="1"/>
      <c r="R1997" s="1"/>
    </row>
    <row r="1998" spans="4:18" x14ac:dyDescent="0.35">
      <c r="D1998" t="s">
        <v>177</v>
      </c>
      <c r="F1998"/>
      <c r="H1998" t="s">
        <v>636</v>
      </c>
      <c r="L1998" s="12" t="s">
        <v>874</v>
      </c>
      <c r="O1998" s="1"/>
      <c r="P1998" s="1"/>
      <c r="Q1998" s="1"/>
      <c r="R1998" s="1"/>
    </row>
  </sheetData>
  <phoneticPr fontId="2" type="noConversion"/>
  <dataValidations count="8">
    <dataValidation type="list" allowBlank="1" showInputMessage="1" showErrorMessage="1" sqref="T232" xr:uid="{463207F8-0C26-423E-8028-A3E16E52DDC7}">
      <formula1>_xlfn.VSTACK(__Validation_AuthorityDraft,__Validation_Protocol)</formula1>
    </dataValidation>
    <dataValidation type="list" allowBlank="1" sqref="A1999:B1048576 A1:G1 I1:K1 L188:L294 L1610:L1998 H225:H1998 H1:H223 L1:M187" xr:uid="{A88D8F30-7499-4AE8-AB41-011B734B4D59}">
      <formula1>__Validation_Relationships</formula1>
    </dataValidation>
    <dataValidation type="list" allowBlank="1" sqref="H224" xr:uid="{53781C32-04DC-4329-B571-63E4F197CBAA}">
      <formula1>INDIRECT(E224 &amp; "[" &amp; F224 &amp;"]")</formula1>
    </dataValidation>
    <dataValidation type="list" allowBlank="1" showInputMessage="1" showErrorMessage="1" sqref="K409:K427 K436:K471 K480:K1998 K2:K400" xr:uid="{DAA41C81-B4DB-426B-AC1A-4EB8CEAF7461}">
      <formula1>INDIRECT($I2 &amp; "[" &amp; $J2 &amp; "]")</formula1>
    </dataValidation>
    <dataValidation type="list" allowBlank="1" showInputMessage="1" showErrorMessage="1" sqref="D2:D1998" xr:uid="{958D16F6-8CEF-4451-93D3-E2B4E340EE2D}">
      <formula1>INDIRECT("__val_RelationshipTypes[RelationshipTypes]")</formula1>
    </dataValidation>
    <dataValidation type="list" allowBlank="1" showInputMessage="1" showErrorMessage="1" sqref="G2:G1998" xr:uid="{DDB4BD4A-EDA2-41A0-A805-0CB8C2E7EE9F}">
      <formula1>INDIRECT($E2 &amp; "[" &amp; $F2 &amp;"]")</formula1>
    </dataValidation>
    <dataValidation type="list" allowBlank="1" showInputMessage="1" showErrorMessage="1" sqref="F2:F1998" xr:uid="{4029FF45-1E4F-47B6-92F7-FCC2A0C01326}">
      <formula1>__fn_val_nodeAttr($E2)</formula1>
    </dataValidation>
    <dataValidation type="list" allowBlank="1" showInputMessage="1" showErrorMessage="1" sqref="J2:J1998" xr:uid="{AFF405E0-7F23-4727-A9D7-5733C61C1103}">
      <formula1>__fn_val_nodeAttr($I2)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5E3441-458D-4E50-80BA-A7F4D45907D3}">
          <x14:formula1>
            <xm:f>_xlfn.ANCHORARRAY(_Validation!$F$1)</xm:f>
          </x14:formula1>
          <xm:sqref>I2:I1998 E2:E1998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E8A9-1CBE-4C23-ACA2-0DD30AB06CDA}">
  <dimension ref="A1:L204"/>
  <sheetViews>
    <sheetView tabSelected="1" topLeftCell="D128" workbookViewId="0">
      <selection activeCell="I171" sqref="I171"/>
    </sheetView>
    <sheetView topLeftCell="A77" workbookViewId="1">
      <selection activeCell="D148" sqref="D148"/>
    </sheetView>
  </sheetViews>
  <sheetFormatPr defaultRowHeight="14.5" x14ac:dyDescent="0.35"/>
  <cols>
    <col min="1" max="1" width="16.6328125" bestFit="1" customWidth="1"/>
    <col min="2" max="2" width="18.90625" bestFit="1" customWidth="1"/>
    <col min="3" max="3" width="19.6328125" bestFit="1" customWidth="1"/>
    <col min="4" max="4" width="28.1796875" style="1" customWidth="1"/>
    <col min="5" max="5" width="79.90625" style="1" customWidth="1"/>
    <col min="6" max="6" width="63" style="1" bestFit="1" customWidth="1"/>
    <col min="7" max="7" width="23.81640625" style="1" bestFit="1" customWidth="1"/>
    <col min="8" max="8" width="10.7265625" style="1" bestFit="1" customWidth="1"/>
    <col min="9" max="10" width="10.7265625" style="1" customWidth="1"/>
    <col min="11" max="11" width="60" style="1" customWidth="1"/>
    <col min="12" max="12" width="25.81640625" style="1" customWidth="1"/>
  </cols>
  <sheetData>
    <row r="1" spans="1:12" x14ac:dyDescent="0.35">
      <c r="A1" t="s">
        <v>955</v>
      </c>
      <c r="B1" t="s">
        <v>935</v>
      </c>
      <c r="C1" t="s">
        <v>936</v>
      </c>
      <c r="D1" s="1" t="s">
        <v>956</v>
      </c>
      <c r="E1" s="1" t="s">
        <v>957</v>
      </c>
      <c r="F1" s="1" t="s">
        <v>958</v>
      </c>
      <c r="G1" s="1" t="s">
        <v>1058</v>
      </c>
      <c r="H1" s="1" t="s">
        <v>940</v>
      </c>
      <c r="I1" s="1" t="s">
        <v>1748</v>
      </c>
      <c r="J1" s="1" t="s">
        <v>1749</v>
      </c>
      <c r="K1" s="1" t="s">
        <v>1313</v>
      </c>
      <c r="L1" s="1" t="s">
        <v>1115</v>
      </c>
    </row>
    <row r="2" spans="1:12" x14ac:dyDescent="0.35">
      <c r="D2" s="1" t="s">
        <v>3</v>
      </c>
      <c r="E2" s="1" t="s">
        <v>173</v>
      </c>
      <c r="F2" s="1" t="s">
        <v>175</v>
      </c>
      <c r="G2" s="1" t="s">
        <v>1059</v>
      </c>
      <c r="H2" s="1" t="s">
        <v>327</v>
      </c>
      <c r="I2" s="1" t="s">
        <v>1760</v>
      </c>
      <c r="K2" s="1" t="s">
        <v>1776</v>
      </c>
    </row>
    <row r="3" spans="1:12" x14ac:dyDescent="0.35">
      <c r="D3" s="9" t="s">
        <v>3153</v>
      </c>
      <c r="E3" s="1" t="s">
        <v>3154</v>
      </c>
      <c r="F3" s="1" t="s">
        <v>3155</v>
      </c>
      <c r="G3" s="1" t="s">
        <v>1060</v>
      </c>
      <c r="H3" s="1" t="s">
        <v>327</v>
      </c>
      <c r="I3" s="1" t="s">
        <v>3156</v>
      </c>
    </row>
    <row r="4" spans="1:12" x14ac:dyDescent="0.35">
      <c r="D4" s="9" t="s">
        <v>1896</v>
      </c>
      <c r="E4" s="1" t="s">
        <v>1894</v>
      </c>
      <c r="F4" s="1" t="s">
        <v>1892</v>
      </c>
      <c r="G4" s="1" t="s">
        <v>1060</v>
      </c>
      <c r="H4" s="1" t="s">
        <v>327</v>
      </c>
      <c r="I4" s="1" t="s">
        <v>1893</v>
      </c>
    </row>
    <row r="5" spans="1:12" x14ac:dyDescent="0.35">
      <c r="D5" s="11" t="s">
        <v>171</v>
      </c>
      <c r="E5" s="1" t="s">
        <v>172</v>
      </c>
      <c r="F5" s="1" t="s">
        <v>174</v>
      </c>
      <c r="G5" s="1" t="s">
        <v>1060</v>
      </c>
      <c r="H5" s="1" t="s">
        <v>327</v>
      </c>
      <c r="I5" s="1" t="s">
        <v>1750</v>
      </c>
    </row>
    <row r="6" spans="1:12" x14ac:dyDescent="0.35">
      <c r="D6" s="11" t="s">
        <v>345</v>
      </c>
      <c r="E6" s="1" t="s">
        <v>346</v>
      </c>
      <c r="F6" s="1" t="s">
        <v>347</v>
      </c>
      <c r="G6" s="1" t="s">
        <v>1060</v>
      </c>
      <c r="H6" s="1" t="s">
        <v>327</v>
      </c>
      <c r="I6" s="1" t="s">
        <v>1751</v>
      </c>
    </row>
    <row r="7" spans="1:12" x14ac:dyDescent="0.35">
      <c r="D7" s="11" t="s">
        <v>965</v>
      </c>
      <c r="E7" s="1" t="s">
        <v>966</v>
      </c>
      <c r="F7" s="1" t="s">
        <v>967</v>
      </c>
      <c r="G7" s="1" t="s">
        <v>1060</v>
      </c>
      <c r="H7" s="1" t="s">
        <v>327</v>
      </c>
      <c r="I7" s="1" t="s">
        <v>1752</v>
      </c>
    </row>
    <row r="8" spans="1:12" x14ac:dyDescent="0.35">
      <c r="D8" s="11" t="s">
        <v>962</v>
      </c>
      <c r="E8" s="1" t="s">
        <v>963</v>
      </c>
      <c r="F8" s="1" t="s">
        <v>964</v>
      </c>
      <c r="G8" s="1" t="s">
        <v>1060</v>
      </c>
      <c r="H8" s="1" t="s">
        <v>327</v>
      </c>
      <c r="I8" s="1" t="s">
        <v>1754</v>
      </c>
    </row>
    <row r="9" spans="1:12" x14ac:dyDescent="0.35">
      <c r="D9" s="11" t="s">
        <v>968</v>
      </c>
      <c r="E9" s="1" t="s">
        <v>971</v>
      </c>
      <c r="F9" s="1" t="s">
        <v>972</v>
      </c>
      <c r="G9" s="1" t="s">
        <v>1060</v>
      </c>
      <c r="H9" s="1" t="s">
        <v>327</v>
      </c>
      <c r="I9" s="1" t="s">
        <v>1753</v>
      </c>
    </row>
    <row r="10" spans="1:12" x14ac:dyDescent="0.35">
      <c r="D10" s="11" t="s">
        <v>969</v>
      </c>
      <c r="E10" s="1" t="s">
        <v>975</v>
      </c>
      <c r="F10" s="1" t="s">
        <v>973</v>
      </c>
      <c r="G10" s="1" t="s">
        <v>1060</v>
      </c>
      <c r="H10" s="1" t="s">
        <v>327</v>
      </c>
      <c r="I10" s="1" t="s">
        <v>1755</v>
      </c>
    </row>
    <row r="11" spans="1:12" x14ac:dyDescent="0.35">
      <c r="D11" s="11" t="s">
        <v>970</v>
      </c>
      <c r="E11" s="1" t="s">
        <v>976</v>
      </c>
      <c r="F11" s="1" t="s">
        <v>974</v>
      </c>
      <c r="G11" s="1" t="s">
        <v>1060</v>
      </c>
      <c r="H11" s="1" t="s">
        <v>327</v>
      </c>
      <c r="I11" s="1" t="s">
        <v>1756</v>
      </c>
    </row>
    <row r="12" spans="1:12" x14ac:dyDescent="0.35">
      <c r="D12" s="11" t="s">
        <v>977</v>
      </c>
      <c r="E12" s="1" t="s">
        <v>978</v>
      </c>
      <c r="F12" s="1" t="s">
        <v>979</v>
      </c>
      <c r="G12" s="1" t="s">
        <v>1060</v>
      </c>
      <c r="H12" s="1" t="s">
        <v>327</v>
      </c>
      <c r="I12" s="1" t="s">
        <v>1757</v>
      </c>
    </row>
    <row r="13" spans="1:12" x14ac:dyDescent="0.35">
      <c r="D13" s="11" t="s">
        <v>2582</v>
      </c>
      <c r="E13" s="1" t="s">
        <v>2583</v>
      </c>
      <c r="F13" s="1" t="s">
        <v>2584</v>
      </c>
      <c r="G13" s="1" t="s">
        <v>1060</v>
      </c>
      <c r="H13" s="1" t="s">
        <v>1001</v>
      </c>
      <c r="I13" s="1" t="s">
        <v>2587</v>
      </c>
      <c r="J13" s="1" t="s">
        <v>2585</v>
      </c>
      <c r="K13" s="1" t="s">
        <v>2586</v>
      </c>
    </row>
    <row r="14" spans="1:12" x14ac:dyDescent="0.35">
      <c r="D14" s="11" t="s">
        <v>980</v>
      </c>
      <c r="E14" s="1" t="s">
        <v>981</v>
      </c>
      <c r="F14" s="1" t="s">
        <v>982</v>
      </c>
      <c r="G14" s="1" t="s">
        <v>1060</v>
      </c>
      <c r="H14" s="1" t="s">
        <v>327</v>
      </c>
      <c r="I14" s="1" t="s">
        <v>1758</v>
      </c>
    </row>
    <row r="15" spans="1:12" x14ac:dyDescent="0.35">
      <c r="D15" s="11" t="s">
        <v>983</v>
      </c>
      <c r="E15" s="1" t="s">
        <v>984</v>
      </c>
      <c r="F15" s="1" t="s">
        <v>985</v>
      </c>
      <c r="G15" s="1" t="s">
        <v>1060</v>
      </c>
      <c r="H15" s="1" t="s">
        <v>327</v>
      </c>
      <c r="I15" s="1" t="s">
        <v>1759</v>
      </c>
    </row>
    <row r="16" spans="1:12" x14ac:dyDescent="0.35">
      <c r="D16" s="11" t="s">
        <v>1900</v>
      </c>
      <c r="E16" s="1" t="s">
        <v>1901</v>
      </c>
      <c r="F16" s="1" t="s">
        <v>1902</v>
      </c>
      <c r="G16" s="1" t="s">
        <v>1060</v>
      </c>
      <c r="H16" s="1" t="s">
        <v>327</v>
      </c>
      <c r="I16" s="1" t="s">
        <v>1903</v>
      </c>
    </row>
    <row r="17" spans="4:11" x14ac:dyDescent="0.35">
      <c r="D17" s="11" t="s">
        <v>2154</v>
      </c>
      <c r="E17" s="1" t="s">
        <v>2155</v>
      </c>
      <c r="F17" t="s">
        <v>2156</v>
      </c>
      <c r="G17" s="1" t="s">
        <v>1060</v>
      </c>
      <c r="H17" s="1" t="s">
        <v>327</v>
      </c>
      <c r="I17" s="1" t="s">
        <v>2157</v>
      </c>
    </row>
    <row r="18" spans="4:11" x14ac:dyDescent="0.35">
      <c r="D18" s="9" t="s">
        <v>2273</v>
      </c>
      <c r="E18" s="1" t="s">
        <v>2274</v>
      </c>
      <c r="F18" s="1" t="s">
        <v>2275</v>
      </c>
      <c r="G18" s="1" t="s">
        <v>1060</v>
      </c>
      <c r="H18" s="1" t="s">
        <v>1001</v>
      </c>
      <c r="I18" s="1" t="s">
        <v>1893</v>
      </c>
    </row>
    <row r="19" spans="4:11" x14ac:dyDescent="0.35">
      <c r="D19" s="11" t="s">
        <v>2820</v>
      </c>
      <c r="E19" s="1" t="s">
        <v>2821</v>
      </c>
      <c r="F19" s="1" t="s">
        <v>2822</v>
      </c>
      <c r="G19" s="1" t="s">
        <v>1060</v>
      </c>
      <c r="H19" s="1" t="s">
        <v>1001</v>
      </c>
      <c r="I19" s="1" t="s">
        <v>2823</v>
      </c>
      <c r="J19" s="1" t="s">
        <v>2824</v>
      </c>
    </row>
    <row r="20" spans="4:11" x14ac:dyDescent="0.35">
      <c r="D20" s="11" t="s">
        <v>2276</v>
      </c>
      <c r="E20" s="1" t="s">
        <v>2313</v>
      </c>
      <c r="F20" s="1" t="s">
        <v>2277</v>
      </c>
      <c r="G20" s="1" t="s">
        <v>1060</v>
      </c>
      <c r="H20" s="1" t="s">
        <v>1001</v>
      </c>
      <c r="I20" s="1" t="s">
        <v>2278</v>
      </c>
      <c r="J20" s="1" t="s">
        <v>2279</v>
      </c>
    </row>
    <row r="21" spans="4:11" x14ac:dyDescent="0.35">
      <c r="D21" s="11" t="s">
        <v>2539</v>
      </c>
      <c r="E21" s="1" t="s">
        <v>2535</v>
      </c>
      <c r="F21" s="1" t="s">
        <v>2536</v>
      </c>
      <c r="G21" s="1" t="s">
        <v>1060</v>
      </c>
      <c r="H21" s="1" t="s">
        <v>1001</v>
      </c>
      <c r="I21" s="1" t="s">
        <v>2537</v>
      </c>
      <c r="J21" s="1" t="s">
        <v>2538</v>
      </c>
    </row>
    <row r="22" spans="4:11" x14ac:dyDescent="0.35">
      <c r="D22" s="11" t="s">
        <v>2312</v>
      </c>
      <c r="E22" s="1" t="s">
        <v>2314</v>
      </c>
      <c r="F22" s="1" t="s">
        <v>2315</v>
      </c>
      <c r="G22" s="1" t="s">
        <v>1060</v>
      </c>
      <c r="H22" s="1" t="s">
        <v>1001</v>
      </c>
      <c r="I22" s="1" t="s">
        <v>2316</v>
      </c>
      <c r="J22" s="1" t="s">
        <v>2317</v>
      </c>
    </row>
    <row r="23" spans="4:11" x14ac:dyDescent="0.35">
      <c r="D23" s="11" t="s">
        <v>2540</v>
      </c>
      <c r="E23" s="1" t="s">
        <v>2541</v>
      </c>
      <c r="F23" s="1" t="s">
        <v>2542</v>
      </c>
      <c r="G23" s="1" t="s">
        <v>1060</v>
      </c>
      <c r="H23" s="1" t="s">
        <v>1001</v>
      </c>
      <c r="I23" s="1" t="s">
        <v>2543</v>
      </c>
      <c r="J23" s="1" t="s">
        <v>2544</v>
      </c>
    </row>
    <row r="24" spans="4:11" x14ac:dyDescent="0.35">
      <c r="D24" s="9" t="s">
        <v>1895</v>
      </c>
      <c r="E24" s="1" t="s">
        <v>1897</v>
      </c>
      <c r="F24" s="1" t="s">
        <v>1898</v>
      </c>
      <c r="G24" s="1" t="s">
        <v>1060</v>
      </c>
      <c r="H24" s="1" t="s">
        <v>327</v>
      </c>
      <c r="I24" s="1" t="s">
        <v>1899</v>
      </c>
    </row>
    <row r="25" spans="4:11" x14ac:dyDescent="0.35">
      <c r="D25" s="11" t="s">
        <v>2577</v>
      </c>
      <c r="E25" s="1" t="s">
        <v>2578</v>
      </c>
      <c r="F25" s="1" t="s">
        <v>2579</v>
      </c>
      <c r="G25" s="1" t="s">
        <v>1060</v>
      </c>
      <c r="H25" s="1" t="s">
        <v>1001</v>
      </c>
      <c r="I25" s="1" t="s">
        <v>2580</v>
      </c>
      <c r="J25" s="1" t="s">
        <v>2581</v>
      </c>
    </row>
    <row r="26" spans="4:11" x14ac:dyDescent="0.35">
      <c r="D26" s="11" t="s">
        <v>959</v>
      </c>
      <c r="E26" s="1" t="s">
        <v>960</v>
      </c>
      <c r="F26" s="1" t="s">
        <v>961</v>
      </c>
      <c r="G26" s="1" t="s">
        <v>1060</v>
      </c>
      <c r="H26" s="1" t="s">
        <v>327</v>
      </c>
      <c r="I26" s="1" t="s">
        <v>1753</v>
      </c>
    </row>
    <row r="27" spans="4:11" x14ac:dyDescent="0.35">
      <c r="D27" s="11" t="s">
        <v>2588</v>
      </c>
      <c r="E27" s="1" t="s">
        <v>2589</v>
      </c>
      <c r="F27" s="1" t="s">
        <v>2590</v>
      </c>
      <c r="G27" s="1" t="s">
        <v>1060</v>
      </c>
      <c r="H27" s="1" t="s">
        <v>1001</v>
      </c>
      <c r="I27" s="1" t="s">
        <v>2591</v>
      </c>
      <c r="J27" s="1" t="s">
        <v>2592</v>
      </c>
    </row>
    <row r="28" spans="4:11" x14ac:dyDescent="0.35">
      <c r="D28" s="9" t="s">
        <v>2545</v>
      </c>
      <c r="E28" s="1" t="s">
        <v>2546</v>
      </c>
      <c r="F28" t="s">
        <v>2547</v>
      </c>
      <c r="G28" s="1" t="s">
        <v>1060</v>
      </c>
      <c r="H28" s="1" t="s">
        <v>327</v>
      </c>
      <c r="I28" s="1" t="s">
        <v>1893</v>
      </c>
    </row>
    <row r="29" spans="4:11" x14ac:dyDescent="0.35">
      <c r="D29" s="11" t="s">
        <v>2568</v>
      </c>
      <c r="E29" s="1" t="s">
        <v>2565</v>
      </c>
      <c r="F29" t="s">
        <v>2566</v>
      </c>
      <c r="G29" s="1" t="s">
        <v>1060</v>
      </c>
      <c r="H29" s="1" t="s">
        <v>327</v>
      </c>
      <c r="I29" s="1" t="s">
        <v>2567</v>
      </c>
    </row>
    <row r="30" spans="4:11" x14ac:dyDescent="0.35">
      <c r="D30" s="11" t="s">
        <v>2548</v>
      </c>
      <c r="E30" s="1" t="s">
        <v>2549</v>
      </c>
      <c r="F30" t="s">
        <v>2550</v>
      </c>
      <c r="G30" s="1" t="s">
        <v>1060</v>
      </c>
      <c r="H30" s="1" t="s">
        <v>1001</v>
      </c>
      <c r="I30" s="1" t="s">
        <v>2551</v>
      </c>
      <c r="J30" s="1" t="s">
        <v>2552</v>
      </c>
    </row>
    <row r="31" spans="4:11" x14ac:dyDescent="0.35">
      <c r="D31" s="11" t="s">
        <v>2553</v>
      </c>
      <c r="E31" s="1" t="s">
        <v>2554</v>
      </c>
      <c r="F31" t="s">
        <v>2555</v>
      </c>
      <c r="G31" s="1" t="s">
        <v>1060</v>
      </c>
      <c r="H31" s="1" t="s">
        <v>1001</v>
      </c>
      <c r="I31" s="1" t="s">
        <v>2556</v>
      </c>
      <c r="J31" s="1" t="s">
        <v>2557</v>
      </c>
    </row>
    <row r="32" spans="4:11" x14ac:dyDescent="0.35">
      <c r="D32" s="9" t="s">
        <v>2558</v>
      </c>
      <c r="E32" s="1" t="s">
        <v>2559</v>
      </c>
      <c r="F32" t="s">
        <v>2560</v>
      </c>
      <c r="G32" s="1" t="s">
        <v>1060</v>
      </c>
      <c r="H32" s="1" t="s">
        <v>327</v>
      </c>
      <c r="K32" s="1" t="s">
        <v>2586</v>
      </c>
    </row>
    <row r="33" spans="4:11" x14ac:dyDescent="0.35">
      <c r="D33" s="11" t="s">
        <v>2561</v>
      </c>
      <c r="E33" s="1" t="s">
        <v>2562</v>
      </c>
      <c r="F33" t="s">
        <v>2563</v>
      </c>
      <c r="G33" s="1" t="s">
        <v>1060</v>
      </c>
      <c r="H33" s="1" t="s">
        <v>327</v>
      </c>
      <c r="I33" s="1" t="s">
        <v>2564</v>
      </c>
    </row>
    <row r="34" spans="4:11" x14ac:dyDescent="0.35">
      <c r="D34" s="11" t="s">
        <v>2593</v>
      </c>
      <c r="E34" s="1" t="s">
        <v>2594</v>
      </c>
      <c r="F34" t="s">
        <v>2595</v>
      </c>
      <c r="G34" s="1" t="s">
        <v>1060</v>
      </c>
      <c r="H34" s="1" t="s">
        <v>327</v>
      </c>
      <c r="I34" s="1" t="s">
        <v>2596</v>
      </c>
    </row>
    <row r="35" spans="4:11" x14ac:dyDescent="0.35">
      <c r="D35" s="1" t="s">
        <v>291</v>
      </c>
      <c r="E35" s="1" t="s">
        <v>322</v>
      </c>
      <c r="F35" s="1" t="s">
        <v>323</v>
      </c>
      <c r="G35" s="1" t="s">
        <v>1059</v>
      </c>
      <c r="H35" s="1" t="s">
        <v>327</v>
      </c>
      <c r="I35" s="1" t="s">
        <v>1761</v>
      </c>
    </row>
    <row r="36" spans="4:11" x14ac:dyDescent="0.35">
      <c r="D36" s="9" t="s">
        <v>397</v>
      </c>
      <c r="E36" s="1" t="s">
        <v>398</v>
      </c>
      <c r="F36" s="1" t="s">
        <v>399</v>
      </c>
      <c r="G36" s="1" t="s">
        <v>1060</v>
      </c>
      <c r="H36" s="1" t="s">
        <v>327</v>
      </c>
      <c r="I36" s="1" t="s">
        <v>1762</v>
      </c>
    </row>
    <row r="37" spans="4:11" x14ac:dyDescent="0.35">
      <c r="D37" s="9" t="s">
        <v>1002</v>
      </c>
      <c r="E37" s="1" t="s">
        <v>1003</v>
      </c>
      <c r="F37" s="1" t="s">
        <v>1004</v>
      </c>
      <c r="G37" s="1" t="s">
        <v>1060</v>
      </c>
      <c r="H37" s="1" t="s">
        <v>327</v>
      </c>
      <c r="I37" s="1" t="s">
        <v>1763</v>
      </c>
    </row>
    <row r="38" spans="4:11" x14ac:dyDescent="0.35">
      <c r="D38" s="9" t="s">
        <v>1005</v>
      </c>
      <c r="E38" s="1" t="s">
        <v>1006</v>
      </c>
      <c r="F38" s="1" t="s">
        <v>1007</v>
      </c>
      <c r="G38" s="1" t="s">
        <v>1060</v>
      </c>
      <c r="H38" s="1" t="s">
        <v>327</v>
      </c>
      <c r="I38" s="1" t="s">
        <v>1764</v>
      </c>
    </row>
    <row r="39" spans="4:11" x14ac:dyDescent="0.35">
      <c r="D39" s="9" t="s">
        <v>1008</v>
      </c>
      <c r="E39" s="1" t="s">
        <v>1009</v>
      </c>
      <c r="F39" s="1" t="s">
        <v>1010</v>
      </c>
      <c r="G39" s="1" t="s">
        <v>1060</v>
      </c>
      <c r="H39" s="1" t="s">
        <v>1001</v>
      </c>
      <c r="I39" s="1" t="s">
        <v>1765</v>
      </c>
      <c r="J39" s="1" t="s">
        <v>1651</v>
      </c>
    </row>
    <row r="40" spans="4:11" x14ac:dyDescent="0.35">
      <c r="D40" s="9" t="s">
        <v>641</v>
      </c>
      <c r="E40" s="1" t="s">
        <v>642</v>
      </c>
      <c r="F40" s="1" t="s">
        <v>643</v>
      </c>
      <c r="G40" s="1" t="s">
        <v>1060</v>
      </c>
      <c r="H40" s="1" t="s">
        <v>327</v>
      </c>
      <c r="I40" s="1" t="s">
        <v>1766</v>
      </c>
    </row>
    <row r="41" spans="4:11" x14ac:dyDescent="0.35">
      <c r="D41" s="9" t="s">
        <v>631</v>
      </c>
      <c r="E41" s="1" t="s">
        <v>632</v>
      </c>
      <c r="F41" s="1" t="s">
        <v>633</v>
      </c>
      <c r="G41" s="1" t="s">
        <v>1060</v>
      </c>
      <c r="H41" s="1" t="s">
        <v>327</v>
      </c>
      <c r="I41" s="1" t="s">
        <v>1630</v>
      </c>
    </row>
    <row r="42" spans="4:11" x14ac:dyDescent="0.35">
      <c r="D42" s="9" t="s">
        <v>1011</v>
      </c>
      <c r="E42" s="1" t="s">
        <v>1012</v>
      </c>
      <c r="F42" s="1" t="s">
        <v>1013</v>
      </c>
      <c r="G42" s="1" t="s">
        <v>1060</v>
      </c>
      <c r="H42" s="1" t="s">
        <v>1014</v>
      </c>
      <c r="I42" s="1" t="s">
        <v>1765</v>
      </c>
      <c r="J42" s="1" t="s">
        <v>1767</v>
      </c>
      <c r="K42" s="1" t="s">
        <v>1768</v>
      </c>
    </row>
    <row r="43" spans="4:11" x14ac:dyDescent="0.35">
      <c r="D43" s="9" t="s">
        <v>1015</v>
      </c>
      <c r="E43" s="1" t="s">
        <v>1016</v>
      </c>
      <c r="F43" s="1" t="s">
        <v>1017</v>
      </c>
      <c r="G43" s="1" t="s">
        <v>1060</v>
      </c>
      <c r="H43" s="1" t="s">
        <v>1014</v>
      </c>
      <c r="I43" s="1" t="s">
        <v>1769</v>
      </c>
      <c r="J43" s="1" t="s">
        <v>1767</v>
      </c>
      <c r="K43" s="1" t="s">
        <v>1770</v>
      </c>
    </row>
    <row r="44" spans="4:11" x14ac:dyDescent="0.35">
      <c r="D44" s="9" t="s">
        <v>1018</v>
      </c>
      <c r="E44" s="1" t="s">
        <v>1019</v>
      </c>
      <c r="F44" s="1" t="s">
        <v>1020</v>
      </c>
      <c r="G44" s="1" t="s">
        <v>1060</v>
      </c>
      <c r="H44" s="1" t="s">
        <v>327</v>
      </c>
      <c r="I44" s="1" t="s">
        <v>1771</v>
      </c>
    </row>
    <row r="45" spans="4:11" x14ac:dyDescent="0.35">
      <c r="D45" s="9" t="s">
        <v>1021</v>
      </c>
      <c r="E45" s="1" t="s">
        <v>1022</v>
      </c>
      <c r="F45" s="1" t="s">
        <v>1023</v>
      </c>
      <c r="G45" s="1" t="s">
        <v>1060</v>
      </c>
      <c r="H45" s="1" t="s">
        <v>327</v>
      </c>
      <c r="I45" s="1" t="s">
        <v>426</v>
      </c>
    </row>
    <row r="46" spans="4:11" x14ac:dyDescent="0.35">
      <c r="D46" s="9" t="s">
        <v>638</v>
      </c>
      <c r="E46" s="1" t="s">
        <v>639</v>
      </c>
      <c r="F46" s="1" t="s">
        <v>640</v>
      </c>
      <c r="G46" s="1" t="s">
        <v>1060</v>
      </c>
      <c r="H46" s="1" t="s">
        <v>327</v>
      </c>
      <c r="I46" s="1" t="s">
        <v>1772</v>
      </c>
    </row>
    <row r="47" spans="4:11" x14ac:dyDescent="0.35">
      <c r="D47" s="9" t="s">
        <v>1024</v>
      </c>
      <c r="E47" s="1" t="s">
        <v>1025</v>
      </c>
      <c r="F47" s="1" t="s">
        <v>1026</v>
      </c>
      <c r="G47" s="1" t="s">
        <v>1060</v>
      </c>
      <c r="H47" s="1" t="s">
        <v>1014</v>
      </c>
      <c r="I47" s="1" t="s">
        <v>1773</v>
      </c>
      <c r="J47" s="1" t="s">
        <v>1767</v>
      </c>
      <c r="K47" s="1" t="s">
        <v>1774</v>
      </c>
    </row>
    <row r="48" spans="4:11" x14ac:dyDescent="0.35">
      <c r="D48" s="9" t="s">
        <v>1027</v>
      </c>
      <c r="E48" s="1" t="s">
        <v>1028</v>
      </c>
      <c r="F48" s="1" t="s">
        <v>1029</v>
      </c>
      <c r="G48" s="1" t="s">
        <v>1060</v>
      </c>
      <c r="H48" s="1" t="s">
        <v>327</v>
      </c>
      <c r="I48" s="1" t="s">
        <v>1775</v>
      </c>
    </row>
    <row r="49" spans="4:11" x14ac:dyDescent="0.35">
      <c r="D49" s="1" t="s">
        <v>986</v>
      </c>
      <c r="E49" s="1" t="s">
        <v>987</v>
      </c>
      <c r="F49" s="1" t="s">
        <v>988</v>
      </c>
      <c r="G49" s="1" t="s">
        <v>1059</v>
      </c>
      <c r="H49" s="1" t="s">
        <v>327</v>
      </c>
      <c r="I49" s="1" t="s">
        <v>1777</v>
      </c>
    </row>
    <row r="50" spans="4:11" x14ac:dyDescent="0.35">
      <c r="D50" s="9" t="s">
        <v>989</v>
      </c>
      <c r="E50" s="1" t="s">
        <v>990</v>
      </c>
      <c r="F50" s="1" t="s">
        <v>991</v>
      </c>
      <c r="G50" s="1" t="s">
        <v>1059</v>
      </c>
      <c r="H50" s="1" t="s">
        <v>327</v>
      </c>
      <c r="I50" s="1" t="s">
        <v>1778</v>
      </c>
      <c r="J50" s="1" t="s">
        <v>1783</v>
      </c>
      <c r="K50" s="1" t="s">
        <v>1786</v>
      </c>
    </row>
    <row r="51" spans="4:11" x14ac:dyDescent="0.35">
      <c r="D51" s="9" t="s">
        <v>992</v>
      </c>
      <c r="E51" s="1" t="s">
        <v>993</v>
      </c>
      <c r="F51" s="1" t="s">
        <v>994</v>
      </c>
      <c r="G51" s="1" t="s">
        <v>1059</v>
      </c>
      <c r="H51" s="1" t="s">
        <v>327</v>
      </c>
      <c r="I51" s="1" t="s">
        <v>1779</v>
      </c>
      <c r="J51" s="1" t="s">
        <v>1784</v>
      </c>
      <c r="K51" s="1" t="s">
        <v>1786</v>
      </c>
    </row>
    <row r="52" spans="4:11" x14ac:dyDescent="0.35">
      <c r="D52" s="9" t="s">
        <v>995</v>
      </c>
      <c r="E52" s="1" t="s">
        <v>996</v>
      </c>
      <c r="F52" s="1" t="s">
        <v>997</v>
      </c>
      <c r="G52" s="1" t="s">
        <v>1059</v>
      </c>
      <c r="H52" s="1" t="s">
        <v>327</v>
      </c>
      <c r="I52" s="1" t="s">
        <v>1780</v>
      </c>
      <c r="J52" s="1" t="s">
        <v>1785</v>
      </c>
      <c r="K52" s="1" t="s">
        <v>1786</v>
      </c>
    </row>
    <row r="53" spans="4:11" x14ac:dyDescent="0.35">
      <c r="D53" s="9" t="s">
        <v>998</v>
      </c>
      <c r="E53" s="1" t="s">
        <v>999</v>
      </c>
      <c r="F53" s="1" t="s">
        <v>1000</v>
      </c>
      <c r="G53" s="1" t="s">
        <v>1059</v>
      </c>
      <c r="H53" s="1" t="s">
        <v>327</v>
      </c>
      <c r="I53" s="1" t="s">
        <v>1781</v>
      </c>
      <c r="J53" s="1" t="s">
        <v>1782</v>
      </c>
      <c r="K53" s="1" t="s">
        <v>1786</v>
      </c>
    </row>
    <row r="54" spans="4:11" x14ac:dyDescent="0.35">
      <c r="D54" s="10" t="s">
        <v>1067</v>
      </c>
      <c r="E54" s="1" t="s">
        <v>1067</v>
      </c>
      <c r="F54" s="1" t="s">
        <v>1068</v>
      </c>
      <c r="G54" s="1" t="s">
        <v>1061</v>
      </c>
      <c r="H54" s="1" t="s">
        <v>327</v>
      </c>
      <c r="I54" s="1" t="s">
        <v>1787</v>
      </c>
    </row>
    <row r="55" spans="4:11" x14ac:dyDescent="0.35">
      <c r="D55" s="9" t="s">
        <v>1069</v>
      </c>
      <c r="E55" s="1" t="s">
        <v>1070</v>
      </c>
      <c r="F55" s="1" t="s">
        <v>1073</v>
      </c>
      <c r="G55" s="1" t="s">
        <v>1060</v>
      </c>
      <c r="H55" s="1" t="s">
        <v>327</v>
      </c>
    </row>
    <row r="56" spans="4:11" x14ac:dyDescent="0.35">
      <c r="D56" s="9" t="s">
        <v>1071</v>
      </c>
      <c r="E56" s="1" t="s">
        <v>1072</v>
      </c>
      <c r="F56" s="1" t="s">
        <v>1073</v>
      </c>
      <c r="G56" s="1" t="s">
        <v>1060</v>
      </c>
      <c r="H56" s="1" t="s">
        <v>327</v>
      </c>
    </row>
    <row r="57" spans="4:11" x14ac:dyDescent="0.35">
      <c r="D57" s="9" t="s">
        <v>1074</v>
      </c>
      <c r="E57" s="1" t="s">
        <v>1077</v>
      </c>
      <c r="F57" s="1" t="s">
        <v>1073</v>
      </c>
      <c r="G57" s="1" t="s">
        <v>1060</v>
      </c>
      <c r="H57" s="1" t="s">
        <v>327</v>
      </c>
    </row>
    <row r="58" spans="4:11" x14ac:dyDescent="0.35">
      <c r="D58" s="9" t="s">
        <v>1075</v>
      </c>
      <c r="E58" s="1" t="s">
        <v>1076</v>
      </c>
      <c r="F58" s="1" t="s">
        <v>1073</v>
      </c>
      <c r="G58" s="1" t="s">
        <v>1060</v>
      </c>
      <c r="H58" s="1" t="s">
        <v>327</v>
      </c>
    </row>
    <row r="59" spans="4:11" x14ac:dyDescent="0.35">
      <c r="D59" s="1" t="s">
        <v>1098</v>
      </c>
      <c r="E59" s="1" t="s">
        <v>1099</v>
      </c>
      <c r="F59" s="1" t="s">
        <v>1100</v>
      </c>
      <c r="G59" s="1" t="s">
        <v>1061</v>
      </c>
      <c r="H59" s="1" t="s">
        <v>327</v>
      </c>
      <c r="I59" s="1" t="s">
        <v>1788</v>
      </c>
    </row>
    <row r="60" spans="4:11" x14ac:dyDescent="0.35">
      <c r="D60" s="9" t="s">
        <v>1101</v>
      </c>
      <c r="E60" s="1" t="s">
        <v>1102</v>
      </c>
      <c r="F60" s="1" t="s">
        <v>1103</v>
      </c>
      <c r="G60" s="1" t="s">
        <v>1060</v>
      </c>
      <c r="H60" s="1" t="s">
        <v>327</v>
      </c>
      <c r="I60" s="1" t="s">
        <v>1789</v>
      </c>
      <c r="K60" s="1" t="s">
        <v>1790</v>
      </c>
    </row>
    <row r="61" spans="4:11" x14ac:dyDescent="0.35">
      <c r="D61" s="9" t="s">
        <v>1791</v>
      </c>
      <c r="E61" s="1" t="s">
        <v>1104</v>
      </c>
      <c r="F61" s="1" t="s">
        <v>1105</v>
      </c>
      <c r="G61" s="1" t="s">
        <v>1060</v>
      </c>
      <c r="H61" s="1" t="s">
        <v>327</v>
      </c>
      <c r="I61" s="1" t="s">
        <v>1788</v>
      </c>
    </row>
    <row r="62" spans="4:11" x14ac:dyDescent="0.35">
      <c r="D62" s="9" t="s">
        <v>1106</v>
      </c>
      <c r="E62" s="1" t="s">
        <v>1107</v>
      </c>
      <c r="F62" s="1" t="s">
        <v>1108</v>
      </c>
      <c r="G62" s="1" t="s">
        <v>1060</v>
      </c>
      <c r="H62" s="1" t="s">
        <v>327</v>
      </c>
      <c r="I62" s="1" t="s">
        <v>1792</v>
      </c>
    </row>
    <row r="63" spans="4:11" x14ac:dyDescent="0.35">
      <c r="D63" s="9" t="s">
        <v>1109</v>
      </c>
      <c r="E63" s="1" t="s">
        <v>1110</v>
      </c>
      <c r="F63" s="1" t="s">
        <v>1111</v>
      </c>
      <c r="G63" s="1" t="s">
        <v>1060</v>
      </c>
      <c r="H63" s="1" t="s">
        <v>327</v>
      </c>
      <c r="I63" s="1" t="s">
        <v>1793</v>
      </c>
    </row>
    <row r="64" spans="4:11" x14ac:dyDescent="0.35">
      <c r="D64" s="9" t="s">
        <v>1112</v>
      </c>
      <c r="E64" s="1" t="s">
        <v>1113</v>
      </c>
      <c r="F64" s="1" t="s">
        <v>1114</v>
      </c>
      <c r="G64" s="1" t="s">
        <v>1060</v>
      </c>
      <c r="H64" s="1" t="s">
        <v>327</v>
      </c>
      <c r="I64" s="1" t="s">
        <v>1793</v>
      </c>
    </row>
    <row r="65" spans="4:11" x14ac:dyDescent="0.35">
      <c r="D65" s="10" t="s">
        <v>1220</v>
      </c>
      <c r="E65" s="1" t="s">
        <v>1221</v>
      </c>
      <c r="F65" s="1" t="s">
        <v>1222</v>
      </c>
      <c r="G65" s="1" t="s">
        <v>1059</v>
      </c>
      <c r="H65" s="1" t="s">
        <v>327</v>
      </c>
      <c r="I65" s="1" t="s">
        <v>1777</v>
      </c>
      <c r="K65" s="1" t="s">
        <v>1796</v>
      </c>
    </row>
    <row r="66" spans="4:11" x14ac:dyDescent="0.35">
      <c r="D66" s="9" t="s">
        <v>1223</v>
      </c>
      <c r="E66" s="1" t="s">
        <v>1224</v>
      </c>
      <c r="G66" s="1" t="s">
        <v>1061</v>
      </c>
      <c r="H66" s="1" t="s">
        <v>1309</v>
      </c>
      <c r="I66" s="1" t="s">
        <v>1794</v>
      </c>
      <c r="J66" s="1" t="s">
        <v>1777</v>
      </c>
      <c r="K66" s="1" t="s">
        <v>1795</v>
      </c>
    </row>
    <row r="67" spans="4:11" x14ac:dyDescent="0.35">
      <c r="D67" s="9" t="s">
        <v>1227</v>
      </c>
      <c r="E67" s="1" t="s">
        <v>1228</v>
      </c>
      <c r="G67" s="1" t="s">
        <v>1060</v>
      </c>
      <c r="H67" s="1" t="s">
        <v>1001</v>
      </c>
    </row>
    <row r="68" spans="4:11" x14ac:dyDescent="0.35">
      <c r="D68" s="1" t="s">
        <v>1030</v>
      </c>
      <c r="E68" s="1" t="s">
        <v>634</v>
      </c>
      <c r="F68" s="1" t="s">
        <v>635</v>
      </c>
      <c r="G68" s="1" t="s">
        <v>1059</v>
      </c>
      <c r="H68" s="1" t="s">
        <v>327</v>
      </c>
      <c r="I68" s="1" t="s">
        <v>1797</v>
      </c>
      <c r="K68" s="1" t="s">
        <v>1798</v>
      </c>
    </row>
    <row r="69" spans="4:11" x14ac:dyDescent="0.35">
      <c r="D69" s="9" t="s">
        <v>1034</v>
      </c>
      <c r="E69" s="1" t="s">
        <v>637</v>
      </c>
      <c r="F69" s="1" t="s">
        <v>1033</v>
      </c>
      <c r="G69" s="1" t="s">
        <v>1060</v>
      </c>
      <c r="H69" s="1" t="s">
        <v>1001</v>
      </c>
    </row>
    <row r="70" spans="4:11" x14ac:dyDescent="0.35">
      <c r="D70" s="9" t="s">
        <v>1035</v>
      </c>
      <c r="E70" s="1" t="s">
        <v>1031</v>
      </c>
      <c r="F70" s="1" t="s">
        <v>1032</v>
      </c>
      <c r="G70" s="1" t="s">
        <v>1060</v>
      </c>
      <c r="H70" s="1" t="s">
        <v>1001</v>
      </c>
    </row>
    <row r="71" spans="4:11" x14ac:dyDescent="0.35">
      <c r="D71" s="9" t="s">
        <v>1042</v>
      </c>
      <c r="E71" s="1" t="s">
        <v>1043</v>
      </c>
      <c r="F71" s="1" t="s">
        <v>1044</v>
      </c>
      <c r="G71" s="1" t="s">
        <v>1060</v>
      </c>
      <c r="H71" s="1" t="s">
        <v>1001</v>
      </c>
    </row>
    <row r="72" spans="4:11" x14ac:dyDescent="0.35">
      <c r="D72" s="9" t="s">
        <v>1036</v>
      </c>
      <c r="E72" s="1" t="s">
        <v>1037</v>
      </c>
      <c r="F72" s="1" t="s">
        <v>1038</v>
      </c>
      <c r="G72" s="1" t="s">
        <v>1060</v>
      </c>
      <c r="H72" s="1" t="s">
        <v>1001</v>
      </c>
    </row>
    <row r="73" spans="4:11" x14ac:dyDescent="0.35">
      <c r="D73" s="9" t="s">
        <v>1039</v>
      </c>
      <c r="E73" s="1" t="s">
        <v>1040</v>
      </c>
      <c r="F73" s="1" t="s">
        <v>1041</v>
      </c>
      <c r="G73" s="1" t="s">
        <v>1060</v>
      </c>
      <c r="H73" s="1" t="s">
        <v>1001</v>
      </c>
    </row>
    <row r="74" spans="4:11" x14ac:dyDescent="0.35">
      <c r="D74" s="9" t="s">
        <v>1045</v>
      </c>
      <c r="E74" s="1" t="s">
        <v>1046</v>
      </c>
      <c r="F74" s="1" t="s">
        <v>1047</v>
      </c>
      <c r="G74" s="1" t="s">
        <v>1060</v>
      </c>
      <c r="H74" s="1" t="s">
        <v>327</v>
      </c>
    </row>
    <row r="75" spans="4:11" x14ac:dyDescent="0.35">
      <c r="D75" s="1" t="s">
        <v>269</v>
      </c>
      <c r="E75" s="1" t="s">
        <v>1053</v>
      </c>
      <c r="F75" s="1" t="s">
        <v>1057</v>
      </c>
      <c r="G75" s="1" t="s">
        <v>1063</v>
      </c>
      <c r="H75" s="1" t="s">
        <v>327</v>
      </c>
      <c r="I75" s="1" t="s">
        <v>1800</v>
      </c>
      <c r="K75" s="1" t="s">
        <v>1801</v>
      </c>
    </row>
    <row r="76" spans="4:11" x14ac:dyDescent="0.35">
      <c r="D76" s="9" t="s">
        <v>1232</v>
      </c>
      <c r="E76" s="1" t="s">
        <v>1233</v>
      </c>
      <c r="G76" s="1" t="s">
        <v>1063</v>
      </c>
      <c r="H76" s="1" t="s">
        <v>1309</v>
      </c>
      <c r="I76" s="1" t="s">
        <v>1799</v>
      </c>
      <c r="J76" s="1" t="s">
        <v>1800</v>
      </c>
      <c r="K76" s="1" t="s">
        <v>1802</v>
      </c>
    </row>
    <row r="77" spans="4:11" x14ac:dyDescent="0.35">
      <c r="D77" s="1" t="s">
        <v>400</v>
      </c>
      <c r="E77" s="1" t="s">
        <v>401</v>
      </c>
      <c r="F77" s="1" t="s">
        <v>402</v>
      </c>
      <c r="G77" s="1" t="s">
        <v>1062</v>
      </c>
      <c r="H77" s="1" t="s">
        <v>327</v>
      </c>
      <c r="I77" s="1" t="s">
        <v>1803</v>
      </c>
    </row>
    <row r="78" spans="4:11" x14ac:dyDescent="0.35">
      <c r="D78" s="9" t="s">
        <v>3360</v>
      </c>
      <c r="E78" s="1" t="s">
        <v>3361</v>
      </c>
      <c r="F78" s="1" t="s">
        <v>3362</v>
      </c>
      <c r="G78" s="1" t="s">
        <v>1062</v>
      </c>
      <c r="H78" s="1" t="s">
        <v>327</v>
      </c>
      <c r="I78" s="1" t="s">
        <v>3363</v>
      </c>
    </row>
    <row r="79" spans="4:11" x14ac:dyDescent="0.35">
      <c r="D79" s="9" t="s">
        <v>1316</v>
      </c>
      <c r="E79" s="1" t="s">
        <v>1317</v>
      </c>
      <c r="G79" s="1" t="s">
        <v>1062</v>
      </c>
      <c r="H79" s="1" t="s">
        <v>1309</v>
      </c>
      <c r="I79" s="1" t="s">
        <v>1804</v>
      </c>
      <c r="J79" s="1" t="s">
        <v>1805</v>
      </c>
      <c r="K79" s="1" t="s">
        <v>1806</v>
      </c>
    </row>
    <row r="80" spans="4:11" x14ac:dyDescent="0.35">
      <c r="D80" s="11" t="s">
        <v>1318</v>
      </c>
      <c r="E80" s="1" t="s">
        <v>1319</v>
      </c>
      <c r="G80" s="1" t="s">
        <v>1060</v>
      </c>
      <c r="H80" s="1" t="s">
        <v>1309</v>
      </c>
      <c r="I80" s="1" t="s">
        <v>1807</v>
      </c>
      <c r="J80" s="1" t="s">
        <v>1805</v>
      </c>
      <c r="K80" s="1" t="s">
        <v>1808</v>
      </c>
    </row>
    <row r="81" spans="4:11" x14ac:dyDescent="0.35">
      <c r="D81" s="9" t="s">
        <v>3204</v>
      </c>
      <c r="E81" s="1" t="s">
        <v>3205</v>
      </c>
      <c r="F81" s="1" t="s">
        <v>3206</v>
      </c>
      <c r="G81" s="1" t="s">
        <v>1062</v>
      </c>
      <c r="H81" s="1" t="s">
        <v>327</v>
      </c>
      <c r="I81" s="1" t="s">
        <v>1278</v>
      </c>
    </row>
    <row r="82" spans="4:11" x14ac:dyDescent="0.35">
      <c r="D82" s="1" t="s">
        <v>403</v>
      </c>
      <c r="E82" s="1" t="s">
        <v>404</v>
      </c>
      <c r="F82" s="1" t="s">
        <v>405</v>
      </c>
      <c r="G82" s="1" t="s">
        <v>1062</v>
      </c>
      <c r="H82" s="1" t="s">
        <v>327</v>
      </c>
      <c r="I82" s="1" t="s">
        <v>1810</v>
      </c>
    </row>
    <row r="83" spans="4:11" x14ac:dyDescent="0.35">
      <c r="D83" s="9" t="s">
        <v>1324</v>
      </c>
      <c r="E83" s="1" t="s">
        <v>1325</v>
      </c>
      <c r="G83" s="1" t="s">
        <v>1062</v>
      </c>
      <c r="H83" s="1" t="s">
        <v>1309</v>
      </c>
      <c r="J83" s="1" t="s">
        <v>1805</v>
      </c>
      <c r="K83" s="1" t="s">
        <v>1806</v>
      </c>
    </row>
    <row r="84" spans="4:11" x14ac:dyDescent="0.35">
      <c r="D84" s="9" t="s">
        <v>409</v>
      </c>
      <c r="E84" s="1" t="s">
        <v>410</v>
      </c>
      <c r="F84" s="1" t="s">
        <v>411</v>
      </c>
      <c r="G84" s="1" t="s">
        <v>1062</v>
      </c>
      <c r="H84" s="1" t="s">
        <v>327</v>
      </c>
      <c r="I84" s="1" t="s">
        <v>1805</v>
      </c>
      <c r="K84" s="1" t="s">
        <v>1811</v>
      </c>
    </row>
    <row r="85" spans="4:11" x14ac:dyDescent="0.35">
      <c r="D85" s="11" t="s">
        <v>1217</v>
      </c>
      <c r="E85" s="1" t="s">
        <v>1320</v>
      </c>
      <c r="F85" s="1" t="s">
        <v>1218</v>
      </c>
      <c r="G85" s="1" t="s">
        <v>1060</v>
      </c>
      <c r="H85" s="1" t="s">
        <v>327</v>
      </c>
      <c r="I85" s="1" t="s">
        <v>1805</v>
      </c>
      <c r="K85" s="1" t="s">
        <v>1809</v>
      </c>
    </row>
    <row r="86" spans="4:11" x14ac:dyDescent="0.35">
      <c r="D86" s="11" t="s">
        <v>3419</v>
      </c>
      <c r="E86" s="1" t="s">
        <v>3420</v>
      </c>
      <c r="G86" s="1" t="s">
        <v>1060</v>
      </c>
      <c r="H86" s="1" t="s">
        <v>1309</v>
      </c>
      <c r="I86" s="1" t="s">
        <v>1805</v>
      </c>
      <c r="J86" s="1" t="s">
        <v>1236</v>
      </c>
      <c r="K86" s="1" t="s">
        <v>3421</v>
      </c>
    </row>
    <row r="87" spans="4:11" x14ac:dyDescent="0.35">
      <c r="D87" s="11" t="s">
        <v>1049</v>
      </c>
      <c r="E87" s="1" t="s">
        <v>1321</v>
      </c>
      <c r="F87" s="1" t="s">
        <v>1048</v>
      </c>
      <c r="G87" s="1" t="s">
        <v>1060</v>
      </c>
      <c r="H87" s="1" t="s">
        <v>327</v>
      </c>
      <c r="I87" s="1" t="s">
        <v>1805</v>
      </c>
      <c r="K87" s="1" t="s">
        <v>1814</v>
      </c>
    </row>
    <row r="88" spans="4:11" x14ac:dyDescent="0.35">
      <c r="D88" s="11" t="s">
        <v>3425</v>
      </c>
      <c r="E88" s="1" t="s">
        <v>3426</v>
      </c>
      <c r="G88" s="1" t="s">
        <v>1060</v>
      </c>
      <c r="H88" s="1" t="s">
        <v>1309</v>
      </c>
      <c r="I88" s="1" t="s">
        <v>1805</v>
      </c>
      <c r="J88" s="1" t="s">
        <v>1236</v>
      </c>
      <c r="K88" s="1" t="s">
        <v>3427</v>
      </c>
    </row>
    <row r="89" spans="4:11" x14ac:dyDescent="0.35">
      <c r="D89" s="11" t="s">
        <v>1050</v>
      </c>
      <c r="E89" s="1" t="s">
        <v>1322</v>
      </c>
      <c r="F89" s="1" t="s">
        <v>1051</v>
      </c>
      <c r="G89" s="1" t="s">
        <v>1060</v>
      </c>
      <c r="H89" s="1" t="s">
        <v>327</v>
      </c>
      <c r="I89" s="1" t="s">
        <v>1813</v>
      </c>
      <c r="K89" s="1" t="s">
        <v>1815</v>
      </c>
    </row>
    <row r="90" spans="4:11" x14ac:dyDescent="0.35">
      <c r="D90" s="11" t="s">
        <v>3428</v>
      </c>
      <c r="E90" s="1" t="s">
        <v>3429</v>
      </c>
      <c r="G90" s="1" t="s">
        <v>1060</v>
      </c>
      <c r="H90" s="1" t="s">
        <v>1309</v>
      </c>
      <c r="I90" s="1" t="s">
        <v>1777</v>
      </c>
      <c r="J90" s="1" t="s">
        <v>1236</v>
      </c>
      <c r="K90" s="1" t="s">
        <v>3430</v>
      </c>
    </row>
    <row r="91" spans="4:11" x14ac:dyDescent="0.35">
      <c r="D91" s="11" t="s">
        <v>3422</v>
      </c>
      <c r="E91" s="1" t="s">
        <v>3423</v>
      </c>
      <c r="F91" s="1" t="s">
        <v>3424</v>
      </c>
      <c r="G91" s="1" t="s">
        <v>1060</v>
      </c>
      <c r="H91" s="1" t="s">
        <v>327</v>
      </c>
      <c r="I91" s="1" t="s">
        <v>1236</v>
      </c>
      <c r="K91" s="1" t="s">
        <v>3431</v>
      </c>
    </row>
    <row r="92" spans="4:11" x14ac:dyDescent="0.35">
      <c r="D92" s="11" t="s">
        <v>1097</v>
      </c>
      <c r="E92" s="1" t="s">
        <v>1323</v>
      </c>
      <c r="F92" s="1" t="s">
        <v>1052</v>
      </c>
      <c r="G92" s="1" t="s">
        <v>1060</v>
      </c>
      <c r="H92" s="1" t="s">
        <v>327</v>
      </c>
      <c r="I92" s="1" t="s">
        <v>1816</v>
      </c>
    </row>
    <row r="93" spans="4:11" x14ac:dyDescent="0.35">
      <c r="D93" s="1" t="s">
        <v>406</v>
      </c>
      <c r="E93" s="1" t="s">
        <v>407</v>
      </c>
      <c r="F93" s="1" t="s">
        <v>408</v>
      </c>
      <c r="G93" s="1" t="s">
        <v>1062</v>
      </c>
      <c r="H93" s="1" t="s">
        <v>327</v>
      </c>
      <c r="I93" s="1" t="s">
        <v>1817</v>
      </c>
    </row>
    <row r="94" spans="4:11" x14ac:dyDescent="0.35">
      <c r="D94" s="9" t="s">
        <v>1226</v>
      </c>
      <c r="E94" s="1" t="s">
        <v>1225</v>
      </c>
      <c r="G94" s="1" t="s">
        <v>1062</v>
      </c>
      <c r="H94" s="1" t="s">
        <v>1309</v>
      </c>
      <c r="I94" s="1" t="s">
        <v>1818</v>
      </c>
      <c r="J94" s="1" t="s">
        <v>1235</v>
      </c>
      <c r="K94" s="1" t="s">
        <v>1819</v>
      </c>
    </row>
    <row r="95" spans="4:11" x14ac:dyDescent="0.35">
      <c r="D95" s="11" t="s">
        <v>3491</v>
      </c>
      <c r="E95" s="1" t="s">
        <v>3489</v>
      </c>
      <c r="G95" s="1" t="s">
        <v>1060</v>
      </c>
      <c r="H95" s="1" t="s">
        <v>1309</v>
      </c>
      <c r="I95" s="1" t="s">
        <v>1812</v>
      </c>
      <c r="J95" s="1" t="s">
        <v>1278</v>
      </c>
      <c r="K95" s="1" t="s">
        <v>3490</v>
      </c>
    </row>
    <row r="96" spans="4:11" x14ac:dyDescent="0.35">
      <c r="D96" s="11" t="s">
        <v>3487</v>
      </c>
      <c r="E96" s="1" t="s">
        <v>3488</v>
      </c>
      <c r="G96" s="1" t="s">
        <v>1060</v>
      </c>
      <c r="H96" s="1" t="s">
        <v>3580</v>
      </c>
      <c r="I96" s="1" t="s">
        <v>1821</v>
      </c>
      <c r="J96" s="1" t="s">
        <v>1822</v>
      </c>
      <c r="K96" s="1" t="s">
        <v>3492</v>
      </c>
    </row>
    <row r="97" spans="4:11" x14ac:dyDescent="0.35">
      <c r="D97" s="11" t="s">
        <v>3477</v>
      </c>
      <c r="E97" s="1" t="s">
        <v>3486</v>
      </c>
      <c r="G97" s="1" t="s">
        <v>1060</v>
      </c>
      <c r="H97" s="1" t="s">
        <v>3580</v>
      </c>
      <c r="I97" s="1" t="s">
        <v>1823</v>
      </c>
      <c r="J97" s="1" t="s">
        <v>1824</v>
      </c>
    </row>
    <row r="98" spans="4:11" x14ac:dyDescent="0.35">
      <c r="D98" s="11" t="s">
        <v>3176</v>
      </c>
      <c r="E98" s="1" t="s">
        <v>3177</v>
      </c>
      <c r="G98" s="1" t="s">
        <v>1060</v>
      </c>
      <c r="H98" s="1" t="s">
        <v>3580</v>
      </c>
      <c r="I98" s="1" t="s">
        <v>1825</v>
      </c>
      <c r="J98" s="1" t="s">
        <v>1826</v>
      </c>
    </row>
    <row r="99" spans="4:11" x14ac:dyDescent="0.35">
      <c r="D99" s="11" t="s">
        <v>3185</v>
      </c>
      <c r="E99" s="1" t="s">
        <v>3184</v>
      </c>
      <c r="G99" s="1" t="s">
        <v>1060</v>
      </c>
      <c r="H99" s="1" t="s">
        <v>3580</v>
      </c>
      <c r="I99" s="1" t="s">
        <v>1827</v>
      </c>
      <c r="J99" s="1" t="s">
        <v>1828</v>
      </c>
    </row>
    <row r="100" spans="4:11" x14ac:dyDescent="0.35">
      <c r="D100" s="11" t="s">
        <v>3478</v>
      </c>
      <c r="E100" s="1" t="s">
        <v>3479</v>
      </c>
      <c r="G100" s="1" t="s">
        <v>1060</v>
      </c>
      <c r="H100" s="1" t="s">
        <v>1309</v>
      </c>
      <c r="I100" s="1" t="s">
        <v>1829</v>
      </c>
      <c r="J100" s="1" t="s">
        <v>1235</v>
      </c>
      <c r="K100" s="1" t="s">
        <v>3493</v>
      </c>
    </row>
    <row r="101" spans="4:11" x14ac:dyDescent="0.35">
      <c r="D101" s="11" t="s">
        <v>3537</v>
      </c>
      <c r="E101" s="1" t="s">
        <v>3547</v>
      </c>
      <c r="G101" s="1" t="s">
        <v>1060</v>
      </c>
      <c r="H101" s="1" t="s">
        <v>1309</v>
      </c>
      <c r="I101" s="1" t="s">
        <v>3542</v>
      </c>
      <c r="J101" s="1" t="s">
        <v>1804</v>
      </c>
      <c r="K101" s="1" t="s">
        <v>3543</v>
      </c>
    </row>
    <row r="102" spans="4:11" x14ac:dyDescent="0.35">
      <c r="D102" s="11" t="s">
        <v>3538</v>
      </c>
      <c r="E102" s="1" t="s">
        <v>3544</v>
      </c>
      <c r="G102" s="1" t="s">
        <v>1060</v>
      </c>
      <c r="H102" s="1" t="s">
        <v>3580</v>
      </c>
      <c r="I102" s="1" t="s">
        <v>1807</v>
      </c>
      <c r="J102" s="1" t="s">
        <v>3498</v>
      </c>
      <c r="K102" s="1" t="s">
        <v>3536</v>
      </c>
    </row>
    <row r="103" spans="4:11" x14ac:dyDescent="0.35">
      <c r="D103" s="11" t="s">
        <v>3539</v>
      </c>
      <c r="E103" s="1" t="s">
        <v>3545</v>
      </c>
      <c r="G103" s="1" t="s">
        <v>1060</v>
      </c>
      <c r="H103" s="1" t="s">
        <v>3580</v>
      </c>
      <c r="I103" s="1" t="s">
        <v>1133</v>
      </c>
      <c r="J103" s="1" t="s">
        <v>1277</v>
      </c>
    </row>
    <row r="104" spans="4:11" x14ac:dyDescent="0.35">
      <c r="D104" s="11" t="s">
        <v>3540</v>
      </c>
      <c r="E104" s="1" t="s">
        <v>3546</v>
      </c>
      <c r="G104" s="1" t="s">
        <v>1060</v>
      </c>
      <c r="H104" s="1" t="s">
        <v>3580</v>
      </c>
      <c r="I104" s="1" t="s">
        <v>1812</v>
      </c>
      <c r="J104" s="1" t="s">
        <v>1278</v>
      </c>
    </row>
    <row r="105" spans="4:11" x14ac:dyDescent="0.35">
      <c r="D105" s="11" t="s">
        <v>3541</v>
      </c>
      <c r="E105" s="1" t="s">
        <v>3548</v>
      </c>
      <c r="G105" s="1" t="s">
        <v>1060</v>
      </c>
      <c r="H105" s="1" t="s">
        <v>3580</v>
      </c>
      <c r="I105" s="1" t="s">
        <v>1821</v>
      </c>
      <c r="J105" s="1" t="s">
        <v>1822</v>
      </c>
    </row>
    <row r="106" spans="4:11" x14ac:dyDescent="0.35">
      <c r="D106" s="11" t="s">
        <v>3118</v>
      </c>
      <c r="E106" s="1" t="s">
        <v>3548</v>
      </c>
      <c r="G106" s="1" t="s">
        <v>1060</v>
      </c>
      <c r="H106" s="1" t="s">
        <v>1309</v>
      </c>
      <c r="I106" s="1" t="s">
        <v>1823</v>
      </c>
      <c r="J106" s="1" t="s">
        <v>1824</v>
      </c>
      <c r="K106" s="1" t="s">
        <v>3565</v>
      </c>
    </row>
    <row r="107" spans="4:11" x14ac:dyDescent="0.35">
      <c r="D107" s="11" t="s">
        <v>1346</v>
      </c>
      <c r="E107" s="1" t="s">
        <v>1347</v>
      </c>
      <c r="G107" s="1" t="s">
        <v>1060</v>
      </c>
      <c r="H107" s="1" t="s">
        <v>3580</v>
      </c>
      <c r="I107" s="1" t="s">
        <v>1825</v>
      </c>
      <c r="J107" s="1" t="s">
        <v>1826</v>
      </c>
      <c r="K107" s="1" t="s">
        <v>3566</v>
      </c>
    </row>
    <row r="108" spans="4:11" x14ac:dyDescent="0.35">
      <c r="D108" s="11" t="s">
        <v>1348</v>
      </c>
      <c r="E108" s="1" t="s">
        <v>1349</v>
      </c>
      <c r="G108" s="1" t="s">
        <v>1060</v>
      </c>
      <c r="H108" s="1" t="s">
        <v>3580</v>
      </c>
      <c r="I108" s="1" t="s">
        <v>1827</v>
      </c>
      <c r="J108" s="1" t="s">
        <v>1828</v>
      </c>
    </row>
    <row r="109" spans="4:11" x14ac:dyDescent="0.35">
      <c r="D109" s="11" t="s">
        <v>1350</v>
      </c>
      <c r="E109" s="1" t="s">
        <v>1351</v>
      </c>
      <c r="G109" s="1" t="s">
        <v>1060</v>
      </c>
      <c r="H109" s="1" t="s">
        <v>1309</v>
      </c>
      <c r="I109" s="1" t="s">
        <v>1829</v>
      </c>
      <c r="J109" s="1" t="s">
        <v>1235</v>
      </c>
      <c r="K109" s="1" t="s">
        <v>3494</v>
      </c>
    </row>
    <row r="110" spans="4:11" x14ac:dyDescent="0.35">
      <c r="D110" s="11" t="s">
        <v>3549</v>
      </c>
      <c r="E110" s="1" t="s">
        <v>3556</v>
      </c>
      <c r="G110" s="1" t="s">
        <v>1060</v>
      </c>
      <c r="H110" s="1" t="s">
        <v>3580</v>
      </c>
      <c r="I110" s="1" t="s">
        <v>3542</v>
      </c>
      <c r="J110" s="1" t="s">
        <v>1804</v>
      </c>
    </row>
    <row r="111" spans="4:11" x14ac:dyDescent="0.35">
      <c r="D111" s="11" t="s">
        <v>3550</v>
      </c>
      <c r="E111" s="1" t="s">
        <v>3557</v>
      </c>
      <c r="G111" s="1" t="s">
        <v>1060</v>
      </c>
      <c r="H111" s="1" t="s">
        <v>3580</v>
      </c>
      <c r="I111" s="1" t="s">
        <v>1807</v>
      </c>
      <c r="J111" s="1" t="s">
        <v>3498</v>
      </c>
    </row>
    <row r="112" spans="4:11" x14ac:dyDescent="0.35">
      <c r="D112" s="11" t="s">
        <v>3551</v>
      </c>
      <c r="E112" s="1" t="s">
        <v>3558</v>
      </c>
      <c r="G112" s="1" t="s">
        <v>1060</v>
      </c>
      <c r="H112" s="1" t="s">
        <v>3580</v>
      </c>
      <c r="I112" s="1" t="s">
        <v>1133</v>
      </c>
      <c r="J112" s="1" t="s">
        <v>1277</v>
      </c>
    </row>
    <row r="113" spans="4:11" x14ac:dyDescent="0.35">
      <c r="D113" s="11" t="s">
        <v>3552</v>
      </c>
      <c r="E113" s="1" t="s">
        <v>3559</v>
      </c>
      <c r="G113" s="1" t="s">
        <v>1060</v>
      </c>
      <c r="H113" s="1" t="s">
        <v>3580</v>
      </c>
      <c r="I113" s="1" t="s">
        <v>1812</v>
      </c>
      <c r="J113" s="1" t="s">
        <v>1278</v>
      </c>
    </row>
    <row r="114" spans="4:11" x14ac:dyDescent="0.35">
      <c r="D114" s="11" t="s">
        <v>3553</v>
      </c>
      <c r="E114" s="1" t="s">
        <v>3560</v>
      </c>
      <c r="G114" s="1" t="s">
        <v>1060</v>
      </c>
      <c r="H114" s="1" t="s">
        <v>3580</v>
      </c>
      <c r="I114" s="1" t="s">
        <v>1821</v>
      </c>
      <c r="J114" s="1" t="s">
        <v>1822</v>
      </c>
    </row>
    <row r="115" spans="4:11" x14ac:dyDescent="0.35">
      <c r="D115" s="11" t="s">
        <v>3554</v>
      </c>
      <c r="E115" s="1" t="s">
        <v>3561</v>
      </c>
      <c r="G115" s="1" t="s">
        <v>1060</v>
      </c>
      <c r="H115" s="1" t="s">
        <v>1309</v>
      </c>
      <c r="I115" s="1" t="s">
        <v>1823</v>
      </c>
      <c r="J115" s="1" t="s">
        <v>1824</v>
      </c>
      <c r="K115" s="1" t="s">
        <v>3563</v>
      </c>
    </row>
    <row r="116" spans="4:11" x14ac:dyDescent="0.35">
      <c r="D116" s="11" t="s">
        <v>3555</v>
      </c>
      <c r="E116" s="1" t="s">
        <v>3562</v>
      </c>
      <c r="G116" s="1" t="s">
        <v>1060</v>
      </c>
      <c r="H116" s="1" t="s">
        <v>3580</v>
      </c>
      <c r="I116" s="1" t="s">
        <v>1825</v>
      </c>
      <c r="J116" s="1" t="s">
        <v>1826</v>
      </c>
      <c r="K116" s="1" t="s">
        <v>3564</v>
      </c>
    </row>
    <row r="117" spans="4:11" x14ac:dyDescent="0.35">
      <c r="D117" s="11" t="s">
        <v>3514</v>
      </c>
      <c r="E117" s="1" t="s">
        <v>3513</v>
      </c>
      <c r="G117" s="1" t="s">
        <v>1060</v>
      </c>
      <c r="H117" s="1" t="s">
        <v>3580</v>
      </c>
      <c r="I117" s="1" t="s">
        <v>1827</v>
      </c>
      <c r="J117" s="1" t="s">
        <v>1828</v>
      </c>
    </row>
    <row r="118" spans="4:11" x14ac:dyDescent="0.35">
      <c r="D118" s="11" t="s">
        <v>3510</v>
      </c>
      <c r="E118" s="1" t="s">
        <v>3511</v>
      </c>
      <c r="G118" s="1" t="s">
        <v>1060</v>
      </c>
      <c r="H118" s="1" t="s">
        <v>1309</v>
      </c>
      <c r="I118" s="1" t="s">
        <v>1829</v>
      </c>
      <c r="J118" s="1" t="s">
        <v>1235</v>
      </c>
      <c r="K118" s="1" t="s">
        <v>3512</v>
      </c>
    </row>
    <row r="119" spans="4:11" x14ac:dyDescent="0.35">
      <c r="D119" s="11" t="s">
        <v>3578</v>
      </c>
      <c r="E119" s="1" t="s">
        <v>3579</v>
      </c>
      <c r="G119" s="1" t="s">
        <v>1060</v>
      </c>
      <c r="H119" s="1" t="s">
        <v>3580</v>
      </c>
      <c r="I119" s="1" t="s">
        <v>3542</v>
      </c>
      <c r="J119" s="1" t="s">
        <v>1804</v>
      </c>
    </row>
    <row r="120" spans="4:11" x14ac:dyDescent="0.35">
      <c r="D120" s="11" t="s">
        <v>3576</v>
      </c>
      <c r="E120" s="1" t="s">
        <v>3577</v>
      </c>
      <c r="G120" s="1" t="s">
        <v>1060</v>
      </c>
      <c r="H120" s="1" t="s">
        <v>3580</v>
      </c>
      <c r="I120" s="1" t="s">
        <v>1807</v>
      </c>
      <c r="J120" s="1" t="s">
        <v>3498</v>
      </c>
    </row>
    <row r="121" spans="4:11" x14ac:dyDescent="0.35">
      <c r="D121" s="11" t="s">
        <v>3574</v>
      </c>
      <c r="E121" s="1" t="s">
        <v>3575</v>
      </c>
      <c r="G121" s="1" t="s">
        <v>1060</v>
      </c>
      <c r="H121" s="1" t="s">
        <v>3580</v>
      </c>
      <c r="I121" s="1" t="s">
        <v>1133</v>
      </c>
      <c r="J121" s="1" t="s">
        <v>1277</v>
      </c>
    </row>
    <row r="122" spans="4:11" x14ac:dyDescent="0.35">
      <c r="D122" s="11" t="s">
        <v>3572</v>
      </c>
      <c r="E122" s="1" t="s">
        <v>3573</v>
      </c>
      <c r="G122" s="1" t="s">
        <v>1060</v>
      </c>
      <c r="H122" s="1" t="s">
        <v>3580</v>
      </c>
      <c r="I122" s="1" t="s">
        <v>1812</v>
      </c>
      <c r="J122" s="1" t="s">
        <v>1278</v>
      </c>
    </row>
    <row r="123" spans="4:11" x14ac:dyDescent="0.35">
      <c r="D123" s="11" t="s">
        <v>3570</v>
      </c>
      <c r="E123" s="1" t="s">
        <v>3571</v>
      </c>
      <c r="G123" s="1" t="s">
        <v>1060</v>
      </c>
      <c r="H123" s="1" t="s">
        <v>3580</v>
      </c>
      <c r="I123" s="1" t="s">
        <v>1821</v>
      </c>
      <c r="J123" s="1" t="s">
        <v>1822</v>
      </c>
    </row>
    <row r="124" spans="4:11" x14ac:dyDescent="0.35">
      <c r="D124" s="11" t="s">
        <v>3568</v>
      </c>
      <c r="E124" s="1" t="s">
        <v>3569</v>
      </c>
      <c r="G124" s="1" t="s">
        <v>1060</v>
      </c>
      <c r="H124" s="1" t="s">
        <v>1309</v>
      </c>
      <c r="I124" s="1" t="s">
        <v>1823</v>
      </c>
      <c r="J124" s="1" t="s">
        <v>1824</v>
      </c>
      <c r="K124" s="1" t="s">
        <v>3563</v>
      </c>
    </row>
    <row r="125" spans="4:11" x14ac:dyDescent="0.35">
      <c r="D125" s="11" t="s">
        <v>3581</v>
      </c>
      <c r="E125" s="1" t="s">
        <v>3582</v>
      </c>
      <c r="G125" s="1" t="s">
        <v>1060</v>
      </c>
      <c r="H125" s="1" t="s">
        <v>3580</v>
      </c>
      <c r="I125" s="1" t="s">
        <v>1827</v>
      </c>
      <c r="J125" s="1" t="s">
        <v>1828</v>
      </c>
      <c r="K125" s="1" t="s">
        <v>3583</v>
      </c>
    </row>
    <row r="126" spans="4:11" x14ac:dyDescent="0.35">
      <c r="D126" s="11" t="s">
        <v>3584</v>
      </c>
      <c r="E126" s="1" t="s">
        <v>3585</v>
      </c>
      <c r="G126" s="1" t="s">
        <v>1060</v>
      </c>
      <c r="H126" s="1" t="s">
        <v>1309</v>
      </c>
      <c r="I126" s="1" t="s">
        <v>1829</v>
      </c>
      <c r="J126" s="1" t="s">
        <v>1235</v>
      </c>
      <c r="K126" s="1" t="s">
        <v>3586</v>
      </c>
    </row>
    <row r="127" spans="4:11" x14ac:dyDescent="0.35">
      <c r="D127" s="11" t="s">
        <v>3587</v>
      </c>
      <c r="E127" s="1" t="s">
        <v>3589</v>
      </c>
      <c r="G127" s="1" t="s">
        <v>1060</v>
      </c>
      <c r="H127" s="1" t="s">
        <v>3580</v>
      </c>
      <c r="I127" s="1" t="s">
        <v>3542</v>
      </c>
      <c r="J127" s="1" t="s">
        <v>1804</v>
      </c>
    </row>
    <row r="128" spans="4:11" x14ac:dyDescent="0.35">
      <c r="D128" s="11" t="s">
        <v>3588</v>
      </c>
      <c r="E128" s="1" t="s">
        <v>3590</v>
      </c>
      <c r="G128" s="1" t="s">
        <v>1060</v>
      </c>
      <c r="H128" s="1" t="s">
        <v>3580</v>
      </c>
      <c r="I128" s="1" t="s">
        <v>1807</v>
      </c>
      <c r="J128" s="1" t="s">
        <v>3498</v>
      </c>
    </row>
    <row r="129" spans="4:11" x14ac:dyDescent="0.35">
      <c r="D129" s="11" t="s">
        <v>3591</v>
      </c>
      <c r="E129" s="1" t="s">
        <v>3592</v>
      </c>
      <c r="G129" s="1" t="s">
        <v>1060</v>
      </c>
      <c r="H129" s="1" t="s">
        <v>3580</v>
      </c>
      <c r="I129" s="1" t="s">
        <v>1133</v>
      </c>
      <c r="J129" s="1" t="s">
        <v>1277</v>
      </c>
    </row>
    <row r="130" spans="4:11" x14ac:dyDescent="0.35">
      <c r="D130" s="11" t="s">
        <v>3593</v>
      </c>
      <c r="E130" s="1" t="s">
        <v>3594</v>
      </c>
      <c r="G130" s="1" t="s">
        <v>1060</v>
      </c>
      <c r="H130" s="1" t="s">
        <v>3580</v>
      </c>
      <c r="I130" s="1" t="s">
        <v>1812</v>
      </c>
      <c r="J130" s="1" t="s">
        <v>1278</v>
      </c>
    </row>
    <row r="131" spans="4:11" x14ac:dyDescent="0.35">
      <c r="D131" s="11" t="s">
        <v>3595</v>
      </c>
      <c r="E131" s="1" t="s">
        <v>3596</v>
      </c>
      <c r="G131" s="1" t="s">
        <v>1060</v>
      </c>
      <c r="H131" s="1" t="s">
        <v>3580</v>
      </c>
      <c r="I131" s="1" t="s">
        <v>1821</v>
      </c>
      <c r="J131" s="1" t="s">
        <v>1822</v>
      </c>
    </row>
    <row r="132" spans="4:11" x14ac:dyDescent="0.35">
      <c r="D132" s="11" t="s">
        <v>3597</v>
      </c>
      <c r="E132" s="1" t="s">
        <v>3598</v>
      </c>
      <c r="G132" s="1" t="s">
        <v>1060</v>
      </c>
      <c r="H132" s="1" t="s">
        <v>3580</v>
      </c>
      <c r="I132" s="1" t="s">
        <v>1823</v>
      </c>
      <c r="J132" s="1" t="s">
        <v>1824</v>
      </c>
    </row>
    <row r="133" spans="4:11" x14ac:dyDescent="0.35">
      <c r="D133" s="11" t="s">
        <v>3599</v>
      </c>
      <c r="E133" s="1" t="s">
        <v>3600</v>
      </c>
      <c r="G133" s="1" t="s">
        <v>1060</v>
      </c>
      <c r="H133" s="1" t="s">
        <v>1309</v>
      </c>
      <c r="I133" s="1" t="s">
        <v>1825</v>
      </c>
      <c r="J133" s="1" t="s">
        <v>1826</v>
      </c>
      <c r="K133" s="1" t="s">
        <v>3603</v>
      </c>
    </row>
    <row r="134" spans="4:11" x14ac:dyDescent="0.35">
      <c r="D134" s="11" t="s">
        <v>3601</v>
      </c>
      <c r="E134" s="1" t="s">
        <v>3602</v>
      </c>
      <c r="G134" s="1" t="s">
        <v>1060</v>
      </c>
      <c r="H134" s="1" t="s">
        <v>3580</v>
      </c>
      <c r="I134" s="1" t="s">
        <v>1827</v>
      </c>
      <c r="J134" s="1" t="s">
        <v>1828</v>
      </c>
    </row>
    <row r="135" spans="4:11" x14ac:dyDescent="0.35">
      <c r="D135" s="11" t="s">
        <v>3604</v>
      </c>
      <c r="E135" s="1" t="s">
        <v>3605</v>
      </c>
      <c r="G135" s="1" t="s">
        <v>1060</v>
      </c>
      <c r="H135" s="1" t="s">
        <v>1309</v>
      </c>
      <c r="I135" s="1" t="s">
        <v>1829</v>
      </c>
      <c r="J135" s="1" t="s">
        <v>1235</v>
      </c>
      <c r="K135" s="1" t="s">
        <v>3606</v>
      </c>
    </row>
    <row r="136" spans="4:11" x14ac:dyDescent="0.35">
      <c r="D136" s="11" t="s">
        <v>3534</v>
      </c>
      <c r="E136" s="1" t="s">
        <v>3535</v>
      </c>
      <c r="G136" s="1" t="s">
        <v>1060</v>
      </c>
      <c r="H136" s="1" t="s">
        <v>3580</v>
      </c>
      <c r="I136" s="1" t="s">
        <v>1807</v>
      </c>
      <c r="J136" s="1" t="s">
        <v>3498</v>
      </c>
      <c r="K136" s="1" t="s">
        <v>3536</v>
      </c>
    </row>
    <row r="137" spans="4:11" x14ac:dyDescent="0.35">
      <c r="D137" s="11" t="s">
        <v>3532</v>
      </c>
      <c r="E137" s="1" t="s">
        <v>3533</v>
      </c>
      <c r="G137" s="1" t="s">
        <v>1060</v>
      </c>
      <c r="H137" s="1" t="s">
        <v>3580</v>
      </c>
      <c r="I137" s="1" t="s">
        <v>1133</v>
      </c>
      <c r="J137" s="1" t="s">
        <v>1277</v>
      </c>
    </row>
    <row r="138" spans="4:11" x14ac:dyDescent="0.35">
      <c r="D138" s="11" t="s">
        <v>3530</v>
      </c>
      <c r="E138" s="1" t="s">
        <v>3531</v>
      </c>
      <c r="G138" s="1" t="s">
        <v>1060</v>
      </c>
      <c r="H138" s="1" t="s">
        <v>3580</v>
      </c>
      <c r="I138" s="1" t="s">
        <v>1812</v>
      </c>
      <c r="J138" s="1" t="s">
        <v>1278</v>
      </c>
    </row>
    <row r="139" spans="4:11" x14ac:dyDescent="0.35">
      <c r="D139" s="11" t="s">
        <v>3528</v>
      </c>
      <c r="E139" s="1" t="s">
        <v>3529</v>
      </c>
      <c r="G139" s="1" t="s">
        <v>1060</v>
      </c>
      <c r="H139" s="1" t="s">
        <v>3580</v>
      </c>
      <c r="I139" s="1" t="s">
        <v>1821</v>
      </c>
      <c r="J139" s="1" t="s">
        <v>1822</v>
      </c>
    </row>
    <row r="140" spans="4:11" x14ac:dyDescent="0.35">
      <c r="D140" s="11" t="s">
        <v>3526</v>
      </c>
      <c r="E140" s="1" t="s">
        <v>3527</v>
      </c>
      <c r="G140" s="1" t="s">
        <v>1060</v>
      </c>
      <c r="H140" s="1" t="s">
        <v>1309</v>
      </c>
      <c r="I140" s="1" t="s">
        <v>1823</v>
      </c>
      <c r="J140" s="1" t="s">
        <v>1824</v>
      </c>
      <c r="K140" s="1" t="s">
        <v>3567</v>
      </c>
    </row>
    <row r="141" spans="4:11" x14ac:dyDescent="0.35">
      <c r="D141" s="11" t="s">
        <v>3496</v>
      </c>
      <c r="E141" s="1" t="s">
        <v>3497</v>
      </c>
      <c r="G141" s="1" t="s">
        <v>1060</v>
      </c>
      <c r="H141" s="1" t="s">
        <v>3580</v>
      </c>
      <c r="I141" s="1" t="s">
        <v>1807</v>
      </c>
      <c r="J141" s="1" t="s">
        <v>3498</v>
      </c>
    </row>
    <row r="142" spans="4:11" x14ac:dyDescent="0.35">
      <c r="D142" s="11" t="s">
        <v>1342</v>
      </c>
      <c r="E142" s="1" t="s">
        <v>1340</v>
      </c>
      <c r="G142" s="1" t="s">
        <v>1060</v>
      </c>
      <c r="H142" s="1" t="s">
        <v>3580</v>
      </c>
      <c r="I142" s="1" t="s">
        <v>1133</v>
      </c>
      <c r="J142" s="1" t="s">
        <v>1277</v>
      </c>
    </row>
    <row r="143" spans="4:11" x14ac:dyDescent="0.35">
      <c r="D143" s="11" t="s">
        <v>1343</v>
      </c>
      <c r="E143" s="1" t="s">
        <v>1341</v>
      </c>
      <c r="G143" s="1" t="s">
        <v>1060</v>
      </c>
      <c r="H143" s="1" t="s">
        <v>3580</v>
      </c>
      <c r="I143" s="1" t="s">
        <v>1812</v>
      </c>
      <c r="J143" s="1" t="s">
        <v>1278</v>
      </c>
    </row>
    <row r="144" spans="4:11" x14ac:dyDescent="0.35">
      <c r="D144" s="11" t="s">
        <v>3499</v>
      </c>
      <c r="E144" s="1" t="s">
        <v>3500</v>
      </c>
      <c r="G144" s="1" t="s">
        <v>1060</v>
      </c>
      <c r="H144" s="1" t="s">
        <v>1309</v>
      </c>
      <c r="I144" s="1" t="s">
        <v>1821</v>
      </c>
      <c r="J144" s="1" t="s">
        <v>1822</v>
      </c>
      <c r="K144" s="1" t="s">
        <v>1353</v>
      </c>
    </row>
    <row r="145" spans="4:11" x14ac:dyDescent="0.35">
      <c r="D145" s="11" t="s">
        <v>1344</v>
      </c>
      <c r="E145" s="1" t="s">
        <v>1345</v>
      </c>
      <c r="G145" s="1" t="s">
        <v>1060</v>
      </c>
      <c r="H145" s="1" t="s">
        <v>3580</v>
      </c>
      <c r="I145" s="1" t="s">
        <v>1823</v>
      </c>
      <c r="J145" s="1" t="s">
        <v>1824</v>
      </c>
      <c r="K145" s="1" t="s">
        <v>1352</v>
      </c>
    </row>
    <row r="146" spans="4:11" x14ac:dyDescent="0.35">
      <c r="D146" s="11" t="s">
        <v>3501</v>
      </c>
      <c r="E146" s="1" t="s">
        <v>3504</v>
      </c>
      <c r="G146" s="1" t="s">
        <v>1060</v>
      </c>
      <c r="H146" s="1" t="s">
        <v>3580</v>
      </c>
      <c r="I146" s="1" t="s">
        <v>1825</v>
      </c>
      <c r="J146" s="1" t="s">
        <v>1826</v>
      </c>
    </row>
    <row r="147" spans="4:11" x14ac:dyDescent="0.35">
      <c r="D147" s="11" t="s">
        <v>3502</v>
      </c>
      <c r="E147" s="1" t="s">
        <v>3503</v>
      </c>
      <c r="G147" s="1" t="s">
        <v>1060</v>
      </c>
      <c r="H147" s="1" t="s">
        <v>3580</v>
      </c>
      <c r="I147" s="1" t="s">
        <v>1827</v>
      </c>
      <c r="J147" s="1" t="s">
        <v>1828</v>
      </c>
    </row>
    <row r="148" spans="4:11" x14ac:dyDescent="0.35">
      <c r="D148" s="11" t="s">
        <v>3505</v>
      </c>
      <c r="E148" s="1" t="s">
        <v>3506</v>
      </c>
      <c r="G148" s="1" t="s">
        <v>1060</v>
      </c>
      <c r="H148" s="1" t="s">
        <v>1309</v>
      </c>
      <c r="I148" s="1" t="s">
        <v>1829</v>
      </c>
      <c r="J148" s="1" t="s">
        <v>1235</v>
      </c>
      <c r="K148" s="1" t="s">
        <v>3509</v>
      </c>
    </row>
    <row r="149" spans="4:11" x14ac:dyDescent="0.35">
      <c r="D149" s="9" t="s">
        <v>891</v>
      </c>
      <c r="E149" s="1" t="s">
        <v>892</v>
      </c>
      <c r="F149" s="1" t="s">
        <v>893</v>
      </c>
      <c r="G149" s="1" t="s">
        <v>1062</v>
      </c>
      <c r="H149" s="1" t="s">
        <v>327</v>
      </c>
      <c r="I149" s="1" t="s">
        <v>1235</v>
      </c>
      <c r="K149" s="1" t="s">
        <v>1820</v>
      </c>
    </row>
    <row r="150" spans="4:11" x14ac:dyDescent="0.35">
      <c r="D150" s="11" t="s">
        <v>3616</v>
      </c>
      <c r="E150" s="1" t="s">
        <v>3617</v>
      </c>
      <c r="G150" s="1" t="s">
        <v>1060</v>
      </c>
      <c r="H150" s="1" t="s">
        <v>3580</v>
      </c>
      <c r="I150" s="1" t="s">
        <v>1797</v>
      </c>
      <c r="J150" s="1" t="s">
        <v>2833</v>
      </c>
      <c r="K150" s="1" t="s">
        <v>3618</v>
      </c>
    </row>
    <row r="151" spans="4:11" x14ac:dyDescent="0.35">
      <c r="D151" s="11" t="s">
        <v>3619</v>
      </c>
      <c r="E151" s="1" t="s">
        <v>3620</v>
      </c>
      <c r="G151" s="1" t="s">
        <v>1060</v>
      </c>
      <c r="H151" s="1" t="s">
        <v>3580</v>
      </c>
      <c r="I151" s="1" t="s">
        <v>2833</v>
      </c>
      <c r="J151" s="1" t="s">
        <v>3483</v>
      </c>
    </row>
    <row r="152" spans="4:11" x14ac:dyDescent="0.35">
      <c r="D152" s="11" t="s">
        <v>3636</v>
      </c>
      <c r="E152" s="1" t="s">
        <v>3637</v>
      </c>
      <c r="G152" s="1" t="s">
        <v>1060</v>
      </c>
      <c r="H152" s="1" t="s">
        <v>3580</v>
      </c>
      <c r="I152" s="1" t="s">
        <v>1842</v>
      </c>
      <c r="J152" s="1" t="s">
        <v>3520</v>
      </c>
      <c r="K152" s="1" t="s">
        <v>3638</v>
      </c>
    </row>
    <row r="153" spans="4:11" x14ac:dyDescent="0.35">
      <c r="D153" s="11" t="s">
        <v>3639</v>
      </c>
      <c r="E153" s="1" t="s">
        <v>3640</v>
      </c>
      <c r="G153" s="1" t="s">
        <v>1060</v>
      </c>
      <c r="H153" s="1" t="s">
        <v>1309</v>
      </c>
      <c r="I153" s="1" t="s">
        <v>3629</v>
      </c>
      <c r="J153" s="1" t="s">
        <v>3630</v>
      </c>
      <c r="K153" s="1" t="s">
        <v>3649</v>
      </c>
    </row>
    <row r="154" spans="4:11" x14ac:dyDescent="0.35">
      <c r="D154" s="11" t="s">
        <v>3480</v>
      </c>
      <c r="E154" s="1" t="s">
        <v>3481</v>
      </c>
      <c r="G154" s="1" t="s">
        <v>1060</v>
      </c>
      <c r="H154" s="1" t="s">
        <v>3580</v>
      </c>
      <c r="I154" s="1" t="s">
        <v>1797</v>
      </c>
      <c r="J154" s="1" t="s">
        <v>2833</v>
      </c>
      <c r="K154" s="1" t="s">
        <v>3495</v>
      </c>
    </row>
    <row r="155" spans="4:11" x14ac:dyDescent="0.35">
      <c r="D155" s="11" t="s">
        <v>3482</v>
      </c>
      <c r="E155" s="1" t="s">
        <v>3515</v>
      </c>
      <c r="G155" s="1" t="s">
        <v>1060</v>
      </c>
      <c r="H155" s="1" t="s">
        <v>1309</v>
      </c>
      <c r="I155" s="1" t="s">
        <v>1236</v>
      </c>
      <c r="J155" s="1" t="s">
        <v>3483</v>
      </c>
      <c r="K155" s="1" t="s">
        <v>3635</v>
      </c>
    </row>
    <row r="156" spans="4:11" x14ac:dyDescent="0.35">
      <c r="D156" s="11" t="s">
        <v>3484</v>
      </c>
      <c r="E156" s="1" t="s">
        <v>3485</v>
      </c>
      <c r="G156" s="1" t="s">
        <v>1060</v>
      </c>
      <c r="H156" s="1" t="s">
        <v>1309</v>
      </c>
      <c r="I156" s="1" t="s">
        <v>1842</v>
      </c>
      <c r="J156" s="1" t="s">
        <v>3610</v>
      </c>
      <c r="K156" s="1" t="s">
        <v>3614</v>
      </c>
    </row>
    <row r="157" spans="4:11" x14ac:dyDescent="0.35">
      <c r="D157" s="11" t="s">
        <v>3030</v>
      </c>
      <c r="E157" s="1" t="s">
        <v>3525</v>
      </c>
      <c r="G157" s="1" t="s">
        <v>1060</v>
      </c>
      <c r="H157" s="1" t="s">
        <v>1309</v>
      </c>
      <c r="I157" s="1" t="s">
        <v>1797</v>
      </c>
      <c r="J157" s="1" t="s">
        <v>2833</v>
      </c>
      <c r="K157" s="1" t="s">
        <v>3621</v>
      </c>
    </row>
    <row r="158" spans="4:11" x14ac:dyDescent="0.35">
      <c r="D158" s="11" t="s">
        <v>3523</v>
      </c>
      <c r="E158" s="1" t="s">
        <v>3524</v>
      </c>
      <c r="G158" s="1" t="s">
        <v>1060</v>
      </c>
      <c r="H158" s="1" t="s">
        <v>1309</v>
      </c>
      <c r="I158" s="1" t="s">
        <v>2833</v>
      </c>
      <c r="J158" s="1" t="s">
        <v>3483</v>
      </c>
      <c r="K158" s="1" t="s">
        <v>3641</v>
      </c>
    </row>
    <row r="159" spans="4:11" x14ac:dyDescent="0.35">
      <c r="D159" s="11" t="s">
        <v>3611</v>
      </c>
      <c r="E159" s="1" t="s">
        <v>3622</v>
      </c>
      <c r="G159" s="1" t="s">
        <v>1060</v>
      </c>
      <c r="H159" s="1" t="s">
        <v>3580</v>
      </c>
      <c r="I159" s="1" t="s">
        <v>1797</v>
      </c>
      <c r="J159" s="1" t="s">
        <v>2833</v>
      </c>
      <c r="K159" s="1" t="s">
        <v>3623</v>
      </c>
    </row>
    <row r="160" spans="4:11" x14ac:dyDescent="0.35">
      <c r="D160" s="11" t="s">
        <v>3612</v>
      </c>
      <c r="E160" s="1" t="s">
        <v>3624</v>
      </c>
      <c r="G160" s="1" t="s">
        <v>1060</v>
      </c>
      <c r="H160" s="1" t="s">
        <v>3580</v>
      </c>
      <c r="I160" s="1" t="s">
        <v>2833</v>
      </c>
      <c r="J160" s="1" t="s">
        <v>3483</v>
      </c>
    </row>
    <row r="161" spans="4:11" x14ac:dyDescent="0.35">
      <c r="D161" s="11" t="s">
        <v>3613</v>
      </c>
      <c r="E161" s="1" t="s">
        <v>3625</v>
      </c>
      <c r="G161" s="1" t="s">
        <v>1060</v>
      </c>
      <c r="H161" s="1" t="s">
        <v>1309</v>
      </c>
      <c r="I161" s="1" t="s">
        <v>1842</v>
      </c>
      <c r="J161" s="1" t="s">
        <v>3610</v>
      </c>
      <c r="K161" s="1" t="s">
        <v>3614</v>
      </c>
    </row>
    <row r="162" spans="4:11" x14ac:dyDescent="0.35">
      <c r="D162" s="11" t="s">
        <v>3632</v>
      </c>
      <c r="E162" s="1" t="s">
        <v>3633</v>
      </c>
      <c r="G162" s="1" t="s">
        <v>1060</v>
      </c>
      <c r="H162" s="1" t="s">
        <v>3580</v>
      </c>
      <c r="I162" s="1" t="s">
        <v>3629</v>
      </c>
      <c r="J162" s="1" t="s">
        <v>3630</v>
      </c>
      <c r="K162" s="1" t="s">
        <v>3634</v>
      </c>
    </row>
    <row r="163" spans="4:11" x14ac:dyDescent="0.35">
      <c r="D163" s="11" t="s">
        <v>3507</v>
      </c>
      <c r="E163" s="1" t="s">
        <v>3508</v>
      </c>
      <c r="G163" s="1" t="s">
        <v>1060</v>
      </c>
      <c r="H163" s="1" t="s">
        <v>1309</v>
      </c>
      <c r="I163" s="1" t="s">
        <v>1797</v>
      </c>
      <c r="J163" s="1" t="s">
        <v>2833</v>
      </c>
      <c r="K163" s="1" t="s">
        <v>3522</v>
      </c>
    </row>
    <row r="164" spans="4:11" x14ac:dyDescent="0.35">
      <c r="D164" s="11" t="s">
        <v>3516</v>
      </c>
      <c r="E164" s="1" t="s">
        <v>3517</v>
      </c>
      <c r="G164" s="1" t="s">
        <v>1060</v>
      </c>
      <c r="H164" s="1" t="s">
        <v>3580</v>
      </c>
      <c r="I164" s="1" t="s">
        <v>2833</v>
      </c>
      <c r="J164" s="1" t="s">
        <v>3483</v>
      </c>
    </row>
    <row r="165" spans="4:11" x14ac:dyDescent="0.35">
      <c r="D165" s="11" t="s">
        <v>3518</v>
      </c>
      <c r="E165" s="1" t="s">
        <v>3519</v>
      </c>
      <c r="G165" s="1" t="s">
        <v>1060</v>
      </c>
      <c r="H165" s="1" t="s">
        <v>3580</v>
      </c>
      <c r="I165" s="1" t="s">
        <v>1842</v>
      </c>
      <c r="J165" s="1" t="s">
        <v>3520</v>
      </c>
      <c r="K165" s="1" t="s">
        <v>3521</v>
      </c>
    </row>
    <row r="166" spans="4:11" x14ac:dyDescent="0.35">
      <c r="D166" s="11" t="s">
        <v>3642</v>
      </c>
      <c r="E166" s="1" t="s">
        <v>3643</v>
      </c>
      <c r="G166" s="1" t="s">
        <v>1060</v>
      </c>
      <c r="H166" s="1" t="s">
        <v>3580</v>
      </c>
      <c r="I166" s="1" t="s">
        <v>3629</v>
      </c>
      <c r="J166" s="1" t="s">
        <v>3630</v>
      </c>
      <c r="K166" s="1" t="s">
        <v>3644</v>
      </c>
    </row>
    <row r="167" spans="4:11" x14ac:dyDescent="0.35">
      <c r="D167" s="11" t="s">
        <v>3645</v>
      </c>
      <c r="E167" s="1" t="s">
        <v>3646</v>
      </c>
      <c r="G167" s="1" t="s">
        <v>1060</v>
      </c>
      <c r="H167" s="1" t="s">
        <v>3580</v>
      </c>
      <c r="I167" s="1" t="s">
        <v>1788</v>
      </c>
      <c r="J167" s="1" t="s">
        <v>2587</v>
      </c>
    </row>
    <row r="168" spans="4:11" x14ac:dyDescent="0.35">
      <c r="D168" s="11" t="s">
        <v>3650</v>
      </c>
      <c r="E168" s="1" t="s">
        <v>3656</v>
      </c>
      <c r="G168" s="1" t="s">
        <v>1060</v>
      </c>
      <c r="H168" s="1" t="s">
        <v>3580</v>
      </c>
      <c r="I168" s="1" t="s">
        <v>3657</v>
      </c>
      <c r="J168" s="1" t="s">
        <v>3658</v>
      </c>
    </row>
    <row r="169" spans="4:11" x14ac:dyDescent="0.35">
      <c r="D169" s="11" t="s">
        <v>3651</v>
      </c>
      <c r="E169" s="1" t="s">
        <v>3659</v>
      </c>
      <c r="G169" s="1" t="s">
        <v>1060</v>
      </c>
      <c r="H169" s="1" t="s">
        <v>3580</v>
      </c>
      <c r="I169" s="1" t="s">
        <v>3660</v>
      </c>
      <c r="J169" s="1" t="s">
        <v>1793</v>
      </c>
    </row>
    <row r="170" spans="4:11" x14ac:dyDescent="0.35">
      <c r="D170" s="11" t="s">
        <v>3652</v>
      </c>
      <c r="E170" s="1" t="s">
        <v>3659</v>
      </c>
      <c r="G170" s="1" t="s">
        <v>1060</v>
      </c>
      <c r="H170" s="1" t="s">
        <v>1309</v>
      </c>
      <c r="I170" s="1" t="s">
        <v>3661</v>
      </c>
      <c r="J170" s="1" t="s">
        <v>3662</v>
      </c>
      <c r="K170" s="1" t="s">
        <v>3663</v>
      </c>
    </row>
    <row r="171" spans="4:11" x14ac:dyDescent="0.35">
      <c r="D171" s="11" t="s">
        <v>3607</v>
      </c>
      <c r="E171" s="1" t="s">
        <v>3608</v>
      </c>
      <c r="G171" s="1" t="s">
        <v>1060</v>
      </c>
      <c r="H171" s="1" t="s">
        <v>1309</v>
      </c>
      <c r="I171" s="1" t="s">
        <v>3609</v>
      </c>
      <c r="J171" s="1" t="s">
        <v>3520</v>
      </c>
      <c r="K171" s="1" t="s">
        <v>3626</v>
      </c>
    </row>
    <row r="172" spans="4:11" x14ac:dyDescent="0.35">
      <c r="D172" s="11" t="s">
        <v>3627</v>
      </c>
      <c r="E172" s="1" t="s">
        <v>3628</v>
      </c>
      <c r="G172" s="1" t="s">
        <v>1060</v>
      </c>
      <c r="H172" s="1" t="s">
        <v>3580</v>
      </c>
      <c r="I172" s="1" t="s">
        <v>3629</v>
      </c>
      <c r="J172" s="1" t="s">
        <v>3630</v>
      </c>
      <c r="K172" s="1" t="s">
        <v>3631</v>
      </c>
    </row>
    <row r="173" spans="4:11" x14ac:dyDescent="0.35">
      <c r="D173" s="11" t="s">
        <v>3647</v>
      </c>
      <c r="E173" s="1" t="s">
        <v>3648</v>
      </c>
      <c r="G173" s="1" t="s">
        <v>1060</v>
      </c>
      <c r="H173" s="1" t="s">
        <v>3580</v>
      </c>
      <c r="I173" s="1" t="s">
        <v>1788</v>
      </c>
      <c r="J173" s="1" t="s">
        <v>2587</v>
      </c>
    </row>
    <row r="174" spans="4:11" x14ac:dyDescent="0.35">
      <c r="D174" s="11" t="s">
        <v>3653</v>
      </c>
      <c r="E174" s="1" t="s">
        <v>3664</v>
      </c>
      <c r="G174" s="1" t="s">
        <v>1060</v>
      </c>
      <c r="H174" s="1" t="s">
        <v>3580</v>
      </c>
      <c r="I174" s="1" t="s">
        <v>3657</v>
      </c>
      <c r="J174" s="1" t="s">
        <v>3658</v>
      </c>
    </row>
    <row r="175" spans="4:11" x14ac:dyDescent="0.35">
      <c r="D175" s="11" t="s">
        <v>3654</v>
      </c>
      <c r="E175" s="1" t="s">
        <v>3665</v>
      </c>
      <c r="G175" s="1" t="s">
        <v>1060</v>
      </c>
      <c r="H175" s="1" t="s">
        <v>3580</v>
      </c>
      <c r="I175" s="1" t="s">
        <v>3660</v>
      </c>
      <c r="J175" s="1" t="s">
        <v>1793</v>
      </c>
    </row>
    <row r="176" spans="4:11" x14ac:dyDescent="0.35">
      <c r="D176" s="11" t="s">
        <v>3655</v>
      </c>
      <c r="E176" s="1" t="s">
        <v>3666</v>
      </c>
      <c r="G176" s="1" t="s">
        <v>1060</v>
      </c>
      <c r="H176" s="1" t="s">
        <v>3580</v>
      </c>
      <c r="I176" s="1" t="s">
        <v>3661</v>
      </c>
      <c r="J176" s="1" t="s">
        <v>3662</v>
      </c>
    </row>
    <row r="177" spans="4:11" x14ac:dyDescent="0.35">
      <c r="D177" s="11" t="s">
        <v>3615</v>
      </c>
      <c r="E177" s="1" t="s">
        <v>3667</v>
      </c>
      <c r="F177" s="1" t="s">
        <v>895</v>
      </c>
      <c r="G177" s="1" t="s">
        <v>1060</v>
      </c>
      <c r="H177" s="1" t="s">
        <v>327</v>
      </c>
      <c r="I177" s="1" t="s">
        <v>1830</v>
      </c>
      <c r="J177" s="1" t="s">
        <v>1831</v>
      </c>
    </row>
    <row r="178" spans="4:11" x14ac:dyDescent="0.35">
      <c r="D178" s="1" t="s">
        <v>1178</v>
      </c>
      <c r="E178" s="1" t="s">
        <v>1179</v>
      </c>
      <c r="F178" s="1" t="s">
        <v>1180</v>
      </c>
      <c r="G178" s="1" t="s">
        <v>1063</v>
      </c>
      <c r="H178" s="1" t="s">
        <v>327</v>
      </c>
      <c r="I178" s="1" t="s">
        <v>1812</v>
      </c>
      <c r="K178" s="1" t="s">
        <v>1838</v>
      </c>
    </row>
    <row r="179" spans="4:11" x14ac:dyDescent="0.35">
      <c r="D179" s="9" t="s">
        <v>1206</v>
      </c>
      <c r="E179" s="1" t="s">
        <v>1177</v>
      </c>
      <c r="G179" s="1" t="s">
        <v>1063</v>
      </c>
      <c r="H179" s="1" t="s">
        <v>1309</v>
      </c>
      <c r="I179" s="1" t="s">
        <v>1836</v>
      </c>
      <c r="J179" s="1" t="s">
        <v>1812</v>
      </c>
      <c r="K179" s="1" t="s">
        <v>1837</v>
      </c>
    </row>
    <row r="180" spans="4:11" x14ac:dyDescent="0.35">
      <c r="D180" s="9" t="s">
        <v>1207</v>
      </c>
      <c r="E180" s="1" t="s">
        <v>1175</v>
      </c>
      <c r="G180" s="1" t="s">
        <v>1063</v>
      </c>
      <c r="H180" s="1" t="s">
        <v>1309</v>
      </c>
      <c r="I180" s="1" t="s">
        <v>1833</v>
      </c>
      <c r="J180" s="1" t="s">
        <v>1836</v>
      </c>
      <c r="K180" s="1" t="s">
        <v>1835</v>
      </c>
    </row>
    <row r="181" spans="4:11" x14ac:dyDescent="0.35">
      <c r="D181" s="9" t="s">
        <v>1208</v>
      </c>
      <c r="E181" s="1" t="s">
        <v>1176</v>
      </c>
      <c r="G181" s="1" t="s">
        <v>1063</v>
      </c>
      <c r="H181" s="1" t="s">
        <v>1309</v>
      </c>
      <c r="I181" s="1" t="s">
        <v>1832</v>
      </c>
      <c r="J181" s="1" t="s">
        <v>1833</v>
      </c>
      <c r="K181" s="1" t="s">
        <v>1834</v>
      </c>
    </row>
    <row r="182" spans="4:11" x14ac:dyDescent="0.35">
      <c r="D182" s="9" t="s">
        <v>1215</v>
      </c>
      <c r="E182" s="1" t="s">
        <v>1310</v>
      </c>
      <c r="F182" s="1" t="s">
        <v>1216</v>
      </c>
      <c r="G182" s="1" t="s">
        <v>1063</v>
      </c>
      <c r="H182" s="1" t="s">
        <v>327</v>
      </c>
      <c r="I182" s="1" t="s">
        <v>1839</v>
      </c>
      <c r="K182" s="1" t="s">
        <v>1840</v>
      </c>
    </row>
    <row r="183" spans="4:11" x14ac:dyDescent="0.35">
      <c r="D183" s="10" t="s">
        <v>1189</v>
      </c>
      <c r="E183" s="1" t="s">
        <v>1191</v>
      </c>
      <c r="F183" s="1" t="s">
        <v>1190</v>
      </c>
      <c r="G183" s="1" t="s">
        <v>1063</v>
      </c>
      <c r="H183" s="1" t="s">
        <v>327</v>
      </c>
      <c r="I183" s="1" t="s">
        <v>1842</v>
      </c>
      <c r="K183" s="1" t="s">
        <v>1844</v>
      </c>
    </row>
    <row r="184" spans="4:11" x14ac:dyDescent="0.35">
      <c r="D184" s="9" t="s">
        <v>1209</v>
      </c>
      <c r="E184" s="1" t="s">
        <v>1192</v>
      </c>
      <c r="G184" s="1" t="s">
        <v>1063</v>
      </c>
      <c r="H184" s="1" t="s">
        <v>1309</v>
      </c>
      <c r="I184" s="1" t="s">
        <v>1236</v>
      </c>
      <c r="J184" s="1" t="s">
        <v>1842</v>
      </c>
      <c r="K184" s="1" t="s">
        <v>1843</v>
      </c>
    </row>
    <row r="185" spans="4:11" x14ac:dyDescent="0.35">
      <c r="D185" s="9" t="s">
        <v>1210</v>
      </c>
      <c r="E185" s="1" t="s">
        <v>1193</v>
      </c>
      <c r="G185" s="1" t="s">
        <v>1063</v>
      </c>
      <c r="H185" s="1" t="s">
        <v>1309</v>
      </c>
      <c r="I185" s="1" t="s">
        <v>1807</v>
      </c>
      <c r="J185" s="1" t="s">
        <v>1236</v>
      </c>
      <c r="K185" s="1" t="s">
        <v>1841</v>
      </c>
    </row>
    <row r="186" spans="4:11" x14ac:dyDescent="0.35">
      <c r="D186" s="9" t="s">
        <v>1194</v>
      </c>
      <c r="E186" s="1" t="s">
        <v>1196</v>
      </c>
      <c r="F186" s="1" t="s">
        <v>1195</v>
      </c>
      <c r="G186" s="1" t="s">
        <v>1060</v>
      </c>
      <c r="H186" s="1" t="s">
        <v>327</v>
      </c>
      <c r="K186" s="1" t="s">
        <v>1847</v>
      </c>
    </row>
    <row r="187" spans="4:11" x14ac:dyDescent="0.35">
      <c r="D187" s="9" t="s">
        <v>1185</v>
      </c>
      <c r="E187" s="1" t="s">
        <v>1186</v>
      </c>
      <c r="G187" s="1" t="s">
        <v>1060</v>
      </c>
      <c r="H187" s="1" t="s">
        <v>1309</v>
      </c>
      <c r="K187" s="1" t="s">
        <v>1846</v>
      </c>
    </row>
    <row r="188" spans="4:11" x14ac:dyDescent="0.35">
      <c r="D188" s="9" t="s">
        <v>1183</v>
      </c>
      <c r="E188" s="1" t="s">
        <v>1184</v>
      </c>
      <c r="G188" s="1" t="s">
        <v>1060</v>
      </c>
      <c r="H188" s="1" t="s">
        <v>1309</v>
      </c>
      <c r="K188" s="1" t="s">
        <v>1845</v>
      </c>
    </row>
    <row r="189" spans="4:11" x14ac:dyDescent="0.35">
      <c r="D189" s="10" t="s">
        <v>1054</v>
      </c>
      <c r="E189" s="1" t="s">
        <v>1055</v>
      </c>
      <c r="F189" s="1" t="s">
        <v>1056</v>
      </c>
      <c r="G189" s="1" t="s">
        <v>1063</v>
      </c>
      <c r="H189" s="1" t="s">
        <v>327</v>
      </c>
      <c r="I189" s="1" t="s">
        <v>1828</v>
      </c>
    </row>
    <row r="190" spans="4:11" x14ac:dyDescent="0.35">
      <c r="D190" s="1" t="s">
        <v>1064</v>
      </c>
      <c r="E190" s="1" t="s">
        <v>1065</v>
      </c>
      <c r="F190" s="1" t="s">
        <v>1066</v>
      </c>
      <c r="G190" s="1" t="s">
        <v>1063</v>
      </c>
      <c r="H190" s="1" t="s">
        <v>327</v>
      </c>
      <c r="I190" s="1" t="s">
        <v>1848</v>
      </c>
    </row>
    <row r="191" spans="4:11" x14ac:dyDescent="0.35">
      <c r="D191" s="1" t="s">
        <v>1197</v>
      </c>
      <c r="E191" s="1" t="s">
        <v>1198</v>
      </c>
      <c r="F191" s="1" t="s">
        <v>1199</v>
      </c>
      <c r="G191" s="1" t="s">
        <v>1061</v>
      </c>
      <c r="H191" s="1" t="s">
        <v>327</v>
      </c>
      <c r="I191" s="1" t="s">
        <v>1777</v>
      </c>
      <c r="K191" s="1" t="s">
        <v>1856</v>
      </c>
    </row>
    <row r="192" spans="4:11" x14ac:dyDescent="0.35">
      <c r="D192" s="9" t="s">
        <v>1205</v>
      </c>
      <c r="E192" s="1" t="s">
        <v>1200</v>
      </c>
      <c r="G192" s="1" t="s">
        <v>1061</v>
      </c>
      <c r="H192" s="1" t="s">
        <v>1309</v>
      </c>
      <c r="I192" s="1" t="s">
        <v>1821</v>
      </c>
      <c r="J192" s="1" t="s">
        <v>1777</v>
      </c>
      <c r="K192" s="1" t="s">
        <v>1857</v>
      </c>
    </row>
    <row r="193" spans="4:11" x14ac:dyDescent="0.35">
      <c r="D193" s="9" t="s">
        <v>1204</v>
      </c>
      <c r="E193" s="1" t="s">
        <v>1201</v>
      </c>
      <c r="G193" s="1" t="s">
        <v>1061</v>
      </c>
      <c r="H193" s="1" t="s">
        <v>1309</v>
      </c>
      <c r="I193" s="1" t="s">
        <v>1807</v>
      </c>
      <c r="J193" s="1" t="s">
        <v>1821</v>
      </c>
      <c r="K193" s="1" t="s">
        <v>1855</v>
      </c>
    </row>
    <row r="194" spans="4:11" x14ac:dyDescent="0.35">
      <c r="D194" s="9" t="s">
        <v>1203</v>
      </c>
      <c r="E194" s="1" t="s">
        <v>1202</v>
      </c>
      <c r="G194" s="1" t="s">
        <v>1061</v>
      </c>
      <c r="H194" s="1" t="s">
        <v>1309</v>
      </c>
      <c r="I194" s="1" t="s">
        <v>1852</v>
      </c>
      <c r="J194" s="1" t="s">
        <v>1807</v>
      </c>
      <c r="K194" s="1" t="s">
        <v>1854</v>
      </c>
    </row>
    <row r="195" spans="4:11" x14ac:dyDescent="0.35">
      <c r="D195" s="9" t="s">
        <v>1851</v>
      </c>
      <c r="E195" s="1" t="s">
        <v>1850</v>
      </c>
      <c r="G195" s="1" t="s">
        <v>1061</v>
      </c>
      <c r="H195" s="1" t="s">
        <v>1309</v>
      </c>
      <c r="I195" s="1" t="s">
        <v>1849</v>
      </c>
      <c r="J195" s="1" t="s">
        <v>1852</v>
      </c>
      <c r="K195" s="1" t="s">
        <v>1853</v>
      </c>
    </row>
    <row r="196" spans="4:11" x14ac:dyDescent="0.35">
      <c r="D196" s="1" t="s">
        <v>329</v>
      </c>
      <c r="E196" s="1" t="s">
        <v>330</v>
      </c>
      <c r="F196" s="1" t="s">
        <v>331</v>
      </c>
      <c r="G196" s="1" t="s">
        <v>1061</v>
      </c>
      <c r="H196" s="1" t="s">
        <v>327</v>
      </c>
    </row>
    <row r="197" spans="4:11" x14ac:dyDescent="0.35">
      <c r="D197" s="9" t="s">
        <v>324</v>
      </c>
      <c r="E197" s="1" t="s">
        <v>325</v>
      </c>
      <c r="F197" s="1" t="s">
        <v>326</v>
      </c>
      <c r="G197" s="1" t="s">
        <v>1060</v>
      </c>
      <c r="H197" s="1" t="s">
        <v>328</v>
      </c>
    </row>
    <row r="198" spans="4:11" x14ac:dyDescent="0.35">
      <c r="D198" s="1" t="s">
        <v>1380</v>
      </c>
      <c r="E198" s="1" t="s">
        <v>1666</v>
      </c>
      <c r="F198" s="1" t="s">
        <v>1667</v>
      </c>
      <c r="G198" s="1" t="s">
        <v>1061</v>
      </c>
      <c r="H198" s="1" t="s">
        <v>327</v>
      </c>
      <c r="I198" s="1" t="s">
        <v>1858</v>
      </c>
    </row>
    <row r="199" spans="4:11" x14ac:dyDescent="0.35">
      <c r="D199" s="1" t="s">
        <v>2173</v>
      </c>
      <c r="E199" s="1" t="s">
        <v>2178</v>
      </c>
      <c r="G199" s="1" t="s">
        <v>2174</v>
      </c>
      <c r="H199" s="1" t="s">
        <v>1309</v>
      </c>
      <c r="I199" s="1" t="s">
        <v>2176</v>
      </c>
      <c r="J199" s="1" t="s">
        <v>2182</v>
      </c>
      <c r="K199" s="1" t="s">
        <v>2181</v>
      </c>
    </row>
    <row r="200" spans="4:11" x14ac:dyDescent="0.35">
      <c r="D200" s="9" t="s">
        <v>2179</v>
      </c>
      <c r="E200" s="1" t="s">
        <v>2177</v>
      </c>
      <c r="G200" s="1" t="s">
        <v>2174</v>
      </c>
      <c r="H200" s="1" t="s">
        <v>1309</v>
      </c>
      <c r="I200" s="1" t="s">
        <v>2175</v>
      </c>
      <c r="J200" s="1" t="s">
        <v>2176</v>
      </c>
      <c r="K200" s="1" t="s">
        <v>2180</v>
      </c>
    </row>
    <row r="201" spans="4:11" x14ac:dyDescent="0.35">
      <c r="D201" s="1" t="s">
        <v>2830</v>
      </c>
      <c r="E201" s="1" t="s">
        <v>2831</v>
      </c>
      <c r="F201" s="1" t="s">
        <v>2832</v>
      </c>
      <c r="G201" s="1" t="s">
        <v>1061</v>
      </c>
      <c r="H201" s="1" t="s">
        <v>327</v>
      </c>
      <c r="I201" s="1" t="s">
        <v>2833</v>
      </c>
      <c r="K201" s="1" t="s">
        <v>2834</v>
      </c>
    </row>
    <row r="202" spans="4:11" x14ac:dyDescent="0.35">
      <c r="D202" s="9" t="s">
        <v>2835</v>
      </c>
      <c r="E202" s="1" t="s">
        <v>2839</v>
      </c>
      <c r="G202" s="1" t="s">
        <v>1061</v>
      </c>
      <c r="H202" s="1" t="s">
        <v>1309</v>
      </c>
      <c r="I202" s="1" t="s">
        <v>1805</v>
      </c>
      <c r="J202" s="1" t="s">
        <v>2833</v>
      </c>
      <c r="K202" s="1" t="s">
        <v>2836</v>
      </c>
    </row>
    <row r="203" spans="4:11" x14ac:dyDescent="0.35">
      <c r="D203" s="9" t="s">
        <v>2837</v>
      </c>
      <c r="E203" s="1" t="s">
        <v>2838</v>
      </c>
      <c r="G203" s="1" t="s">
        <v>1061</v>
      </c>
      <c r="H203" s="1" t="s">
        <v>1309</v>
      </c>
      <c r="I203" s="1" t="s">
        <v>1826</v>
      </c>
      <c r="J203" s="1" t="s">
        <v>1805</v>
      </c>
      <c r="K203" s="1" t="s">
        <v>2840</v>
      </c>
    </row>
    <row r="204" spans="4:11" x14ac:dyDescent="0.35">
      <c r="D204" s="9" t="s">
        <v>2841</v>
      </c>
      <c r="E204" s="1" t="s">
        <v>2842</v>
      </c>
      <c r="G204" s="1" t="s">
        <v>1061</v>
      </c>
      <c r="H204" s="1" t="s">
        <v>1309</v>
      </c>
      <c r="I204" s="1" t="s">
        <v>1828</v>
      </c>
      <c r="J204" s="1" t="s">
        <v>2833</v>
      </c>
      <c r="K204" s="1" t="s">
        <v>2843</v>
      </c>
    </row>
  </sheetData>
  <phoneticPr fontId="2" type="noConversion"/>
  <dataValidations count="2">
    <dataValidation type="custom" allowBlank="1" showInputMessage="1" showErrorMessage="1" sqref="I2:I201" xr:uid="{0A709C97-9892-4632-9CA5-BFD0B120087E}">
      <formula1>__fn_val_dateFormat($I2)</formula1>
    </dataValidation>
    <dataValidation type="custom" allowBlank="1" showInputMessage="1" showErrorMessage="1" sqref="J2:J201" xr:uid="{AAF20FF3-59E5-4AD7-9ADD-4FB677741B6D}">
      <formula1>__fn_val_dateFormat($J2)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8D0E-3F9B-4BAB-B417-23AFD726280A}">
  <dimension ref="A1:J73"/>
  <sheetViews>
    <sheetView workbookViewId="0">
      <selection activeCell="C65" sqref="C65"/>
    </sheetView>
    <sheetView topLeftCell="D10" workbookViewId="1">
      <selection activeCell="D56" sqref="D56"/>
    </sheetView>
  </sheetViews>
  <sheetFormatPr defaultRowHeight="14.5" x14ac:dyDescent="0.35"/>
  <cols>
    <col min="1" max="1" width="16.36328125" bestFit="1" customWidth="1"/>
    <col min="2" max="2" width="18.90625" bestFit="1" customWidth="1"/>
    <col min="3" max="3" width="19.6328125" bestFit="1" customWidth="1"/>
    <col min="4" max="4" width="19.6328125" style="1" customWidth="1"/>
    <col min="5" max="5" width="20.6328125" style="1" customWidth="1"/>
    <col min="6" max="6" width="39.36328125" style="1" customWidth="1"/>
    <col min="7" max="7" width="148.7265625" style="1" bestFit="1" customWidth="1"/>
    <col min="8" max="8" width="65.6328125" bestFit="1" customWidth="1"/>
    <col min="9" max="9" width="65.6328125" customWidth="1"/>
    <col min="10" max="10" width="32.1796875" customWidth="1"/>
  </cols>
  <sheetData>
    <row r="1" spans="1:10" x14ac:dyDescent="0.35">
      <c r="A1" t="s">
        <v>1305</v>
      </c>
      <c r="B1" t="s">
        <v>935</v>
      </c>
      <c r="C1" t="s">
        <v>936</v>
      </c>
      <c r="D1" s="1" t="s">
        <v>937</v>
      </c>
      <c r="E1" s="1" t="s">
        <v>1306</v>
      </c>
      <c r="F1" s="1" t="s">
        <v>938</v>
      </c>
      <c r="G1" s="1" t="s">
        <v>939</v>
      </c>
      <c r="H1" s="1" t="s">
        <v>958</v>
      </c>
      <c r="I1" s="1" t="s">
        <v>1313</v>
      </c>
      <c r="J1" s="1" t="s">
        <v>1115</v>
      </c>
    </row>
    <row r="2" spans="1:10" x14ac:dyDescent="0.35">
      <c r="D2" s="1" t="s">
        <v>953</v>
      </c>
      <c r="E2" s="1" t="s">
        <v>1307</v>
      </c>
      <c r="F2" s="1" t="s">
        <v>1119</v>
      </c>
      <c r="G2" s="1" t="s">
        <v>1118</v>
      </c>
      <c r="H2" s="1"/>
      <c r="I2" s="1"/>
      <c r="J2" s="1"/>
    </row>
    <row r="3" spans="1:10" x14ac:dyDescent="0.35">
      <c r="D3" s="1" t="s">
        <v>953</v>
      </c>
      <c r="E3" s="1" t="s">
        <v>1307</v>
      </c>
      <c r="F3" s="1" t="s">
        <v>1229</v>
      </c>
      <c r="G3" s="1" t="s">
        <v>1231</v>
      </c>
      <c r="H3" s="31" t="s">
        <v>1230</v>
      </c>
      <c r="I3" s="1"/>
      <c r="J3" s="1"/>
    </row>
    <row r="4" spans="1:10" x14ac:dyDescent="0.35">
      <c r="D4" s="1" t="s">
        <v>953</v>
      </c>
      <c r="E4" s="1" t="s">
        <v>1307</v>
      </c>
      <c r="F4" s="1" t="s">
        <v>1270</v>
      </c>
      <c r="G4" s="1" t="s">
        <v>1254</v>
      </c>
      <c r="H4" s="1"/>
      <c r="I4" s="1"/>
      <c r="J4" s="1"/>
    </row>
    <row r="5" spans="1:10" x14ac:dyDescent="0.35">
      <c r="D5" s="1" t="s">
        <v>953</v>
      </c>
      <c r="E5" s="1" t="s">
        <v>1307</v>
      </c>
      <c r="F5" s="1" t="s">
        <v>3029</v>
      </c>
      <c r="G5" s="1" t="s">
        <v>1271</v>
      </c>
      <c r="H5" s="1" t="s">
        <v>1272</v>
      </c>
      <c r="I5" s="1"/>
      <c r="J5" s="1"/>
    </row>
    <row r="6" spans="1:10" x14ac:dyDescent="0.35">
      <c r="D6" s="1" t="s">
        <v>953</v>
      </c>
      <c r="E6" s="1" t="s">
        <v>1307</v>
      </c>
      <c r="F6" s="1" t="s">
        <v>2936</v>
      </c>
      <c r="G6" s="1" t="s">
        <v>2874</v>
      </c>
      <c r="H6" s="1" t="s">
        <v>2937</v>
      </c>
      <c r="I6" s="1"/>
      <c r="J6" s="1"/>
    </row>
    <row r="7" spans="1:10" x14ac:dyDescent="0.35">
      <c r="D7" s="1" t="s">
        <v>953</v>
      </c>
      <c r="E7" s="1" t="s">
        <v>1307</v>
      </c>
      <c r="F7" s="1" t="s">
        <v>2939</v>
      </c>
      <c r="G7" s="1" t="s">
        <v>2855</v>
      </c>
      <c r="H7" s="1"/>
      <c r="I7" s="1"/>
      <c r="J7" s="1"/>
    </row>
    <row r="8" spans="1:10" x14ac:dyDescent="0.35">
      <c r="D8" s="1" t="s">
        <v>953</v>
      </c>
      <c r="E8" s="1" t="s">
        <v>1577</v>
      </c>
      <c r="F8" s="1" t="s">
        <v>2940</v>
      </c>
      <c r="G8" s="1" t="s">
        <v>2858</v>
      </c>
      <c r="H8" t="s">
        <v>2865</v>
      </c>
      <c r="I8" s="1"/>
      <c r="J8" s="1"/>
    </row>
    <row r="9" spans="1:10" x14ac:dyDescent="0.35">
      <c r="D9" s="1" t="s">
        <v>953</v>
      </c>
      <c r="E9" s="1" t="s">
        <v>1307</v>
      </c>
      <c r="F9" s="1" t="s">
        <v>2941</v>
      </c>
      <c r="G9" t="s">
        <v>2924</v>
      </c>
      <c r="I9" s="1"/>
      <c r="J9" s="1"/>
    </row>
    <row r="10" spans="1:10" x14ac:dyDescent="0.35">
      <c r="D10" s="1" t="s">
        <v>953</v>
      </c>
      <c r="E10" s="1" t="s">
        <v>1307</v>
      </c>
      <c r="F10" s="1" t="s">
        <v>2942</v>
      </c>
      <c r="G10" s="1" t="s">
        <v>2910</v>
      </c>
      <c r="H10" t="s">
        <v>2943</v>
      </c>
      <c r="I10" s="1"/>
      <c r="J10" s="1"/>
    </row>
    <row r="11" spans="1:10" x14ac:dyDescent="0.35">
      <c r="D11" s="1" t="s">
        <v>953</v>
      </c>
      <c r="E11" s="1" t="s">
        <v>1307</v>
      </c>
      <c r="F11" s="1" t="s">
        <v>2889</v>
      </c>
      <c r="G11" t="s">
        <v>2898</v>
      </c>
      <c r="I11" s="1"/>
      <c r="J11" s="1"/>
    </row>
    <row r="12" spans="1:10" x14ac:dyDescent="0.35">
      <c r="D12" s="1" t="s">
        <v>953</v>
      </c>
      <c r="E12" s="1" t="s">
        <v>1577</v>
      </c>
      <c r="F12" t="s">
        <v>2944</v>
      </c>
      <c r="G12" s="1" t="s">
        <v>2899</v>
      </c>
      <c r="I12" s="1"/>
      <c r="J12" s="1"/>
    </row>
    <row r="13" spans="1:10" x14ac:dyDescent="0.35">
      <c r="D13" s="1" t="s">
        <v>953</v>
      </c>
      <c r="E13" s="1" t="s">
        <v>1307</v>
      </c>
      <c r="F13" t="s">
        <v>2951</v>
      </c>
      <c r="G13" s="1" t="s">
        <v>2950</v>
      </c>
      <c r="H13" t="s">
        <v>2952</v>
      </c>
      <c r="I13" s="1"/>
      <c r="J13" s="1"/>
    </row>
    <row r="14" spans="1:10" x14ac:dyDescent="0.35">
      <c r="D14" s="1" t="s">
        <v>953</v>
      </c>
      <c r="E14" s="1" t="s">
        <v>1307</v>
      </c>
      <c r="F14" t="s">
        <v>2890</v>
      </c>
      <c r="G14" t="s">
        <v>2956</v>
      </c>
      <c r="I14" s="1"/>
      <c r="J14" s="1"/>
    </row>
    <row r="15" spans="1:10" x14ac:dyDescent="0.35">
      <c r="D15" s="1" t="s">
        <v>953</v>
      </c>
      <c r="E15" s="1" t="s">
        <v>1307</v>
      </c>
      <c r="F15" t="s">
        <v>2891</v>
      </c>
      <c r="G15" t="s">
        <v>2997</v>
      </c>
      <c r="I15" s="1"/>
      <c r="J15" s="1"/>
    </row>
    <row r="16" spans="1:10" x14ac:dyDescent="0.35">
      <c r="D16" s="1" t="s">
        <v>953</v>
      </c>
      <c r="E16" s="1" t="s">
        <v>1577</v>
      </c>
      <c r="F16" t="s">
        <v>3011</v>
      </c>
      <c r="G16" t="s">
        <v>2995</v>
      </c>
      <c r="I16" s="1"/>
      <c r="J16" s="1"/>
    </row>
    <row r="17" spans="4:10" x14ac:dyDescent="0.35">
      <c r="D17" s="1" t="s">
        <v>953</v>
      </c>
      <c r="E17" s="1" t="s">
        <v>1307</v>
      </c>
      <c r="F17" t="s">
        <v>3028</v>
      </c>
      <c r="G17" t="s">
        <v>3026</v>
      </c>
      <c r="I17" s="1"/>
      <c r="J17" s="1"/>
    </row>
    <row r="18" spans="4:10" x14ac:dyDescent="0.35">
      <c r="D18" s="1" t="s">
        <v>953</v>
      </c>
      <c r="E18" s="1" t="s">
        <v>1577</v>
      </c>
      <c r="F18" t="s">
        <v>3027</v>
      </c>
      <c r="G18" t="s">
        <v>3026</v>
      </c>
      <c r="I18" s="1"/>
      <c r="J18" s="1"/>
    </row>
    <row r="19" spans="4:10" x14ac:dyDescent="0.35">
      <c r="D19" s="1" t="s">
        <v>953</v>
      </c>
      <c r="E19" s="1" t="s">
        <v>1577</v>
      </c>
      <c r="F19" t="s">
        <v>2892</v>
      </c>
      <c r="G19" t="s">
        <v>3108</v>
      </c>
      <c r="I19" s="1"/>
      <c r="J19" s="1"/>
    </row>
    <row r="20" spans="4:10" x14ac:dyDescent="0.35">
      <c r="D20" s="1" t="s">
        <v>953</v>
      </c>
      <c r="E20" s="1" t="s">
        <v>1307</v>
      </c>
      <c r="F20" t="s">
        <v>3117</v>
      </c>
      <c r="G20" t="s">
        <v>3111</v>
      </c>
      <c r="I20" s="1"/>
      <c r="J20" s="1"/>
    </row>
    <row r="21" spans="4:10" x14ac:dyDescent="0.35">
      <c r="D21" s="1" t="s">
        <v>953</v>
      </c>
      <c r="E21" s="1" t="s">
        <v>1307</v>
      </c>
      <c r="F21" t="s">
        <v>3119</v>
      </c>
      <c r="G21" s="1" t="s">
        <v>3120</v>
      </c>
      <c r="I21" s="1"/>
      <c r="J21" s="1"/>
    </row>
    <row r="22" spans="4:10" x14ac:dyDescent="0.35">
      <c r="D22" s="1" t="s">
        <v>953</v>
      </c>
      <c r="E22" s="1" t="s">
        <v>1307</v>
      </c>
      <c r="F22" s="1" t="s">
        <v>1380</v>
      </c>
      <c r="G22" s="1" t="s">
        <v>1382</v>
      </c>
      <c r="H22" s="1" t="s">
        <v>1381</v>
      </c>
      <c r="I22" s="1"/>
      <c r="J22" s="1"/>
    </row>
    <row r="23" spans="4:10" x14ac:dyDescent="0.35">
      <c r="D23" s="1" t="s">
        <v>953</v>
      </c>
      <c r="E23" s="1" t="s">
        <v>1307</v>
      </c>
      <c r="F23" s="1" t="s">
        <v>1383</v>
      </c>
      <c r="G23" s="1" t="s">
        <v>1384</v>
      </c>
      <c r="H23" s="1"/>
      <c r="I23" s="1"/>
      <c r="J23" s="1"/>
    </row>
    <row r="24" spans="4:10" x14ac:dyDescent="0.35">
      <c r="D24" s="1" t="s">
        <v>953</v>
      </c>
      <c r="E24" s="1" t="s">
        <v>1577</v>
      </c>
      <c r="F24" s="1" t="s">
        <v>1578</v>
      </c>
      <c r="G24" s="1" t="s">
        <v>1520</v>
      </c>
      <c r="H24" s="1" t="s">
        <v>1519</v>
      </c>
      <c r="I24" s="1"/>
      <c r="J24" s="1"/>
    </row>
    <row r="25" spans="4:10" x14ac:dyDescent="0.35">
      <c r="D25" s="1" t="s">
        <v>953</v>
      </c>
      <c r="E25" s="1" t="s">
        <v>1577</v>
      </c>
      <c r="F25" s="1" t="s">
        <v>1675</v>
      </c>
      <c r="G25" s="1" t="s">
        <v>1676</v>
      </c>
      <c r="H25" s="1"/>
      <c r="I25" s="1" t="s">
        <v>1677</v>
      </c>
      <c r="J25" s="1"/>
    </row>
    <row r="26" spans="4:10" x14ac:dyDescent="0.35">
      <c r="D26" s="1" t="s">
        <v>953</v>
      </c>
      <c r="E26" s="1" t="s">
        <v>1577</v>
      </c>
      <c r="F26" s="1" t="s">
        <v>1579</v>
      </c>
      <c r="G26" s="1" t="s">
        <v>1580</v>
      </c>
      <c r="H26" s="1" t="s">
        <v>1581</v>
      </c>
      <c r="I26" s="1"/>
      <c r="J26" s="1"/>
    </row>
    <row r="27" spans="4:10" x14ac:dyDescent="0.35">
      <c r="D27" s="1" t="s">
        <v>953</v>
      </c>
      <c r="E27" s="1" t="s">
        <v>1577</v>
      </c>
      <c r="F27" s="1" t="s">
        <v>1681</v>
      </c>
      <c r="G27" s="1" t="s">
        <v>1682</v>
      </c>
      <c r="H27" s="1"/>
      <c r="I27" s="1" t="s">
        <v>1683</v>
      </c>
      <c r="J27" s="1"/>
    </row>
    <row r="28" spans="4:10" x14ac:dyDescent="0.35">
      <c r="D28" s="1" t="s">
        <v>953</v>
      </c>
      <c r="E28" s="1" t="s">
        <v>1577</v>
      </c>
      <c r="F28" s="1" t="s">
        <v>1686</v>
      </c>
      <c r="G28" s="1" t="s">
        <v>1687</v>
      </c>
      <c r="H28" s="1"/>
      <c r="I28" s="1" t="s">
        <v>1694</v>
      </c>
      <c r="J28" s="1"/>
    </row>
    <row r="29" spans="4:10" x14ac:dyDescent="0.35">
      <c r="D29" s="1" t="s">
        <v>953</v>
      </c>
      <c r="E29" s="1" t="s">
        <v>1577</v>
      </c>
      <c r="F29" s="1" t="s">
        <v>1653</v>
      </c>
      <c r="G29" s="1" t="s">
        <v>1591</v>
      </c>
      <c r="H29" s="1" t="s">
        <v>1654</v>
      </c>
      <c r="I29" s="1"/>
      <c r="J29" s="1"/>
    </row>
    <row r="30" spans="4:10" x14ac:dyDescent="0.35">
      <c r="D30" s="1" t="s">
        <v>953</v>
      </c>
      <c r="E30" s="1" t="s">
        <v>1577</v>
      </c>
      <c r="F30" s="1" t="s">
        <v>1692</v>
      </c>
      <c r="G30" s="1" t="s">
        <v>1693</v>
      </c>
      <c r="H30" s="1"/>
      <c r="I30" s="1" t="s">
        <v>1695</v>
      </c>
      <c r="J30" s="1"/>
    </row>
    <row r="31" spans="4:10" x14ac:dyDescent="0.35">
      <c r="D31" s="1" t="s">
        <v>953</v>
      </c>
      <c r="E31" s="1" t="s">
        <v>1577</v>
      </c>
      <c r="F31" s="1" t="s">
        <v>1696</v>
      </c>
      <c r="G31" s="1" t="s">
        <v>1697</v>
      </c>
      <c r="H31" s="1"/>
      <c r="I31" s="1" t="s">
        <v>1695</v>
      </c>
      <c r="J31" s="1"/>
    </row>
    <row r="32" spans="4:10" x14ac:dyDescent="0.35">
      <c r="D32" s="1" t="s">
        <v>953</v>
      </c>
      <c r="E32" s="1" t="s">
        <v>1577</v>
      </c>
      <c r="F32" s="1" t="s">
        <v>1698</v>
      </c>
      <c r="G32" s="1" t="s">
        <v>1699</v>
      </c>
      <c r="H32" s="1"/>
      <c r="I32" s="1" t="s">
        <v>1695</v>
      </c>
      <c r="J32" s="1"/>
    </row>
    <row r="33" spans="4:10" x14ac:dyDescent="0.35">
      <c r="D33" s="1" t="s">
        <v>953</v>
      </c>
      <c r="E33" s="1" t="s">
        <v>1577</v>
      </c>
      <c r="F33" s="1" t="s">
        <v>1700</v>
      </c>
      <c r="G33" s="1" t="s">
        <v>1701</v>
      </c>
      <c r="H33" s="1"/>
      <c r="I33" s="1" t="s">
        <v>1695</v>
      </c>
      <c r="J33" s="1"/>
    </row>
    <row r="34" spans="4:10" x14ac:dyDescent="0.35">
      <c r="D34" s="1" t="s">
        <v>953</v>
      </c>
      <c r="E34" s="1" t="s">
        <v>1577</v>
      </c>
      <c r="F34" s="1" t="s">
        <v>1655</v>
      </c>
      <c r="G34" s="1" t="s">
        <v>1656</v>
      </c>
      <c r="H34" s="1" t="s">
        <v>1657</v>
      </c>
      <c r="I34" s="1"/>
      <c r="J34" s="1"/>
    </row>
    <row r="35" spans="4:10" x14ac:dyDescent="0.35">
      <c r="D35" s="1" t="s">
        <v>953</v>
      </c>
      <c r="E35" s="1" t="s">
        <v>1577</v>
      </c>
      <c r="F35" s="1" t="s">
        <v>1658</v>
      </c>
      <c r="G35" s="1" t="s">
        <v>1659</v>
      </c>
      <c r="H35" s="1" t="s">
        <v>1660</v>
      </c>
      <c r="I35" s="1"/>
      <c r="J35" s="1"/>
    </row>
    <row r="36" spans="4:10" x14ac:dyDescent="0.35">
      <c r="D36" s="1" t="s">
        <v>953</v>
      </c>
      <c r="E36" s="1" t="s">
        <v>1577</v>
      </c>
      <c r="F36" s="1" t="s">
        <v>1715</v>
      </c>
      <c r="G36" s="1" t="s">
        <v>1716</v>
      </c>
      <c r="H36" s="1"/>
      <c r="I36" s="1" t="s">
        <v>1717</v>
      </c>
      <c r="J36" s="1"/>
    </row>
    <row r="37" spans="4:10" x14ac:dyDescent="0.35">
      <c r="D37" s="1" t="s">
        <v>953</v>
      </c>
      <c r="E37" s="1" t="s">
        <v>1577</v>
      </c>
      <c r="F37" s="1" t="s">
        <v>1718</v>
      </c>
      <c r="G37" s="1" t="s">
        <v>1719</v>
      </c>
      <c r="H37" s="1"/>
      <c r="I37" s="1" t="s">
        <v>1717</v>
      </c>
      <c r="J37" s="1"/>
    </row>
    <row r="38" spans="4:10" x14ac:dyDescent="0.35">
      <c r="D38" s="1" t="s">
        <v>953</v>
      </c>
      <c r="E38" s="1" t="s">
        <v>1577</v>
      </c>
      <c r="F38" s="1" t="s">
        <v>1661</v>
      </c>
      <c r="G38" s="1" t="s">
        <v>1662</v>
      </c>
      <c r="H38" s="1" t="s">
        <v>1663</v>
      </c>
      <c r="I38" s="1"/>
      <c r="J38" s="1"/>
    </row>
    <row r="39" spans="4:10" x14ac:dyDescent="0.35">
      <c r="D39" s="1" t="s">
        <v>953</v>
      </c>
      <c r="E39" s="1" t="s">
        <v>1577</v>
      </c>
      <c r="F39" s="1" t="s">
        <v>1728</v>
      </c>
      <c r="G39" s="1" t="s">
        <v>1729</v>
      </c>
      <c r="H39" s="1"/>
      <c r="I39" s="1" t="s">
        <v>1730</v>
      </c>
      <c r="J39" s="1"/>
    </row>
    <row r="40" spans="4:10" x14ac:dyDescent="0.35">
      <c r="D40" s="1" t="s">
        <v>953</v>
      </c>
      <c r="E40" s="1" t="s">
        <v>1577</v>
      </c>
      <c r="F40" s="1" t="s">
        <v>1731</v>
      </c>
      <c r="G40" s="1" t="s">
        <v>1732</v>
      </c>
      <c r="H40" s="1"/>
      <c r="I40" s="1" t="s">
        <v>1730</v>
      </c>
      <c r="J40" s="1"/>
    </row>
    <row r="41" spans="4:10" x14ac:dyDescent="0.35">
      <c r="D41" s="1" t="s">
        <v>953</v>
      </c>
      <c r="E41" s="1" t="s">
        <v>1577</v>
      </c>
      <c r="F41" s="1" t="s">
        <v>1664</v>
      </c>
      <c r="G41" s="1" t="s">
        <v>1665</v>
      </c>
      <c r="H41" s="1" t="s">
        <v>1644</v>
      </c>
      <c r="I41" s="1"/>
      <c r="J41" s="1"/>
    </row>
    <row r="42" spans="4:10" x14ac:dyDescent="0.35">
      <c r="D42" s="1" t="s">
        <v>953</v>
      </c>
      <c r="E42" s="1" t="s">
        <v>1577</v>
      </c>
      <c r="F42" s="1" t="s">
        <v>1739</v>
      </c>
      <c r="G42" s="1" t="s">
        <v>1740</v>
      </c>
      <c r="H42" s="1"/>
      <c r="I42" s="1" t="s">
        <v>1741</v>
      </c>
      <c r="J42" s="1"/>
    </row>
    <row r="43" spans="4:10" x14ac:dyDescent="0.35">
      <c r="D43" s="1" t="s">
        <v>953</v>
      </c>
      <c r="E43" s="1" t="s">
        <v>1577</v>
      </c>
      <c r="F43" s="1" t="s">
        <v>1742</v>
      </c>
      <c r="G43" s="1" t="s">
        <v>1743</v>
      </c>
      <c r="H43" s="1"/>
      <c r="I43" s="1" t="s">
        <v>1741</v>
      </c>
      <c r="J43" s="1"/>
    </row>
    <row r="44" spans="4:10" x14ac:dyDescent="0.35">
      <c r="D44" s="1" t="s">
        <v>953</v>
      </c>
      <c r="E44" s="1" t="s">
        <v>1577</v>
      </c>
      <c r="F44" s="1" t="s">
        <v>3143</v>
      </c>
      <c r="G44" s="1" t="s">
        <v>3143</v>
      </c>
      <c r="H44" s="1"/>
      <c r="I44" s="1"/>
      <c r="J44" s="1"/>
    </row>
    <row r="45" spans="4:10" x14ac:dyDescent="0.35">
      <c r="D45" s="1" t="s">
        <v>953</v>
      </c>
      <c r="E45" s="1" t="s">
        <v>1577</v>
      </c>
      <c r="F45" s="1" t="s">
        <v>3157</v>
      </c>
      <c r="G45" s="1" t="s">
        <v>3158</v>
      </c>
      <c r="H45" s="1"/>
      <c r="I45" s="1"/>
      <c r="J45" s="1"/>
    </row>
    <row r="46" spans="4:10" x14ac:dyDescent="0.35">
      <c r="D46" s="1" t="s">
        <v>953</v>
      </c>
      <c r="E46" s="1" t="s">
        <v>1307</v>
      </c>
      <c r="F46" s="1" t="s">
        <v>3202</v>
      </c>
      <c r="G46" t="s">
        <v>3203</v>
      </c>
      <c r="H46" s="1"/>
      <c r="I46" s="1"/>
      <c r="J46" s="1"/>
    </row>
    <row r="47" spans="4:10" x14ac:dyDescent="0.35">
      <c r="D47" s="1" t="s">
        <v>953</v>
      </c>
      <c r="E47" s="1" t="s">
        <v>1577</v>
      </c>
      <c r="F47" s="1" t="s">
        <v>3326</v>
      </c>
      <c r="G47" s="1" t="s">
        <v>3311</v>
      </c>
      <c r="H47" s="31" t="s">
        <v>3299</v>
      </c>
      <c r="I47" s="1"/>
      <c r="J47" s="1"/>
    </row>
    <row r="48" spans="4:10" x14ac:dyDescent="0.35">
      <c r="D48" s="1" t="s">
        <v>953</v>
      </c>
      <c r="E48" s="1" t="s">
        <v>1577</v>
      </c>
      <c r="F48" s="1" t="s">
        <v>3331</v>
      </c>
      <c r="G48" s="1" t="s">
        <v>3329</v>
      </c>
      <c r="H48" s="31"/>
      <c r="I48" s="1" t="s">
        <v>3330</v>
      </c>
      <c r="J48" s="1"/>
    </row>
    <row r="49" spans="4:10" x14ac:dyDescent="0.35">
      <c r="D49" s="1" t="s">
        <v>953</v>
      </c>
      <c r="E49" s="1" t="s">
        <v>1577</v>
      </c>
      <c r="F49" s="1" t="s">
        <v>3327</v>
      </c>
      <c r="G49" s="1" t="s">
        <v>3315</v>
      </c>
      <c r="H49" s="31" t="s">
        <v>3309</v>
      </c>
      <c r="I49" s="1"/>
      <c r="J49" s="1"/>
    </row>
    <row r="50" spans="4:10" x14ac:dyDescent="0.35">
      <c r="D50" s="1" t="s">
        <v>953</v>
      </c>
      <c r="E50" s="1" t="s">
        <v>1577</v>
      </c>
      <c r="F50" s="1" t="s">
        <v>3328</v>
      </c>
      <c r="G50" s="1" t="s">
        <v>3320</v>
      </c>
      <c r="H50" s="31" t="s">
        <v>3321</v>
      </c>
      <c r="I50" s="1"/>
      <c r="J50" s="1"/>
    </row>
    <row r="51" spans="4:10" x14ac:dyDescent="0.35">
      <c r="D51" s="1" t="s">
        <v>953</v>
      </c>
      <c r="E51" s="1" t="s">
        <v>1307</v>
      </c>
      <c r="F51" s="1" t="s">
        <v>3194</v>
      </c>
      <c r="G51" t="s">
        <v>3364</v>
      </c>
      <c r="H51" s="31"/>
      <c r="I51" s="1"/>
      <c r="J51" s="1"/>
    </row>
    <row r="52" spans="4:10" x14ac:dyDescent="0.35">
      <c r="D52" s="1" t="s">
        <v>953</v>
      </c>
      <c r="E52" s="1" t="s">
        <v>1577</v>
      </c>
      <c r="F52" s="1" t="s">
        <v>3382</v>
      </c>
      <c r="G52" t="s">
        <v>3366</v>
      </c>
      <c r="H52" s="1" t="s">
        <v>3376</v>
      </c>
      <c r="I52" s="1"/>
      <c r="J52" s="1"/>
    </row>
    <row r="53" spans="4:10" x14ac:dyDescent="0.35">
      <c r="D53" s="1" t="s">
        <v>953</v>
      </c>
      <c r="E53" s="1" t="s">
        <v>1307</v>
      </c>
      <c r="F53" s="1" t="s">
        <v>3447</v>
      </c>
      <c r="G53" t="s">
        <v>3442</v>
      </c>
      <c r="H53" s="1"/>
      <c r="I53" s="1"/>
      <c r="J53" s="1"/>
    </row>
    <row r="54" spans="4:10" x14ac:dyDescent="0.35">
      <c r="D54" s="1" t="s">
        <v>953</v>
      </c>
      <c r="E54" s="1" t="s">
        <v>1577</v>
      </c>
      <c r="F54" s="1" t="s">
        <v>3443</v>
      </c>
      <c r="G54" t="s">
        <v>3413</v>
      </c>
      <c r="H54" s="31" t="s">
        <v>3436</v>
      </c>
      <c r="I54" s="1"/>
      <c r="J54" s="1"/>
    </row>
    <row r="55" spans="4:10" x14ac:dyDescent="0.35">
      <c r="D55" s="1" t="s">
        <v>953</v>
      </c>
      <c r="E55" s="1" t="s">
        <v>1577</v>
      </c>
      <c r="F55" s="1" t="s">
        <v>3444</v>
      </c>
      <c r="G55" t="s">
        <v>3445</v>
      </c>
      <c r="H55" s="31"/>
      <c r="I55" s="1" t="s">
        <v>3446</v>
      </c>
      <c r="J55" s="1"/>
    </row>
    <row r="56" spans="4:10" x14ac:dyDescent="0.35">
      <c r="D56" s="1" t="s">
        <v>953</v>
      </c>
      <c r="E56" s="1" t="s">
        <v>1307</v>
      </c>
      <c r="F56" s="1" t="s">
        <v>3179</v>
      </c>
      <c r="G56" s="1" t="s">
        <v>3180</v>
      </c>
      <c r="H56" s="1"/>
      <c r="I56" s="1" t="s">
        <v>3181</v>
      </c>
      <c r="J56" s="1"/>
    </row>
    <row r="57" spans="4:10" x14ac:dyDescent="0.35">
      <c r="D57" s="1" t="s">
        <v>953</v>
      </c>
      <c r="E57" s="1" t="s">
        <v>1307</v>
      </c>
      <c r="F57" s="1" t="s">
        <v>2733</v>
      </c>
      <c r="G57" s="1" t="s">
        <v>3182</v>
      </c>
      <c r="H57" s="1"/>
      <c r="I57" s="1" t="s">
        <v>3183</v>
      </c>
      <c r="J57" s="1"/>
    </row>
    <row r="58" spans="4:10" x14ac:dyDescent="0.35">
      <c r="D58" s="1" t="s">
        <v>953</v>
      </c>
      <c r="E58" s="1" t="s">
        <v>1307</v>
      </c>
      <c r="F58" s="1" t="s">
        <v>1890</v>
      </c>
      <c r="G58" s="1" t="s">
        <v>1891</v>
      </c>
      <c r="H58" s="1"/>
      <c r="I58" s="1"/>
      <c r="J58" s="1"/>
    </row>
    <row r="59" spans="4:10" x14ac:dyDescent="0.35">
      <c r="D59" s="1" t="s">
        <v>953</v>
      </c>
      <c r="E59" s="1" t="s">
        <v>1307</v>
      </c>
      <c r="F59" s="1" t="s">
        <v>2147</v>
      </c>
      <c r="G59" s="1" t="s">
        <v>1970</v>
      </c>
      <c r="H59" s="1"/>
      <c r="I59" s="1"/>
      <c r="J59" s="1"/>
    </row>
    <row r="60" spans="4:10" x14ac:dyDescent="0.35">
      <c r="D60" s="1" t="s">
        <v>953</v>
      </c>
      <c r="E60" s="1" t="s">
        <v>1307</v>
      </c>
      <c r="F60" s="1" t="s">
        <v>2283</v>
      </c>
      <c r="G60" s="1" t="s">
        <v>2284</v>
      </c>
      <c r="H60" s="1"/>
      <c r="I60" s="1"/>
      <c r="J60" s="1"/>
    </row>
    <row r="61" spans="4:10" x14ac:dyDescent="0.35">
      <c r="D61" s="1" t="s">
        <v>953</v>
      </c>
      <c r="E61" s="1" t="s">
        <v>1668</v>
      </c>
      <c r="F61" s="1" t="s">
        <v>3138</v>
      </c>
      <c r="G61" s="1" t="s">
        <v>3139</v>
      </c>
      <c r="H61" s="1" t="s">
        <v>3140</v>
      </c>
      <c r="I61" s="1" t="s">
        <v>3141</v>
      </c>
      <c r="J61" s="1"/>
    </row>
    <row r="62" spans="4:10" x14ac:dyDescent="0.35">
      <c r="D62" s="1" t="s">
        <v>953</v>
      </c>
      <c r="E62" s="1" t="s">
        <v>1668</v>
      </c>
      <c r="F62" s="1" t="s">
        <v>52</v>
      </c>
      <c r="G62" s="1" t="s">
        <v>53</v>
      </c>
      <c r="H62" s="1" t="s">
        <v>54</v>
      </c>
      <c r="I62" s="1" t="s">
        <v>1861</v>
      </c>
      <c r="J62" s="1"/>
    </row>
    <row r="63" spans="4:10" x14ac:dyDescent="0.35">
      <c r="D63" s="1" t="s">
        <v>953</v>
      </c>
      <c r="E63" s="1" t="s">
        <v>1668</v>
      </c>
      <c r="F63" s="1" t="s">
        <v>55</v>
      </c>
      <c r="G63" s="1" t="s">
        <v>56</v>
      </c>
      <c r="H63" s="1" t="s">
        <v>57</v>
      </c>
      <c r="I63" s="1" t="s">
        <v>2309</v>
      </c>
      <c r="J63" s="1"/>
    </row>
    <row r="64" spans="4:10" x14ac:dyDescent="0.35">
      <c r="D64" s="1" t="s">
        <v>953</v>
      </c>
      <c r="E64" s="1" t="s">
        <v>1668</v>
      </c>
      <c r="F64" s="1" t="s">
        <v>78</v>
      </c>
      <c r="G64" s="1" t="s">
        <v>79</v>
      </c>
      <c r="H64" s="31" t="s">
        <v>82</v>
      </c>
      <c r="I64" s="1" t="s">
        <v>3157</v>
      </c>
      <c r="J64" s="1"/>
    </row>
    <row r="65" spans="4:10" x14ac:dyDescent="0.35">
      <c r="D65" s="1" t="s">
        <v>953</v>
      </c>
      <c r="E65" s="1" t="s">
        <v>1668</v>
      </c>
      <c r="F65" s="1" t="s">
        <v>1296</v>
      </c>
      <c r="G65" s="1" t="s">
        <v>1297</v>
      </c>
      <c r="H65" t="s">
        <v>1298</v>
      </c>
      <c r="I65" s="1" t="s">
        <v>1669</v>
      </c>
      <c r="J65" s="1"/>
    </row>
    <row r="66" spans="4:10" x14ac:dyDescent="0.35">
      <c r="D66" s="1" t="s">
        <v>953</v>
      </c>
      <c r="E66" s="1" t="s">
        <v>1668</v>
      </c>
      <c r="F66" s="1" t="s">
        <v>2453</v>
      </c>
      <c r="G66" s="1" t="s">
        <v>2454</v>
      </c>
      <c r="H66" t="s">
        <v>2455</v>
      </c>
      <c r="I66" s="1" t="s">
        <v>2456</v>
      </c>
      <c r="J66" s="1"/>
    </row>
    <row r="67" spans="4:10" x14ac:dyDescent="0.35">
      <c r="D67" s="1" t="s">
        <v>953</v>
      </c>
      <c r="E67" s="1" t="s">
        <v>1668</v>
      </c>
      <c r="F67" s="1" t="s">
        <v>2483</v>
      </c>
      <c r="G67" s="1" t="s">
        <v>2484</v>
      </c>
      <c r="H67" t="s">
        <v>2485</v>
      </c>
      <c r="I67" s="1" t="s">
        <v>2486</v>
      </c>
      <c r="J67" s="1"/>
    </row>
    <row r="68" spans="4:10" x14ac:dyDescent="0.35">
      <c r="D68" s="1" t="s">
        <v>953</v>
      </c>
      <c r="E68" s="1" t="s">
        <v>1668</v>
      </c>
      <c r="F68" s="1" t="s">
        <v>2506</v>
      </c>
      <c r="G68" s="1" t="s">
        <v>2507</v>
      </c>
      <c r="H68" t="s">
        <v>2508</v>
      </c>
      <c r="I68" s="1" t="s">
        <v>2505</v>
      </c>
      <c r="J68" s="1"/>
    </row>
    <row r="69" spans="4:10" x14ac:dyDescent="0.35">
      <c r="D69" s="1" t="s">
        <v>953</v>
      </c>
      <c r="E69" s="1" t="s">
        <v>1876</v>
      </c>
      <c r="F69" s="1" t="s">
        <v>18</v>
      </c>
      <c r="G69" s="1" t="s">
        <v>19</v>
      </c>
      <c r="H69" s="1" t="s">
        <v>20</v>
      </c>
      <c r="I69" s="1" t="s">
        <v>1877</v>
      </c>
      <c r="J69" s="1"/>
    </row>
    <row r="70" spans="4:10" x14ac:dyDescent="0.35">
      <c r="D70" s="1" t="s">
        <v>953</v>
      </c>
      <c r="E70" s="1" t="s">
        <v>1876</v>
      </c>
      <c r="F70" s="1" t="s">
        <v>2422</v>
      </c>
      <c r="G70" s="1" t="s">
        <v>2423</v>
      </c>
      <c r="H70" s="1" t="s">
        <v>2424</v>
      </c>
      <c r="I70" s="1" t="s">
        <v>2425</v>
      </c>
      <c r="J70" s="1"/>
    </row>
    <row r="71" spans="4:10" x14ac:dyDescent="0.35">
      <c r="D71" s="1" t="s">
        <v>953</v>
      </c>
      <c r="E71" s="1" t="s">
        <v>1876</v>
      </c>
      <c r="F71" s="1" t="s">
        <v>2464</v>
      </c>
      <c r="G71" s="1" t="s">
        <v>2465</v>
      </c>
      <c r="H71" s="1" t="s">
        <v>2466</v>
      </c>
      <c r="I71" s="1" t="s">
        <v>2467</v>
      </c>
      <c r="J71" s="1"/>
    </row>
    <row r="72" spans="4:10" x14ac:dyDescent="0.35">
      <c r="D72" s="1" t="s">
        <v>953</v>
      </c>
      <c r="E72" s="1" t="s">
        <v>1876</v>
      </c>
      <c r="F72" s="1" t="s">
        <v>2444</v>
      </c>
      <c r="G72" s="1" t="s">
        <v>2445</v>
      </c>
      <c r="H72" s="1" t="s">
        <v>2446</v>
      </c>
      <c r="I72" s="1" t="s">
        <v>2447</v>
      </c>
      <c r="J72" s="1"/>
    </row>
    <row r="73" spans="4:10" x14ac:dyDescent="0.35">
      <c r="D73" s="1" t="s">
        <v>953</v>
      </c>
      <c r="E73" s="1" t="s">
        <v>1876</v>
      </c>
      <c r="F73" s="1" t="s">
        <v>156</v>
      </c>
      <c r="G73" s="1" t="s">
        <v>157</v>
      </c>
      <c r="H73" s="1" t="s">
        <v>163</v>
      </c>
      <c r="I73" s="1" t="s">
        <v>2133</v>
      </c>
      <c r="J73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4E83-A16A-40EB-B784-27BA793152F5}">
  <dimension ref="A1:T594"/>
  <sheetViews>
    <sheetView topLeftCell="D155" workbookViewId="0">
      <selection activeCell="F195" sqref="F195"/>
    </sheetView>
    <sheetView topLeftCell="O168" workbookViewId="1">
      <selection activeCell="Q190" sqref="Q190"/>
    </sheetView>
  </sheetViews>
  <sheetFormatPr defaultRowHeight="14.5" x14ac:dyDescent="0.35"/>
  <cols>
    <col min="1" max="1" width="12.26953125" bestFit="1" customWidth="1"/>
    <col min="2" max="2" width="18.90625" bestFit="1" customWidth="1"/>
    <col min="3" max="3" width="19.6328125" bestFit="1" customWidth="1"/>
    <col min="4" max="4" width="19.6328125" customWidth="1"/>
    <col min="5" max="5" width="26.36328125" style="1" bestFit="1" customWidth="1"/>
    <col min="6" max="6" width="51.90625" style="1" bestFit="1" customWidth="1"/>
    <col min="7" max="7" width="12" style="1" bestFit="1" customWidth="1"/>
    <col min="8" max="8" width="100.7265625" style="1" customWidth="1"/>
    <col min="9" max="9" width="32.08984375" style="1" bestFit="1" customWidth="1"/>
    <col min="10" max="10" width="21.453125" style="1" bestFit="1" customWidth="1"/>
    <col min="11" max="11" width="10.90625" style="1" bestFit="1" customWidth="1"/>
    <col min="12" max="12" width="15.54296875" style="1" bestFit="1" customWidth="1"/>
    <col min="13" max="13" width="89.81640625" style="1" bestFit="1" customWidth="1"/>
    <col min="14" max="14" width="17.36328125" style="1" bestFit="1" customWidth="1"/>
    <col min="15" max="15" width="78.90625" style="1" bestFit="1" customWidth="1"/>
    <col min="16" max="16" width="80.453125" style="1" bestFit="1" customWidth="1"/>
    <col min="17" max="17" width="71.54296875" style="1" bestFit="1" customWidth="1"/>
    <col min="18" max="18" width="14.36328125" style="1" bestFit="1" customWidth="1"/>
    <col min="19" max="19" width="60.81640625" style="1" bestFit="1" customWidth="1"/>
    <col min="20" max="20" width="40.6328125" customWidth="1"/>
  </cols>
  <sheetData>
    <row r="1" spans="1:20" x14ac:dyDescent="0.35">
      <c r="A1" t="s">
        <v>934</v>
      </c>
      <c r="B1" t="s">
        <v>935</v>
      </c>
      <c r="C1" t="s">
        <v>936</v>
      </c>
      <c r="D1" t="s">
        <v>2799</v>
      </c>
      <c r="E1" s="1" t="s">
        <v>937</v>
      </c>
      <c r="F1" s="1" t="s">
        <v>938</v>
      </c>
      <c r="G1" s="1" t="s">
        <v>2214</v>
      </c>
      <c r="H1" s="1" t="s">
        <v>939</v>
      </c>
      <c r="I1" s="1" t="s">
        <v>940</v>
      </c>
      <c r="J1" s="1" t="s">
        <v>941</v>
      </c>
      <c r="K1" s="1" t="s">
        <v>942</v>
      </c>
      <c r="L1" s="1" t="s">
        <v>943</v>
      </c>
      <c r="M1" s="1" t="s">
        <v>944</v>
      </c>
      <c r="N1" s="1" t="s">
        <v>945</v>
      </c>
      <c r="O1" s="1" t="s">
        <v>946</v>
      </c>
      <c r="P1" s="1" t="s">
        <v>947</v>
      </c>
      <c r="Q1" s="1" t="s">
        <v>948</v>
      </c>
      <c r="R1" s="1" t="s">
        <v>949</v>
      </c>
      <c r="S1" s="1" t="s">
        <v>1313</v>
      </c>
      <c r="T1" s="1" t="s">
        <v>1115</v>
      </c>
    </row>
    <row r="2" spans="1:20" x14ac:dyDescent="0.35">
      <c r="D2" t="s">
        <v>2800</v>
      </c>
      <c r="E2" s="1" t="s">
        <v>2304</v>
      </c>
      <c r="F2" s="1" t="s">
        <v>1137</v>
      </c>
      <c r="H2" s="1" t="s">
        <v>1142</v>
      </c>
      <c r="I2" s="1" t="s">
        <v>2203</v>
      </c>
      <c r="J2" s="1" t="s">
        <v>1121</v>
      </c>
      <c r="L2" s="1" t="s">
        <v>1122</v>
      </c>
      <c r="T2" s="1"/>
    </row>
    <row r="3" spans="1:20" x14ac:dyDescent="0.35">
      <c r="D3" t="s">
        <v>2800</v>
      </c>
      <c r="E3" s="1" t="s">
        <v>2602</v>
      </c>
      <c r="F3" s="1" t="s">
        <v>1138</v>
      </c>
      <c r="H3" s="1" t="s">
        <v>1143</v>
      </c>
      <c r="I3" s="1" t="s">
        <v>2216</v>
      </c>
      <c r="J3" s="1" t="s">
        <v>1121</v>
      </c>
      <c r="L3" s="1" t="s">
        <v>1133</v>
      </c>
      <c r="T3" s="1"/>
    </row>
    <row r="4" spans="1:20" x14ac:dyDescent="0.35">
      <c r="D4" t="s">
        <v>2800</v>
      </c>
      <c r="E4" s="1" t="s">
        <v>2304</v>
      </c>
      <c r="F4" s="1" t="s">
        <v>1139</v>
      </c>
      <c r="H4" s="1" t="s">
        <v>1164</v>
      </c>
      <c r="I4" s="1" t="s">
        <v>2203</v>
      </c>
      <c r="J4" s="1" t="s">
        <v>1121</v>
      </c>
      <c r="L4" s="1" t="s">
        <v>1134</v>
      </c>
      <c r="T4" s="1"/>
    </row>
    <row r="5" spans="1:20" x14ac:dyDescent="0.35">
      <c r="D5" t="s">
        <v>2800</v>
      </c>
      <c r="E5" s="1" t="s">
        <v>2304</v>
      </c>
      <c r="F5" s="1" t="s">
        <v>1140</v>
      </c>
      <c r="H5" s="1" t="s">
        <v>1163</v>
      </c>
      <c r="I5" s="1" t="s">
        <v>2203</v>
      </c>
      <c r="J5" s="1" t="s">
        <v>1121</v>
      </c>
      <c r="L5" s="1" t="s">
        <v>1135</v>
      </c>
      <c r="Q5"/>
      <c r="T5" s="1"/>
    </row>
    <row r="6" spans="1:20" x14ac:dyDescent="0.35">
      <c r="D6" t="s">
        <v>2800</v>
      </c>
      <c r="E6" s="1" t="s">
        <v>2304</v>
      </c>
      <c r="F6" s="1" t="s">
        <v>1141</v>
      </c>
      <c r="H6" s="1" t="s">
        <v>1162</v>
      </c>
      <c r="I6" s="1" t="s">
        <v>2203</v>
      </c>
      <c r="J6" s="1" t="s">
        <v>1121</v>
      </c>
      <c r="L6" s="1" t="s">
        <v>1136</v>
      </c>
      <c r="T6" s="1"/>
    </row>
    <row r="7" spans="1:20" x14ac:dyDescent="0.35">
      <c r="D7" t="s">
        <v>2800</v>
      </c>
      <c r="E7" s="1" t="s">
        <v>2304</v>
      </c>
      <c r="F7" s="1" t="s">
        <v>1144</v>
      </c>
      <c r="H7" s="1" t="s">
        <v>1171</v>
      </c>
      <c r="I7" s="1" t="s">
        <v>2203</v>
      </c>
      <c r="J7" s="1" t="s">
        <v>1121</v>
      </c>
      <c r="L7" s="1" t="s">
        <v>1145</v>
      </c>
      <c r="T7" s="1"/>
    </row>
    <row r="8" spans="1:20" x14ac:dyDescent="0.35">
      <c r="D8" t="s">
        <v>2800</v>
      </c>
      <c r="E8" s="1" t="s">
        <v>2602</v>
      </c>
      <c r="F8" s="1" t="s">
        <v>1146</v>
      </c>
      <c r="H8" s="13" t="s">
        <v>1172</v>
      </c>
      <c r="I8" s="1" t="s">
        <v>2203</v>
      </c>
      <c r="J8" s="1" t="s">
        <v>1121</v>
      </c>
      <c r="L8" s="1" t="s">
        <v>1235</v>
      </c>
      <c r="S8" s="1" t="s">
        <v>1339</v>
      </c>
      <c r="T8" s="1"/>
    </row>
    <row r="9" spans="1:20" x14ac:dyDescent="0.35">
      <c r="D9" t="s">
        <v>2800</v>
      </c>
      <c r="E9" s="1" t="s">
        <v>2602</v>
      </c>
      <c r="F9" s="1" t="s">
        <v>1147</v>
      </c>
      <c r="H9" s="13" t="s">
        <v>1173</v>
      </c>
      <c r="I9" s="1" t="s">
        <v>2203</v>
      </c>
      <c r="J9" s="1" t="s">
        <v>1121</v>
      </c>
      <c r="L9" s="1" t="s">
        <v>1236</v>
      </c>
      <c r="S9" s="1" t="s">
        <v>1339</v>
      </c>
      <c r="T9" s="1"/>
    </row>
    <row r="10" spans="1:20" x14ac:dyDescent="0.35">
      <c r="D10" t="s">
        <v>2800</v>
      </c>
      <c r="E10" s="1" t="s">
        <v>2602</v>
      </c>
      <c r="F10" s="1" t="s">
        <v>1148</v>
      </c>
      <c r="H10" s="13" t="s">
        <v>1166</v>
      </c>
      <c r="I10" s="1" t="s">
        <v>2203</v>
      </c>
      <c r="J10" s="1" t="s">
        <v>1121</v>
      </c>
      <c r="L10" s="1" t="s">
        <v>1174</v>
      </c>
      <c r="M10" s="1" t="s">
        <v>1161</v>
      </c>
      <c r="N10" s="1" t="s">
        <v>1157</v>
      </c>
      <c r="S10" s="1" t="s">
        <v>1339</v>
      </c>
      <c r="T10" s="1"/>
    </row>
    <row r="11" spans="1:20" x14ac:dyDescent="0.35">
      <c r="D11" t="s">
        <v>2800</v>
      </c>
      <c r="E11" s="1" t="s">
        <v>2304</v>
      </c>
      <c r="F11" s="1" t="s">
        <v>1149</v>
      </c>
      <c r="H11" s="13" t="s">
        <v>1167</v>
      </c>
      <c r="I11" s="1" t="s">
        <v>2203</v>
      </c>
      <c r="J11" s="1" t="s">
        <v>1121</v>
      </c>
      <c r="L11" s="1" t="s">
        <v>1165</v>
      </c>
      <c r="M11" s="1" t="s">
        <v>1160</v>
      </c>
      <c r="N11" s="1" t="s">
        <v>1157</v>
      </c>
      <c r="S11" s="1" t="s">
        <v>1339</v>
      </c>
      <c r="T11" s="1"/>
    </row>
    <row r="12" spans="1:20" x14ac:dyDescent="0.35">
      <c r="D12" t="s">
        <v>2800</v>
      </c>
      <c r="E12" s="1" t="s">
        <v>2602</v>
      </c>
      <c r="F12" s="1" t="s">
        <v>1150</v>
      </c>
      <c r="H12" s="13" t="s">
        <v>1168</v>
      </c>
      <c r="I12" s="1" t="s">
        <v>2203</v>
      </c>
      <c r="J12" s="1" t="s">
        <v>1121</v>
      </c>
      <c r="L12" s="1" t="s">
        <v>1155</v>
      </c>
      <c r="M12" s="1" t="s">
        <v>1159</v>
      </c>
      <c r="N12" s="1" t="s">
        <v>1157</v>
      </c>
      <c r="S12" s="1" t="s">
        <v>1339</v>
      </c>
      <c r="T12" s="1"/>
    </row>
    <row r="13" spans="1:20" x14ac:dyDescent="0.35">
      <c r="D13" t="s">
        <v>2800</v>
      </c>
      <c r="E13" s="1" t="s">
        <v>2602</v>
      </c>
      <c r="F13" s="1" t="s">
        <v>1151</v>
      </c>
      <c r="H13" s="13" t="s">
        <v>1169</v>
      </c>
      <c r="I13" s="1" t="s">
        <v>2203</v>
      </c>
      <c r="J13" s="1" t="s">
        <v>1121</v>
      </c>
      <c r="L13" s="1" t="s">
        <v>1154</v>
      </c>
      <c r="M13" s="1" t="s">
        <v>1158</v>
      </c>
      <c r="N13" s="1" t="s">
        <v>1157</v>
      </c>
      <c r="S13" s="1" t="s">
        <v>1339</v>
      </c>
      <c r="T13" s="1"/>
    </row>
    <row r="14" spans="1:20" x14ac:dyDescent="0.35">
      <c r="D14" t="s">
        <v>2800</v>
      </c>
      <c r="E14" s="1" t="s">
        <v>2602</v>
      </c>
      <c r="F14" s="1" t="s">
        <v>1152</v>
      </c>
      <c r="H14" s="13" t="s">
        <v>1170</v>
      </c>
      <c r="I14" s="1" t="s">
        <v>327</v>
      </c>
      <c r="J14" s="1" t="s">
        <v>1121</v>
      </c>
      <c r="L14" s="1" t="s">
        <v>1153</v>
      </c>
      <c r="M14" t="s">
        <v>1156</v>
      </c>
      <c r="N14" s="1" t="s">
        <v>1157</v>
      </c>
      <c r="S14" s="1" t="s">
        <v>1339</v>
      </c>
      <c r="T14" s="1"/>
    </row>
    <row r="15" spans="1:20" x14ac:dyDescent="0.35">
      <c r="D15" t="s">
        <v>2800</v>
      </c>
      <c r="E15" s="1" t="s">
        <v>2602</v>
      </c>
      <c r="F15" s="1" t="s">
        <v>1234</v>
      </c>
      <c r="G15" s="1" t="s">
        <v>2801</v>
      </c>
      <c r="H15" s="1" t="s">
        <v>1256</v>
      </c>
      <c r="I15" s="1" t="s">
        <v>2203</v>
      </c>
      <c r="J15" s="1" t="s">
        <v>1354</v>
      </c>
      <c r="L15" s="1" t="s">
        <v>1237</v>
      </c>
      <c r="M15"/>
      <c r="T15" s="1"/>
    </row>
    <row r="16" spans="1:20" x14ac:dyDescent="0.35">
      <c r="D16" t="s">
        <v>2800</v>
      </c>
      <c r="E16" s="1" t="s">
        <v>2602</v>
      </c>
      <c r="F16" s="1" t="s">
        <v>1238</v>
      </c>
      <c r="G16" s="1" t="s">
        <v>2802</v>
      </c>
      <c r="H16" s="1" t="s">
        <v>1257</v>
      </c>
      <c r="I16" s="1" t="s">
        <v>2203</v>
      </c>
      <c r="J16" s="1" t="s">
        <v>1354</v>
      </c>
      <c r="L16" s="1" t="s">
        <v>1239</v>
      </c>
      <c r="M16"/>
      <c r="T16" s="1"/>
    </row>
    <row r="17" spans="4:20" x14ac:dyDescent="0.35">
      <c r="D17" t="s">
        <v>2800</v>
      </c>
      <c r="E17" s="1" t="s">
        <v>2602</v>
      </c>
      <c r="F17" s="1" t="s">
        <v>1240</v>
      </c>
      <c r="G17" s="1" t="s">
        <v>2803</v>
      </c>
      <c r="H17" s="1" t="s">
        <v>1258</v>
      </c>
      <c r="I17" s="1" t="s">
        <v>2203</v>
      </c>
      <c r="J17" s="1" t="s">
        <v>1354</v>
      </c>
      <c r="L17" s="1" t="s">
        <v>1241</v>
      </c>
      <c r="M17"/>
      <c r="T17" s="1"/>
    </row>
    <row r="18" spans="4:20" x14ac:dyDescent="0.35">
      <c r="D18" t="s">
        <v>2800</v>
      </c>
      <c r="E18" s="1" t="s">
        <v>2304</v>
      </c>
      <c r="F18" s="1" t="s">
        <v>1242</v>
      </c>
      <c r="G18" s="1" t="s">
        <v>2804</v>
      </c>
      <c r="H18" s="1" t="s">
        <v>1259</v>
      </c>
      <c r="I18" s="1" t="s">
        <v>2203</v>
      </c>
      <c r="J18" s="1" t="s">
        <v>1354</v>
      </c>
      <c r="L18" s="1" t="s">
        <v>1243</v>
      </c>
      <c r="M18" t="s">
        <v>1247</v>
      </c>
      <c r="N18" s="1" t="s">
        <v>271</v>
      </c>
      <c r="T18" s="1"/>
    </row>
    <row r="19" spans="4:20" x14ac:dyDescent="0.35">
      <c r="D19" t="s">
        <v>2800</v>
      </c>
      <c r="E19" s="1" t="s">
        <v>2304</v>
      </c>
      <c r="F19" s="1" t="s">
        <v>1244</v>
      </c>
      <c r="G19" s="1" t="s">
        <v>2805</v>
      </c>
      <c r="H19" s="1" t="s">
        <v>1260</v>
      </c>
      <c r="I19" s="1" t="s">
        <v>2203</v>
      </c>
      <c r="J19" s="1" t="s">
        <v>1354</v>
      </c>
      <c r="L19" s="1" t="s">
        <v>1245</v>
      </c>
      <c r="M19" t="s">
        <v>1246</v>
      </c>
      <c r="N19" s="1" t="s">
        <v>271</v>
      </c>
      <c r="T19" s="1"/>
    </row>
    <row r="20" spans="4:20" x14ac:dyDescent="0.35">
      <c r="D20" t="s">
        <v>2800</v>
      </c>
      <c r="E20" s="1" t="s">
        <v>2304</v>
      </c>
      <c r="F20" s="1" t="s">
        <v>1248</v>
      </c>
      <c r="G20" s="1" t="s">
        <v>2806</v>
      </c>
      <c r="H20" s="1" t="s">
        <v>1261</v>
      </c>
      <c r="I20" s="1" t="s">
        <v>327</v>
      </c>
      <c r="J20" s="1" t="s">
        <v>1354</v>
      </c>
      <c r="L20" s="1" t="s">
        <v>1249</v>
      </c>
      <c r="M20" t="s">
        <v>1250</v>
      </c>
      <c r="N20" s="1" t="s">
        <v>271</v>
      </c>
      <c r="T20" s="1"/>
    </row>
    <row r="21" spans="4:20" x14ac:dyDescent="0.35">
      <c r="D21" t="s">
        <v>2800</v>
      </c>
      <c r="E21" s="1" t="s">
        <v>2304</v>
      </c>
      <c r="F21" s="1" t="s">
        <v>1251</v>
      </c>
      <c r="G21" s="1" t="s">
        <v>2801</v>
      </c>
      <c r="H21" s="1" t="s">
        <v>1262</v>
      </c>
      <c r="I21" s="1" t="s">
        <v>920</v>
      </c>
      <c r="J21" s="1" t="s">
        <v>3199</v>
      </c>
      <c r="L21" s="1" t="s">
        <v>1252</v>
      </c>
      <c r="M21" t="s">
        <v>3221</v>
      </c>
      <c r="N21" s="1" t="s">
        <v>3222</v>
      </c>
      <c r="T21" s="1"/>
    </row>
    <row r="22" spans="4:20" x14ac:dyDescent="0.35">
      <c r="D22" t="s">
        <v>2800</v>
      </c>
      <c r="E22" s="1" t="s">
        <v>2304</v>
      </c>
      <c r="F22" s="1" t="s">
        <v>1253</v>
      </c>
      <c r="G22" s="1" t="s">
        <v>2801</v>
      </c>
      <c r="H22" s="1" t="s">
        <v>1263</v>
      </c>
      <c r="I22" s="1" t="s">
        <v>920</v>
      </c>
      <c r="J22" s="1" t="s">
        <v>424</v>
      </c>
      <c r="L22" s="1" t="s">
        <v>1269</v>
      </c>
      <c r="M22" t="s">
        <v>3223</v>
      </c>
      <c r="N22" s="1" t="s">
        <v>3222</v>
      </c>
      <c r="T22" s="1"/>
    </row>
    <row r="23" spans="4:20" x14ac:dyDescent="0.35">
      <c r="D23" t="s">
        <v>2800</v>
      </c>
      <c r="E23" s="1" t="s">
        <v>2304</v>
      </c>
      <c r="F23" s="1" t="s">
        <v>1255</v>
      </c>
      <c r="G23" s="1" t="s">
        <v>2802</v>
      </c>
      <c r="H23" s="1" t="s">
        <v>1264</v>
      </c>
      <c r="I23" s="1" t="s">
        <v>920</v>
      </c>
      <c r="J23" s="1" t="s">
        <v>424</v>
      </c>
      <c r="L23" s="1" t="s">
        <v>1268</v>
      </c>
      <c r="M23" t="s">
        <v>3224</v>
      </c>
      <c r="N23" s="1" t="s">
        <v>3222</v>
      </c>
      <c r="T23" s="1"/>
    </row>
    <row r="24" spans="4:20" x14ac:dyDescent="0.35">
      <c r="D24" t="s">
        <v>2800</v>
      </c>
      <c r="E24" s="1" t="s">
        <v>2304</v>
      </c>
      <c r="F24" s="1" t="s">
        <v>1265</v>
      </c>
      <c r="G24" s="1" t="s">
        <v>2803</v>
      </c>
      <c r="H24" s="1" t="s">
        <v>1266</v>
      </c>
      <c r="I24" s="1" t="s">
        <v>327</v>
      </c>
      <c r="J24" s="1" t="s">
        <v>424</v>
      </c>
      <c r="L24" s="1" t="s">
        <v>1249</v>
      </c>
      <c r="M24" t="s">
        <v>1267</v>
      </c>
      <c r="N24" s="1" t="s">
        <v>1157</v>
      </c>
      <c r="T24" s="1"/>
    </row>
    <row r="25" spans="4:20" x14ac:dyDescent="0.35">
      <c r="D25" t="s">
        <v>2800</v>
      </c>
      <c r="E25" s="1" t="s">
        <v>2304</v>
      </c>
      <c r="F25" s="1" t="s">
        <v>1273</v>
      </c>
      <c r="H25" s="1" t="s">
        <v>1275</v>
      </c>
      <c r="I25" s="1" t="s">
        <v>2203</v>
      </c>
      <c r="J25" s="1" t="s">
        <v>2789</v>
      </c>
      <c r="L25" s="1" t="s">
        <v>1277</v>
      </c>
      <c r="M25"/>
      <c r="Q25" s="1" t="s">
        <v>1332</v>
      </c>
      <c r="R25" s="1" t="s">
        <v>271</v>
      </c>
      <c r="S25" s="1" t="s">
        <v>1333</v>
      </c>
      <c r="T25" s="1"/>
    </row>
    <row r="26" spans="4:20" x14ac:dyDescent="0.35">
      <c r="D26" t="s">
        <v>2800</v>
      </c>
      <c r="E26" s="1" t="s">
        <v>2304</v>
      </c>
      <c r="F26" s="1" t="s">
        <v>1274</v>
      </c>
      <c r="H26" s="1" t="s">
        <v>1276</v>
      </c>
      <c r="I26" s="1" t="s">
        <v>2203</v>
      </c>
      <c r="J26" s="1" t="s">
        <v>2789</v>
      </c>
      <c r="L26" s="1" t="s">
        <v>1278</v>
      </c>
      <c r="M26"/>
      <c r="Q26" s="1" t="s">
        <v>1330</v>
      </c>
      <c r="R26" s="1" t="s">
        <v>271</v>
      </c>
      <c r="S26" s="1" t="s">
        <v>1331</v>
      </c>
      <c r="T26" s="1"/>
    </row>
    <row r="27" spans="4:20" x14ac:dyDescent="0.35">
      <c r="D27" t="s">
        <v>2800</v>
      </c>
      <c r="E27" s="1" t="s">
        <v>2304</v>
      </c>
      <c r="F27" s="1" t="s">
        <v>1279</v>
      </c>
      <c r="G27" s="1" t="s">
        <v>2801</v>
      </c>
      <c r="H27" s="13" t="s">
        <v>1280</v>
      </c>
      <c r="I27" s="1" t="s">
        <v>2203</v>
      </c>
      <c r="J27" s="1" t="s">
        <v>2789</v>
      </c>
      <c r="L27" s="1" t="s">
        <v>1281</v>
      </c>
      <c r="M27"/>
      <c r="Q27" s="1" t="s">
        <v>1329</v>
      </c>
      <c r="R27" s="1" t="s">
        <v>271</v>
      </c>
      <c r="S27" s="1" t="s">
        <v>1336</v>
      </c>
      <c r="T27" s="1"/>
    </row>
    <row r="28" spans="4:20" x14ac:dyDescent="0.35">
      <c r="D28" t="s">
        <v>2800</v>
      </c>
      <c r="E28" s="1" t="s">
        <v>2304</v>
      </c>
      <c r="F28" s="1" t="s">
        <v>1282</v>
      </c>
      <c r="G28" s="1" t="s">
        <v>2802</v>
      </c>
      <c r="H28" s="13" t="s">
        <v>1283</v>
      </c>
      <c r="I28" s="1" t="s">
        <v>2203</v>
      </c>
      <c r="J28" s="1" t="s">
        <v>2789</v>
      </c>
      <c r="L28" s="1" t="s">
        <v>1284</v>
      </c>
      <c r="M28"/>
      <c r="Q28" s="1" t="s">
        <v>1328</v>
      </c>
      <c r="R28" s="1" t="s">
        <v>271</v>
      </c>
      <c r="S28" s="1" t="s">
        <v>1337</v>
      </c>
      <c r="T28" s="1"/>
    </row>
    <row r="29" spans="4:20" x14ac:dyDescent="0.35">
      <c r="D29" t="s">
        <v>2800</v>
      </c>
      <c r="E29" s="1" t="s">
        <v>2304</v>
      </c>
      <c r="F29" s="1" t="s">
        <v>1286</v>
      </c>
      <c r="G29" s="1" t="s">
        <v>2803</v>
      </c>
      <c r="H29" s="1" t="s">
        <v>1287</v>
      </c>
      <c r="I29" s="1" t="s">
        <v>2203</v>
      </c>
      <c r="J29" s="1" t="s">
        <v>2789</v>
      </c>
      <c r="L29" s="1" t="s">
        <v>1285</v>
      </c>
      <c r="M29"/>
      <c r="Q29" s="1" t="s">
        <v>1326</v>
      </c>
      <c r="R29" s="1" t="s">
        <v>271</v>
      </c>
      <c r="S29" s="1" t="s">
        <v>1327</v>
      </c>
      <c r="T29" s="1"/>
    </row>
    <row r="30" spans="4:20" x14ac:dyDescent="0.35">
      <c r="D30" t="s">
        <v>2800</v>
      </c>
      <c r="E30" s="1" t="s">
        <v>2304</v>
      </c>
      <c r="F30" s="1" t="s">
        <v>1288</v>
      </c>
      <c r="G30" s="1" t="s">
        <v>2804</v>
      </c>
      <c r="H30" s="13" t="s">
        <v>1289</v>
      </c>
      <c r="I30" s="1" t="s">
        <v>2203</v>
      </c>
      <c r="J30" s="1" t="s">
        <v>2789</v>
      </c>
      <c r="L30" s="1" t="s">
        <v>1290</v>
      </c>
      <c r="M30" t="s">
        <v>1291</v>
      </c>
      <c r="N30" s="1" t="s">
        <v>271</v>
      </c>
      <c r="Q30" s="1" t="s">
        <v>1334</v>
      </c>
      <c r="R30" s="1" t="s">
        <v>271</v>
      </c>
      <c r="S30" s="1" t="s">
        <v>1335</v>
      </c>
      <c r="T30" s="1"/>
    </row>
    <row r="31" spans="4:20" x14ac:dyDescent="0.35">
      <c r="D31" t="s">
        <v>2800</v>
      </c>
      <c r="E31" s="1" t="s">
        <v>2304</v>
      </c>
      <c r="F31" s="1" t="s">
        <v>1293</v>
      </c>
      <c r="G31" s="1" t="s">
        <v>2805</v>
      </c>
      <c r="H31" s="1" t="s">
        <v>1292</v>
      </c>
      <c r="I31" s="1" t="s">
        <v>327</v>
      </c>
      <c r="J31" s="1" t="s">
        <v>2789</v>
      </c>
      <c r="L31" s="1" t="s">
        <v>1294</v>
      </c>
      <c r="M31" t="s">
        <v>1295</v>
      </c>
      <c r="N31" s="1" t="s">
        <v>271</v>
      </c>
      <c r="T31" s="1"/>
    </row>
    <row r="32" spans="4:20" x14ac:dyDescent="0.35">
      <c r="D32" t="s">
        <v>2800</v>
      </c>
      <c r="E32" s="1" t="s">
        <v>2304</v>
      </c>
      <c r="F32" s="1" t="s">
        <v>1299</v>
      </c>
      <c r="H32" s="1" t="s">
        <v>1300</v>
      </c>
      <c r="I32" s="1" t="s">
        <v>327</v>
      </c>
      <c r="J32" s="1" t="s">
        <v>49</v>
      </c>
      <c r="K32" s="1" t="s">
        <v>1301</v>
      </c>
      <c r="L32" s="1" t="s">
        <v>1302</v>
      </c>
      <c r="M32" t="s">
        <v>1303</v>
      </c>
      <c r="N32" s="1" t="s">
        <v>12</v>
      </c>
      <c r="O32" t="s">
        <v>1303</v>
      </c>
      <c r="P32" s="1" t="s">
        <v>1304</v>
      </c>
      <c r="Q32" s="1" t="s">
        <v>2605</v>
      </c>
      <c r="R32" s="1" t="s">
        <v>2604</v>
      </c>
      <c r="S32" s="1" t="s">
        <v>1338</v>
      </c>
      <c r="T32" s="1"/>
    </row>
    <row r="33" spans="4:20" x14ac:dyDescent="0.35">
      <c r="M33"/>
      <c r="O33"/>
      <c r="T33" s="1"/>
    </row>
    <row r="34" spans="4:20" x14ac:dyDescent="0.35">
      <c r="D34" t="s">
        <v>2800</v>
      </c>
      <c r="E34" s="1" t="s">
        <v>2304</v>
      </c>
      <c r="F34" s="1" t="s">
        <v>2867</v>
      </c>
      <c r="G34" s="1" t="s">
        <v>2801</v>
      </c>
      <c r="H34" s="1" t="s">
        <v>2875</v>
      </c>
      <c r="I34" s="1" t="s">
        <v>2203</v>
      </c>
      <c r="J34" s="1" t="s">
        <v>1354</v>
      </c>
      <c r="L34" s="1" t="s">
        <v>2881</v>
      </c>
      <c r="M34" t="s">
        <v>2884</v>
      </c>
      <c r="N34" s="1" t="s">
        <v>271</v>
      </c>
      <c r="O34"/>
      <c r="T34" s="1"/>
    </row>
    <row r="35" spans="4:20" x14ac:dyDescent="0.35">
      <c r="D35" t="s">
        <v>2800</v>
      </c>
      <c r="E35" s="1" t="s">
        <v>2304</v>
      </c>
      <c r="F35" s="1" t="s">
        <v>2868</v>
      </c>
      <c r="G35" s="1" t="s">
        <v>2802</v>
      </c>
      <c r="H35" s="1" t="s">
        <v>2876</v>
      </c>
      <c r="I35" s="1" t="s">
        <v>2203</v>
      </c>
      <c r="J35" s="1" t="s">
        <v>1354</v>
      </c>
      <c r="L35" s="1" t="s">
        <v>2882</v>
      </c>
      <c r="M35" t="s">
        <v>2885</v>
      </c>
      <c r="N35" s="1" t="s">
        <v>271</v>
      </c>
      <c r="O35"/>
      <c r="T35" s="1"/>
    </row>
    <row r="36" spans="4:20" x14ac:dyDescent="0.35">
      <c r="D36" t="s">
        <v>2800</v>
      </c>
      <c r="E36" s="1" t="s">
        <v>2304</v>
      </c>
      <c r="F36" s="1" t="s">
        <v>2869</v>
      </c>
      <c r="G36" s="1" t="s">
        <v>2803</v>
      </c>
      <c r="H36" s="1" t="s">
        <v>2877</v>
      </c>
      <c r="I36" s="1" t="s">
        <v>2203</v>
      </c>
      <c r="J36" s="1" t="s">
        <v>1354</v>
      </c>
      <c r="L36" s="1" t="s">
        <v>2883</v>
      </c>
      <c r="M36" t="s">
        <v>2886</v>
      </c>
      <c r="N36" s="1" t="s">
        <v>271</v>
      </c>
      <c r="O36"/>
      <c r="T36" s="1"/>
    </row>
    <row r="37" spans="4:20" x14ac:dyDescent="0.35">
      <c r="D37" t="s">
        <v>2800</v>
      </c>
      <c r="E37" s="1" t="s">
        <v>2304</v>
      </c>
      <c r="F37" s="1" t="s">
        <v>2871</v>
      </c>
      <c r="G37" s="1" t="s">
        <v>2804</v>
      </c>
      <c r="H37" s="1" t="s">
        <v>2878</v>
      </c>
      <c r="I37" s="1" t="s">
        <v>2203</v>
      </c>
      <c r="J37" s="1" t="s">
        <v>1354</v>
      </c>
      <c r="L37" s="1" t="s">
        <v>1245</v>
      </c>
      <c r="M37" t="s">
        <v>2887</v>
      </c>
      <c r="N37" s="1" t="s">
        <v>271</v>
      </c>
      <c r="O37"/>
      <c r="T37" s="1"/>
    </row>
    <row r="38" spans="4:20" x14ac:dyDescent="0.35">
      <c r="D38" t="s">
        <v>2800</v>
      </c>
      <c r="E38" s="1" t="s">
        <v>2602</v>
      </c>
      <c r="F38" s="1" t="s">
        <v>2870</v>
      </c>
      <c r="G38" s="1" t="s">
        <v>2805</v>
      </c>
      <c r="H38" s="1" t="s">
        <v>2879</v>
      </c>
      <c r="I38" s="1" t="s">
        <v>2203</v>
      </c>
      <c r="J38" s="1" t="s">
        <v>1354</v>
      </c>
      <c r="L38" s="1" t="s">
        <v>1391</v>
      </c>
      <c r="M38"/>
      <c r="O38"/>
      <c r="T38" s="1"/>
    </row>
    <row r="39" spans="4:20" x14ac:dyDescent="0.35">
      <c r="D39" t="s">
        <v>2800</v>
      </c>
      <c r="E39" s="1" t="s">
        <v>2304</v>
      </c>
      <c r="F39" s="1" t="s">
        <v>2872</v>
      </c>
      <c r="G39" s="1" t="s">
        <v>2806</v>
      </c>
      <c r="H39" s="1" t="s">
        <v>2880</v>
      </c>
      <c r="I39" s="1" t="s">
        <v>327</v>
      </c>
      <c r="J39" s="1" t="s">
        <v>1354</v>
      </c>
      <c r="L39" s="1" t="s">
        <v>2863</v>
      </c>
      <c r="M39" t="s">
        <v>2888</v>
      </c>
      <c r="N39" s="1" t="s">
        <v>271</v>
      </c>
      <c r="O39"/>
      <c r="T39" s="1"/>
    </row>
    <row r="40" spans="4:20" x14ac:dyDescent="0.35">
      <c r="D40" t="s">
        <v>2800</v>
      </c>
      <c r="E40" s="1" t="s">
        <v>2304</v>
      </c>
      <c r="F40" s="1" t="s">
        <v>2850</v>
      </c>
      <c r="G40" s="1" t="s">
        <v>2801</v>
      </c>
      <c r="H40" s="1" t="s">
        <v>2860</v>
      </c>
      <c r="I40" s="1" t="s">
        <v>920</v>
      </c>
      <c r="J40" s="1" t="s">
        <v>424</v>
      </c>
      <c r="L40" s="1" t="s">
        <v>1269</v>
      </c>
      <c r="M40" t="s">
        <v>3225</v>
      </c>
      <c r="N40" s="1" t="s">
        <v>3222</v>
      </c>
      <c r="O40"/>
      <c r="T40" s="1"/>
    </row>
    <row r="41" spans="4:20" x14ac:dyDescent="0.35">
      <c r="D41" t="s">
        <v>2800</v>
      </c>
      <c r="E41" s="1" t="s">
        <v>2304</v>
      </c>
      <c r="F41" s="1" t="s">
        <v>2851</v>
      </c>
      <c r="G41" s="1" t="s">
        <v>2802</v>
      </c>
      <c r="H41" s="1" t="s">
        <v>2856</v>
      </c>
      <c r="I41" s="1" t="s">
        <v>920</v>
      </c>
      <c r="J41" s="1" t="s">
        <v>424</v>
      </c>
      <c r="L41" s="1" t="s">
        <v>2861</v>
      </c>
      <c r="M41" t="s">
        <v>3226</v>
      </c>
      <c r="N41" s="1" t="s">
        <v>3222</v>
      </c>
      <c r="O41"/>
      <c r="T41" s="1"/>
    </row>
    <row r="42" spans="4:20" x14ac:dyDescent="0.35">
      <c r="D42" t="s">
        <v>2800</v>
      </c>
      <c r="E42" s="1" t="s">
        <v>2304</v>
      </c>
      <c r="F42" s="1" t="s">
        <v>2852</v>
      </c>
      <c r="G42" s="1" t="s">
        <v>2803</v>
      </c>
      <c r="H42" s="1" t="s">
        <v>2857</v>
      </c>
      <c r="I42" s="1" t="s">
        <v>920</v>
      </c>
      <c r="J42" s="1" t="s">
        <v>424</v>
      </c>
      <c r="L42" s="1" t="s">
        <v>2862</v>
      </c>
      <c r="M42" t="s">
        <v>3227</v>
      </c>
      <c r="N42" s="1" t="s">
        <v>3222</v>
      </c>
      <c r="O42"/>
      <c r="T42" s="1"/>
    </row>
    <row r="43" spans="4:20" x14ac:dyDescent="0.35">
      <c r="D43" t="s">
        <v>2800</v>
      </c>
      <c r="E43" s="1" t="s">
        <v>2304</v>
      </c>
      <c r="F43" s="1" t="s">
        <v>2853</v>
      </c>
      <c r="G43" s="1" t="s">
        <v>2804</v>
      </c>
      <c r="H43" s="1" t="s">
        <v>2858</v>
      </c>
      <c r="I43" s="1" t="s">
        <v>1642</v>
      </c>
      <c r="J43" s="1" t="s">
        <v>424</v>
      </c>
      <c r="L43" s="1" t="s">
        <v>2863</v>
      </c>
      <c r="M43" t="s">
        <v>2865</v>
      </c>
      <c r="N43" s="1" t="s">
        <v>1157</v>
      </c>
      <c r="O43"/>
      <c r="T43" s="1"/>
    </row>
    <row r="44" spans="4:20" x14ac:dyDescent="0.35">
      <c r="D44" t="s">
        <v>2800</v>
      </c>
      <c r="E44" s="1" t="s">
        <v>2304</v>
      </c>
      <c r="F44" s="1" t="s">
        <v>2854</v>
      </c>
      <c r="G44" s="1" t="s">
        <v>2804</v>
      </c>
      <c r="H44" s="1" t="s">
        <v>2859</v>
      </c>
      <c r="I44" s="1" t="s">
        <v>327</v>
      </c>
      <c r="J44" s="1" t="s">
        <v>424</v>
      </c>
      <c r="L44" s="1" t="s">
        <v>2864</v>
      </c>
      <c r="M44" t="s">
        <v>2866</v>
      </c>
      <c r="N44" s="1" t="s">
        <v>1157</v>
      </c>
      <c r="O44"/>
      <c r="T44" s="1"/>
    </row>
    <row r="45" spans="4:20" x14ac:dyDescent="0.35">
      <c r="D45" t="s">
        <v>2800</v>
      </c>
      <c r="E45" s="1" t="s">
        <v>2304</v>
      </c>
      <c r="F45" s="1" t="s">
        <v>2919</v>
      </c>
      <c r="G45" s="1" t="s">
        <v>2801</v>
      </c>
      <c r="H45" s="1" t="s">
        <v>2925</v>
      </c>
      <c r="I45" s="1" t="s">
        <v>920</v>
      </c>
      <c r="J45" s="1" t="s">
        <v>424</v>
      </c>
      <c r="L45" s="1" t="s">
        <v>2931</v>
      </c>
      <c r="M45" t="s">
        <v>3228</v>
      </c>
      <c r="N45" s="1" t="s">
        <v>3222</v>
      </c>
      <c r="O45"/>
      <c r="T45" s="1"/>
    </row>
    <row r="46" spans="4:20" x14ac:dyDescent="0.35">
      <c r="D46" t="s">
        <v>2800</v>
      </c>
      <c r="E46" s="1" t="s">
        <v>2304</v>
      </c>
      <c r="F46" s="1" t="s">
        <v>2920</v>
      </c>
      <c r="G46" s="1" t="s">
        <v>2802</v>
      </c>
      <c r="H46" s="1" t="s">
        <v>2926</v>
      </c>
      <c r="I46" s="1" t="s">
        <v>920</v>
      </c>
      <c r="J46" s="1" t="s">
        <v>424</v>
      </c>
      <c r="L46" s="1" t="s">
        <v>2904</v>
      </c>
      <c r="M46" t="s">
        <v>3229</v>
      </c>
      <c r="N46" s="1" t="s">
        <v>3222</v>
      </c>
      <c r="O46"/>
      <c r="T46" s="1"/>
    </row>
    <row r="47" spans="4:20" x14ac:dyDescent="0.35">
      <c r="D47" t="s">
        <v>2800</v>
      </c>
      <c r="E47" s="1" t="s">
        <v>2304</v>
      </c>
      <c r="F47" s="1" t="s">
        <v>2921</v>
      </c>
      <c r="G47" s="1" t="s">
        <v>2803</v>
      </c>
      <c r="H47" s="1" t="s">
        <v>2927</v>
      </c>
      <c r="I47" s="1" t="s">
        <v>920</v>
      </c>
      <c r="J47" s="1" t="s">
        <v>424</v>
      </c>
      <c r="L47" s="1" t="s">
        <v>2932</v>
      </c>
      <c r="M47" t="s">
        <v>3230</v>
      </c>
      <c r="N47" s="1" t="s">
        <v>3222</v>
      </c>
      <c r="O47"/>
      <c r="T47" s="1"/>
    </row>
    <row r="48" spans="4:20" x14ac:dyDescent="0.35">
      <c r="D48" t="s">
        <v>2800</v>
      </c>
      <c r="E48" s="1" t="s">
        <v>2304</v>
      </c>
      <c r="F48" s="1" t="s">
        <v>2922</v>
      </c>
      <c r="G48" s="1" t="s">
        <v>2801</v>
      </c>
      <c r="H48" s="1" t="s">
        <v>2928</v>
      </c>
      <c r="I48" s="1" t="s">
        <v>920</v>
      </c>
      <c r="J48" s="1" t="s">
        <v>424</v>
      </c>
      <c r="L48" s="1" t="s">
        <v>2933</v>
      </c>
      <c r="M48" t="s">
        <v>3231</v>
      </c>
      <c r="N48" s="1" t="s">
        <v>3222</v>
      </c>
      <c r="O48"/>
      <c r="T48" s="1"/>
    </row>
    <row r="49" spans="4:20" x14ac:dyDescent="0.35">
      <c r="D49" t="s">
        <v>2800</v>
      </c>
      <c r="E49" s="1" t="s">
        <v>2304</v>
      </c>
      <c r="F49" s="1" t="s">
        <v>2923</v>
      </c>
      <c r="G49" s="1" t="s">
        <v>2801</v>
      </c>
      <c r="H49" s="1" t="s">
        <v>2929</v>
      </c>
      <c r="I49" s="1" t="s">
        <v>327</v>
      </c>
      <c r="J49" s="1" t="s">
        <v>2930</v>
      </c>
      <c r="L49" s="1" t="s">
        <v>2934</v>
      </c>
      <c r="M49" t="s">
        <v>2935</v>
      </c>
      <c r="N49" s="1" t="s">
        <v>1157</v>
      </c>
      <c r="O49"/>
      <c r="T49" s="1"/>
    </row>
    <row r="50" spans="4:20" x14ac:dyDescent="0.35">
      <c r="D50" t="s">
        <v>2800</v>
      </c>
      <c r="E50" s="1" t="s">
        <v>2304</v>
      </c>
      <c r="F50" s="1" t="s">
        <v>2908</v>
      </c>
      <c r="G50" s="1" t="s">
        <v>2801</v>
      </c>
      <c r="H50" s="1" t="s">
        <v>2913</v>
      </c>
      <c r="I50" s="1" t="s">
        <v>2203</v>
      </c>
      <c r="J50" s="1" t="s">
        <v>1354</v>
      </c>
      <c r="L50" s="1" t="s">
        <v>2911</v>
      </c>
      <c r="M50" t="s">
        <v>2916</v>
      </c>
      <c r="N50" s="1" t="s">
        <v>271</v>
      </c>
      <c r="O50"/>
      <c r="T50" s="1"/>
    </row>
    <row r="51" spans="4:20" x14ac:dyDescent="0.35">
      <c r="D51" t="s">
        <v>2800</v>
      </c>
      <c r="E51" s="1" t="s">
        <v>2304</v>
      </c>
      <c r="F51" s="1" t="s">
        <v>2907</v>
      </c>
      <c r="G51" s="1" t="s">
        <v>2802</v>
      </c>
      <c r="H51" s="1" t="s">
        <v>2914</v>
      </c>
      <c r="I51" s="1" t="s">
        <v>2203</v>
      </c>
      <c r="J51" s="1" t="s">
        <v>1354</v>
      </c>
      <c r="L51" s="1" t="s">
        <v>2912</v>
      </c>
      <c r="M51" t="s">
        <v>2917</v>
      </c>
      <c r="N51" s="1" t="s">
        <v>271</v>
      </c>
      <c r="O51"/>
      <c r="T51" s="1"/>
    </row>
    <row r="52" spans="4:20" x14ac:dyDescent="0.35">
      <c r="D52" t="s">
        <v>2800</v>
      </c>
      <c r="E52" s="1" t="s">
        <v>2304</v>
      </c>
      <c r="F52" s="1" t="s">
        <v>2909</v>
      </c>
      <c r="G52" s="1" t="s">
        <v>2803</v>
      </c>
      <c r="H52" s="1" t="s">
        <v>2915</v>
      </c>
      <c r="I52" s="1" t="s">
        <v>327</v>
      </c>
      <c r="J52" s="1" t="s">
        <v>1354</v>
      </c>
      <c r="L52" s="1" t="s">
        <v>1249</v>
      </c>
      <c r="M52" t="s">
        <v>2918</v>
      </c>
      <c r="N52" s="1" t="s">
        <v>271</v>
      </c>
      <c r="O52"/>
      <c r="T52" s="1"/>
    </row>
    <row r="53" spans="4:20" x14ac:dyDescent="0.35">
      <c r="D53" t="s">
        <v>2800</v>
      </c>
      <c r="E53" s="1" t="s">
        <v>2304</v>
      </c>
      <c r="F53" s="1" t="s">
        <v>2893</v>
      </c>
      <c r="G53" s="1" t="s">
        <v>2801</v>
      </c>
      <c r="H53" s="1" t="s">
        <v>2899</v>
      </c>
      <c r="I53" s="1" t="s">
        <v>919</v>
      </c>
      <c r="J53" s="1" t="s">
        <v>424</v>
      </c>
      <c r="L53" s="1" t="s">
        <v>2903</v>
      </c>
      <c r="M53" t="s">
        <v>3232</v>
      </c>
      <c r="N53" s="1" t="s">
        <v>3222</v>
      </c>
      <c r="O53"/>
      <c r="T53" s="1"/>
    </row>
    <row r="54" spans="4:20" x14ac:dyDescent="0.35">
      <c r="D54" t="s">
        <v>2800</v>
      </c>
      <c r="E54" s="1" t="s">
        <v>2304</v>
      </c>
      <c r="F54" s="1" t="s">
        <v>2894</v>
      </c>
      <c r="G54" s="1" t="s">
        <v>2801</v>
      </c>
      <c r="H54" s="1" t="s">
        <v>2900</v>
      </c>
      <c r="I54" s="1" t="s">
        <v>920</v>
      </c>
      <c r="J54" s="1" t="s">
        <v>424</v>
      </c>
      <c r="L54" s="1" t="s">
        <v>2904</v>
      </c>
      <c r="M54" t="s">
        <v>3233</v>
      </c>
      <c r="N54" s="1" t="s">
        <v>3222</v>
      </c>
      <c r="O54"/>
      <c r="T54" s="1"/>
    </row>
    <row r="55" spans="4:20" x14ac:dyDescent="0.35">
      <c r="D55" t="s">
        <v>2800</v>
      </c>
      <c r="E55" s="1" t="s">
        <v>2304</v>
      </c>
      <c r="F55" s="1" t="s">
        <v>2895</v>
      </c>
      <c r="G55" s="1" t="s">
        <v>2802</v>
      </c>
      <c r="H55" s="1" t="s">
        <v>2901</v>
      </c>
      <c r="I55" s="1" t="s">
        <v>920</v>
      </c>
      <c r="J55" s="1" t="s">
        <v>424</v>
      </c>
      <c r="L55" s="1" t="s">
        <v>2905</v>
      </c>
      <c r="M55" t="s">
        <v>3234</v>
      </c>
      <c r="N55" s="1" t="s">
        <v>3222</v>
      </c>
      <c r="O55"/>
      <c r="T55" s="1"/>
    </row>
    <row r="56" spans="4:20" x14ac:dyDescent="0.35">
      <c r="D56" t="s">
        <v>2800</v>
      </c>
      <c r="E56" s="1" t="s">
        <v>2304</v>
      </c>
      <c r="F56" s="1" t="s">
        <v>2896</v>
      </c>
      <c r="G56" s="1" t="s">
        <v>2801</v>
      </c>
      <c r="H56" s="1" t="s">
        <v>2902</v>
      </c>
      <c r="I56" s="1" t="s">
        <v>327</v>
      </c>
      <c r="J56" s="1" t="s">
        <v>424</v>
      </c>
      <c r="L56" s="1" t="s">
        <v>1249</v>
      </c>
      <c r="M56" t="s">
        <v>2906</v>
      </c>
      <c r="N56" s="1" t="s">
        <v>1157</v>
      </c>
      <c r="O56"/>
      <c r="T56" s="1"/>
    </row>
    <row r="57" spans="4:20" x14ac:dyDescent="0.35">
      <c r="D57" t="s">
        <v>2800</v>
      </c>
      <c r="E57" s="1" t="s">
        <v>2304</v>
      </c>
      <c r="F57" s="1" t="s">
        <v>2945</v>
      </c>
      <c r="G57" s="1" t="s">
        <v>2801</v>
      </c>
      <c r="H57" s="1" t="s">
        <v>2957</v>
      </c>
      <c r="I57" s="1" t="s">
        <v>2203</v>
      </c>
      <c r="J57" s="1" t="s">
        <v>1354</v>
      </c>
      <c r="L57" s="1" t="s">
        <v>2965</v>
      </c>
      <c r="M57"/>
      <c r="O57"/>
      <c r="T57" s="1"/>
    </row>
    <row r="58" spans="4:20" x14ac:dyDescent="0.35">
      <c r="D58" t="s">
        <v>2800</v>
      </c>
      <c r="E58" s="1" t="s">
        <v>2304</v>
      </c>
      <c r="F58" s="1" t="s">
        <v>2947</v>
      </c>
      <c r="G58" s="1" t="s">
        <v>2802</v>
      </c>
      <c r="H58" s="1" t="s">
        <v>2958</v>
      </c>
      <c r="I58" s="1" t="s">
        <v>2203</v>
      </c>
      <c r="J58" s="1" t="s">
        <v>1354</v>
      </c>
      <c r="L58" s="1" t="s">
        <v>2966</v>
      </c>
      <c r="M58" t="s">
        <v>2972</v>
      </c>
      <c r="N58" s="1" t="s">
        <v>271</v>
      </c>
      <c r="O58"/>
      <c r="T58" s="1"/>
    </row>
    <row r="59" spans="4:20" x14ac:dyDescent="0.35">
      <c r="D59" t="s">
        <v>2800</v>
      </c>
      <c r="E59" s="1" t="s">
        <v>2304</v>
      </c>
      <c r="F59" s="1" t="s">
        <v>2948</v>
      </c>
      <c r="G59" s="1" t="s">
        <v>2803</v>
      </c>
      <c r="H59" s="1" t="s">
        <v>2959</v>
      </c>
      <c r="I59" s="1" t="s">
        <v>2203</v>
      </c>
      <c r="J59" s="1" t="s">
        <v>1354</v>
      </c>
      <c r="L59" s="1" t="s">
        <v>2967</v>
      </c>
      <c r="M59" t="s">
        <v>2973</v>
      </c>
      <c r="N59" s="1" t="s">
        <v>271</v>
      </c>
      <c r="O59"/>
      <c r="T59" s="1"/>
    </row>
    <row r="60" spans="4:20" x14ac:dyDescent="0.35">
      <c r="D60" t="s">
        <v>2800</v>
      </c>
      <c r="E60" s="1" t="s">
        <v>2304</v>
      </c>
      <c r="F60" s="1" t="s">
        <v>2949</v>
      </c>
      <c r="G60" s="1" t="s">
        <v>2804</v>
      </c>
      <c r="H60" s="1" t="s">
        <v>2960</v>
      </c>
      <c r="I60" s="1" t="s">
        <v>2203</v>
      </c>
      <c r="J60" s="1" t="s">
        <v>1354</v>
      </c>
      <c r="L60" s="1" t="s">
        <v>2968</v>
      </c>
      <c r="M60" t="s">
        <v>2974</v>
      </c>
      <c r="N60" s="1" t="s">
        <v>271</v>
      </c>
      <c r="O60"/>
      <c r="T60" s="1"/>
    </row>
    <row r="61" spans="4:20" x14ac:dyDescent="0.35">
      <c r="D61" t="s">
        <v>2800</v>
      </c>
      <c r="E61" s="1" t="s">
        <v>2304</v>
      </c>
      <c r="F61" s="1" t="s">
        <v>2946</v>
      </c>
      <c r="G61" s="1" t="s">
        <v>2805</v>
      </c>
      <c r="H61" s="1" t="s">
        <v>2961</v>
      </c>
      <c r="I61" s="1" t="s">
        <v>327</v>
      </c>
      <c r="J61" s="1" t="s">
        <v>1354</v>
      </c>
      <c r="L61" s="1" t="s">
        <v>2969</v>
      </c>
      <c r="M61" t="s">
        <v>2975</v>
      </c>
      <c r="N61" s="1" t="s">
        <v>271</v>
      </c>
      <c r="O61"/>
      <c r="T61" s="1"/>
    </row>
    <row r="62" spans="4:20" x14ac:dyDescent="0.35">
      <c r="D62" t="s">
        <v>2800</v>
      </c>
      <c r="E62" s="1" t="s">
        <v>2304</v>
      </c>
      <c r="F62" s="1" t="s">
        <v>2953</v>
      </c>
      <c r="G62" s="1" t="s">
        <v>2801</v>
      </c>
      <c r="H62" s="1" t="s">
        <v>2962</v>
      </c>
      <c r="I62" s="1" t="s">
        <v>920</v>
      </c>
      <c r="J62" s="1" t="s">
        <v>424</v>
      </c>
      <c r="L62" s="1" t="s">
        <v>2970</v>
      </c>
      <c r="M62" t="s">
        <v>3235</v>
      </c>
      <c r="N62" s="1" t="s">
        <v>3222</v>
      </c>
      <c r="O62"/>
      <c r="T62" s="1"/>
    </row>
    <row r="63" spans="4:20" x14ac:dyDescent="0.35">
      <c r="D63" t="s">
        <v>2800</v>
      </c>
      <c r="E63" s="1" t="s">
        <v>2304</v>
      </c>
      <c r="F63" s="1" t="s">
        <v>2954</v>
      </c>
      <c r="G63" s="1" t="s">
        <v>2802</v>
      </c>
      <c r="H63" s="1" t="s">
        <v>2963</v>
      </c>
      <c r="I63" s="1" t="s">
        <v>920</v>
      </c>
      <c r="J63" s="1" t="s">
        <v>424</v>
      </c>
      <c r="L63" s="1" t="s">
        <v>1290</v>
      </c>
      <c r="M63" t="s">
        <v>3236</v>
      </c>
      <c r="N63" s="1" t="s">
        <v>3222</v>
      </c>
      <c r="O63"/>
      <c r="T63" s="1"/>
    </row>
    <row r="64" spans="4:20" x14ac:dyDescent="0.35">
      <c r="D64" t="s">
        <v>2800</v>
      </c>
      <c r="E64" s="1" t="s">
        <v>2304</v>
      </c>
      <c r="F64" s="1" t="s">
        <v>2955</v>
      </c>
      <c r="G64" s="1" t="s">
        <v>2803</v>
      </c>
      <c r="H64" s="1" t="s">
        <v>2964</v>
      </c>
      <c r="I64" s="1" t="s">
        <v>327</v>
      </c>
      <c r="J64" s="1" t="s">
        <v>424</v>
      </c>
      <c r="L64" s="1" t="s">
        <v>2971</v>
      </c>
      <c r="M64" s="31" t="s">
        <v>2976</v>
      </c>
      <c r="N64" s="1" t="s">
        <v>1157</v>
      </c>
      <c r="O64"/>
      <c r="T64" s="1"/>
    </row>
    <row r="65" spans="4:20" x14ac:dyDescent="0.35">
      <c r="D65" t="s">
        <v>2800</v>
      </c>
      <c r="E65" s="1" t="s">
        <v>2304</v>
      </c>
      <c r="F65" t="s">
        <v>2992</v>
      </c>
      <c r="G65" s="1" t="s">
        <v>2801</v>
      </c>
      <c r="H65" t="s">
        <v>3000</v>
      </c>
      <c r="I65" s="1" t="s">
        <v>920</v>
      </c>
      <c r="J65" s="1" t="s">
        <v>424</v>
      </c>
      <c r="L65" s="1" t="s">
        <v>3005</v>
      </c>
      <c r="M65" s="31" t="s">
        <v>3237</v>
      </c>
      <c r="N65" s="1" t="s">
        <v>3222</v>
      </c>
      <c r="O65"/>
      <c r="T65" s="1"/>
    </row>
    <row r="66" spans="4:20" x14ac:dyDescent="0.35">
      <c r="D66" t="s">
        <v>2800</v>
      </c>
      <c r="E66" s="1" t="s">
        <v>2304</v>
      </c>
      <c r="F66" t="s">
        <v>2993</v>
      </c>
      <c r="G66" s="1" t="s">
        <v>2801</v>
      </c>
      <c r="H66" t="s">
        <v>3001</v>
      </c>
      <c r="I66" s="1" t="s">
        <v>920</v>
      </c>
      <c r="J66" s="1" t="s">
        <v>424</v>
      </c>
      <c r="L66" s="1" t="s">
        <v>3006</v>
      </c>
      <c r="M66" s="31" t="s">
        <v>3238</v>
      </c>
      <c r="N66" s="1" t="s">
        <v>3222</v>
      </c>
      <c r="O66"/>
      <c r="T66" s="1"/>
    </row>
    <row r="67" spans="4:20" x14ac:dyDescent="0.35">
      <c r="D67" t="s">
        <v>2800</v>
      </c>
      <c r="E67" s="1" t="s">
        <v>2304</v>
      </c>
      <c r="F67" t="s">
        <v>2994</v>
      </c>
      <c r="G67" s="1" t="s">
        <v>2801</v>
      </c>
      <c r="H67" t="s">
        <v>3002</v>
      </c>
      <c r="I67" s="1" t="s">
        <v>920</v>
      </c>
      <c r="J67" s="1" t="s">
        <v>424</v>
      </c>
      <c r="L67" s="1" t="s">
        <v>3007</v>
      </c>
      <c r="M67" s="31" t="s">
        <v>3239</v>
      </c>
      <c r="N67" s="1" t="s">
        <v>3222</v>
      </c>
      <c r="O67"/>
      <c r="T67" s="1"/>
    </row>
    <row r="68" spans="4:20" x14ac:dyDescent="0.35">
      <c r="D68" t="s">
        <v>2800</v>
      </c>
      <c r="E68" s="1" t="s">
        <v>2304</v>
      </c>
      <c r="F68" t="s">
        <v>2996</v>
      </c>
      <c r="G68" s="1" t="s">
        <v>2802</v>
      </c>
      <c r="H68" t="s">
        <v>3003</v>
      </c>
      <c r="I68" s="1" t="s">
        <v>920</v>
      </c>
      <c r="J68" s="1" t="s">
        <v>424</v>
      </c>
      <c r="L68" s="1" t="s">
        <v>3008</v>
      </c>
      <c r="M68" s="31" t="s">
        <v>3240</v>
      </c>
      <c r="N68" s="1" t="s">
        <v>3222</v>
      </c>
      <c r="O68"/>
      <c r="T68" s="1"/>
    </row>
    <row r="69" spans="4:20" x14ac:dyDescent="0.35">
      <c r="D69" t="s">
        <v>2800</v>
      </c>
      <c r="E69" s="1" t="s">
        <v>2304</v>
      </c>
      <c r="F69" t="s">
        <v>2998</v>
      </c>
      <c r="G69" s="1" t="s">
        <v>2803</v>
      </c>
      <c r="H69" t="s">
        <v>3004</v>
      </c>
      <c r="I69" s="1" t="s">
        <v>327</v>
      </c>
      <c r="J69" s="1" t="s">
        <v>424</v>
      </c>
      <c r="L69" s="1" t="s">
        <v>3009</v>
      </c>
      <c r="M69" t="s">
        <v>3010</v>
      </c>
      <c r="N69" s="1" t="s">
        <v>1157</v>
      </c>
      <c r="O69"/>
      <c r="T69" s="1"/>
    </row>
    <row r="70" spans="4:20" x14ac:dyDescent="0.35">
      <c r="D70" t="s">
        <v>2800</v>
      </c>
      <c r="E70" s="1" t="s">
        <v>2304</v>
      </c>
      <c r="F70" t="s">
        <v>3012</v>
      </c>
      <c r="G70" s="1" t="s">
        <v>2801</v>
      </c>
      <c r="H70" t="s">
        <v>3017</v>
      </c>
      <c r="I70" s="1" t="s">
        <v>2203</v>
      </c>
      <c r="J70" s="1" t="s">
        <v>2789</v>
      </c>
      <c r="L70" s="1" t="s">
        <v>1285</v>
      </c>
      <c r="M70"/>
      <c r="O70"/>
      <c r="Q70" s="1" t="s">
        <v>1326</v>
      </c>
      <c r="R70" s="1" t="s">
        <v>271</v>
      </c>
      <c r="S70" s="1" t="s">
        <v>3013</v>
      </c>
      <c r="T70" s="1"/>
    </row>
    <row r="71" spans="4:20" x14ac:dyDescent="0.35">
      <c r="D71" t="s">
        <v>2800</v>
      </c>
      <c r="E71" s="1" t="s">
        <v>2304</v>
      </c>
      <c r="F71" t="s">
        <v>3014</v>
      </c>
      <c r="G71" s="1" t="s">
        <v>2802</v>
      </c>
      <c r="H71" t="s">
        <v>3018</v>
      </c>
      <c r="I71" s="1" t="s">
        <v>2203</v>
      </c>
      <c r="J71" s="1" t="s">
        <v>2789</v>
      </c>
      <c r="L71" s="1" t="s">
        <v>1290</v>
      </c>
      <c r="M71" t="s">
        <v>3016</v>
      </c>
      <c r="N71" s="1" t="s">
        <v>271</v>
      </c>
      <c r="O71"/>
      <c r="Q71" s="1" t="s">
        <v>1334</v>
      </c>
      <c r="R71" s="1" t="s">
        <v>271</v>
      </c>
      <c r="S71" s="1" t="s">
        <v>3015</v>
      </c>
      <c r="T71" s="1"/>
    </row>
    <row r="72" spans="4:20" x14ac:dyDescent="0.35">
      <c r="D72" t="s">
        <v>2800</v>
      </c>
      <c r="E72" s="1" t="s">
        <v>2304</v>
      </c>
      <c r="F72" t="s">
        <v>3021</v>
      </c>
      <c r="G72" s="1" t="s">
        <v>2803</v>
      </c>
      <c r="H72" t="s">
        <v>3022</v>
      </c>
      <c r="I72" s="1" t="s">
        <v>1642</v>
      </c>
      <c r="J72" s="1" t="s">
        <v>2789</v>
      </c>
      <c r="L72" s="1" t="s">
        <v>1294</v>
      </c>
      <c r="M72" t="s">
        <v>3019</v>
      </c>
      <c r="N72" s="1" t="s">
        <v>271</v>
      </c>
      <c r="O72"/>
      <c r="T72" s="1"/>
    </row>
    <row r="73" spans="4:20" x14ac:dyDescent="0.35">
      <c r="D73" t="s">
        <v>2800</v>
      </c>
      <c r="E73" s="1" t="s">
        <v>2304</v>
      </c>
      <c r="F73" t="s">
        <v>3020</v>
      </c>
      <c r="G73" s="1" t="s">
        <v>2803</v>
      </c>
      <c r="H73" t="s">
        <v>3023</v>
      </c>
      <c r="I73" s="1" t="s">
        <v>327</v>
      </c>
      <c r="J73" s="1" t="s">
        <v>2789</v>
      </c>
      <c r="L73" s="1" t="s">
        <v>3024</v>
      </c>
      <c r="M73" t="s">
        <v>3025</v>
      </c>
      <c r="N73" s="1" t="s">
        <v>271</v>
      </c>
      <c r="O73"/>
      <c r="T73" s="1"/>
    </row>
    <row r="74" spans="4:20" x14ac:dyDescent="0.35">
      <c r="D74" t="s">
        <v>2800</v>
      </c>
      <c r="E74" s="1" t="s">
        <v>2304</v>
      </c>
      <c r="F74" t="s">
        <v>3031</v>
      </c>
      <c r="G74" s="1" t="s">
        <v>2801</v>
      </c>
      <c r="H74" t="s">
        <v>3056</v>
      </c>
      <c r="I74" s="1" t="s">
        <v>920</v>
      </c>
      <c r="J74" s="1" t="s">
        <v>424</v>
      </c>
      <c r="L74" s="1" t="s">
        <v>3081</v>
      </c>
      <c r="M74" t="s">
        <v>3241</v>
      </c>
      <c r="N74" s="1" t="s">
        <v>3222</v>
      </c>
      <c r="O74"/>
      <c r="T74" s="1"/>
    </row>
    <row r="75" spans="4:20" x14ac:dyDescent="0.35">
      <c r="D75" t="s">
        <v>2800</v>
      </c>
      <c r="E75" s="1" t="s">
        <v>2304</v>
      </c>
      <c r="F75" t="s">
        <v>3032</v>
      </c>
      <c r="G75" s="1" t="s">
        <v>2801</v>
      </c>
      <c r="H75" t="s">
        <v>3057</v>
      </c>
      <c r="I75" s="1" t="s">
        <v>327</v>
      </c>
      <c r="J75" s="1" t="s">
        <v>424</v>
      </c>
      <c r="L75" s="1" t="s">
        <v>3082</v>
      </c>
      <c r="M75" t="s">
        <v>3093</v>
      </c>
      <c r="N75" s="1" t="s">
        <v>1157</v>
      </c>
      <c r="O75"/>
      <c r="T75" s="1"/>
    </row>
    <row r="76" spans="4:20" x14ac:dyDescent="0.35">
      <c r="D76" t="s">
        <v>2800</v>
      </c>
      <c r="E76" s="1" t="s">
        <v>2304</v>
      </c>
      <c r="F76" t="s">
        <v>3033</v>
      </c>
      <c r="G76" s="1" t="s">
        <v>2801</v>
      </c>
      <c r="H76" t="s">
        <v>3058</v>
      </c>
      <c r="I76" s="1" t="s">
        <v>920</v>
      </c>
      <c r="J76" s="1" t="s">
        <v>424</v>
      </c>
      <c r="L76" s="1" t="s">
        <v>3081</v>
      </c>
      <c r="M76" t="s">
        <v>3242</v>
      </c>
      <c r="N76" s="1" t="s">
        <v>3222</v>
      </c>
      <c r="O76"/>
      <c r="T76" s="1"/>
    </row>
    <row r="77" spans="4:20" x14ac:dyDescent="0.35">
      <c r="D77" t="s">
        <v>2800</v>
      </c>
      <c r="E77" s="1" t="s">
        <v>2304</v>
      </c>
      <c r="F77" t="s">
        <v>3034</v>
      </c>
      <c r="G77" s="1" t="s">
        <v>2801</v>
      </c>
      <c r="H77" t="s">
        <v>3059</v>
      </c>
      <c r="I77" s="1" t="s">
        <v>327</v>
      </c>
      <c r="J77" s="1" t="s">
        <v>424</v>
      </c>
      <c r="L77" s="1" t="s">
        <v>3083</v>
      </c>
      <c r="M77" t="s">
        <v>3094</v>
      </c>
      <c r="N77" s="1" t="s">
        <v>1157</v>
      </c>
      <c r="O77"/>
      <c r="T77" s="1"/>
    </row>
    <row r="78" spans="4:20" x14ac:dyDescent="0.35">
      <c r="D78" t="s">
        <v>2800</v>
      </c>
      <c r="E78" s="1" t="s">
        <v>2304</v>
      </c>
      <c r="F78" t="s">
        <v>3035</v>
      </c>
      <c r="G78" s="1" t="s">
        <v>2801</v>
      </c>
      <c r="H78" t="s">
        <v>3060</v>
      </c>
      <c r="I78" s="1" t="s">
        <v>920</v>
      </c>
      <c r="J78" s="1" t="s">
        <v>424</v>
      </c>
      <c r="L78" s="1" t="s">
        <v>3084</v>
      </c>
      <c r="M78" t="s">
        <v>3243</v>
      </c>
      <c r="N78" s="1" t="s">
        <v>3222</v>
      </c>
      <c r="O78"/>
      <c r="T78" s="1"/>
    </row>
    <row r="79" spans="4:20" x14ac:dyDescent="0.35">
      <c r="D79" t="s">
        <v>2800</v>
      </c>
      <c r="E79" s="1" t="s">
        <v>2304</v>
      </c>
      <c r="F79" t="s">
        <v>3036</v>
      </c>
      <c r="G79" s="1" t="s">
        <v>2801</v>
      </c>
      <c r="H79" t="s">
        <v>3061</v>
      </c>
      <c r="I79" s="1" t="s">
        <v>327</v>
      </c>
      <c r="J79" s="1" t="s">
        <v>424</v>
      </c>
      <c r="L79" s="1" t="s">
        <v>3083</v>
      </c>
      <c r="M79" t="s">
        <v>3104</v>
      </c>
      <c r="N79" s="1" t="s">
        <v>1157</v>
      </c>
      <c r="O79"/>
      <c r="T79" s="1"/>
    </row>
    <row r="80" spans="4:20" x14ac:dyDescent="0.35">
      <c r="D80" t="s">
        <v>2800</v>
      </c>
      <c r="E80" s="1" t="s">
        <v>2304</v>
      </c>
      <c r="F80" t="s">
        <v>3037</v>
      </c>
      <c r="G80" s="1" t="s">
        <v>2801</v>
      </c>
      <c r="H80" t="s">
        <v>3062</v>
      </c>
      <c r="I80" s="1" t="s">
        <v>920</v>
      </c>
      <c r="J80" s="1" t="s">
        <v>424</v>
      </c>
      <c r="L80" s="1" t="s">
        <v>3084</v>
      </c>
      <c r="M80" t="s">
        <v>3244</v>
      </c>
      <c r="N80" s="1" t="s">
        <v>3222</v>
      </c>
      <c r="O80"/>
      <c r="T80" s="1"/>
    </row>
    <row r="81" spans="4:20" x14ac:dyDescent="0.35">
      <c r="D81" t="s">
        <v>2800</v>
      </c>
      <c r="E81" s="1" t="s">
        <v>2304</v>
      </c>
      <c r="F81" t="s">
        <v>3038</v>
      </c>
      <c r="G81" s="1" t="s">
        <v>2801</v>
      </c>
      <c r="H81" t="s">
        <v>3063</v>
      </c>
      <c r="I81" s="1" t="s">
        <v>327</v>
      </c>
      <c r="J81" s="1" t="s">
        <v>424</v>
      </c>
      <c r="L81" s="1" t="s">
        <v>1534</v>
      </c>
      <c r="M81" t="s">
        <v>3095</v>
      </c>
      <c r="N81" s="1" t="s">
        <v>1157</v>
      </c>
      <c r="O81"/>
      <c r="T81" s="1"/>
    </row>
    <row r="82" spans="4:20" x14ac:dyDescent="0.35">
      <c r="D82" t="s">
        <v>2800</v>
      </c>
      <c r="E82" s="1" t="s">
        <v>2304</v>
      </c>
      <c r="F82" t="s">
        <v>3039</v>
      </c>
      <c r="G82" s="1" t="s">
        <v>2801</v>
      </c>
      <c r="H82" t="s">
        <v>3064</v>
      </c>
      <c r="I82" s="1" t="s">
        <v>920</v>
      </c>
      <c r="J82" s="1" t="s">
        <v>424</v>
      </c>
      <c r="L82" s="1" t="s">
        <v>3085</v>
      </c>
      <c r="M82" t="s">
        <v>3245</v>
      </c>
      <c r="N82" s="1" t="s">
        <v>3222</v>
      </c>
      <c r="O82"/>
      <c r="T82" s="1"/>
    </row>
    <row r="83" spans="4:20" x14ac:dyDescent="0.35">
      <c r="D83" t="s">
        <v>2800</v>
      </c>
      <c r="E83" s="1" t="s">
        <v>2304</v>
      </c>
      <c r="F83" t="s">
        <v>3040</v>
      </c>
      <c r="G83" s="1" t="s">
        <v>2802</v>
      </c>
      <c r="H83" t="s">
        <v>3065</v>
      </c>
      <c r="I83" s="1" t="s">
        <v>327</v>
      </c>
      <c r="J83" s="1" t="s">
        <v>424</v>
      </c>
      <c r="L83" s="1" t="s">
        <v>3083</v>
      </c>
      <c r="M83" t="s">
        <v>3096</v>
      </c>
      <c r="N83" s="1" t="s">
        <v>1157</v>
      </c>
      <c r="O83"/>
      <c r="T83" s="1"/>
    </row>
    <row r="84" spans="4:20" x14ac:dyDescent="0.35">
      <c r="D84" t="s">
        <v>2800</v>
      </c>
      <c r="E84" s="1" t="s">
        <v>2304</v>
      </c>
      <c r="F84" t="s">
        <v>3041</v>
      </c>
      <c r="G84" s="1" t="s">
        <v>2801</v>
      </c>
      <c r="H84" t="s">
        <v>3066</v>
      </c>
      <c r="I84" s="1" t="s">
        <v>920</v>
      </c>
      <c r="J84" s="1" t="s">
        <v>424</v>
      </c>
      <c r="L84" s="1" t="s">
        <v>3086</v>
      </c>
      <c r="M84" t="s">
        <v>3246</v>
      </c>
      <c r="N84" s="1" t="s">
        <v>3222</v>
      </c>
      <c r="O84"/>
      <c r="T84" s="1"/>
    </row>
    <row r="85" spans="4:20" x14ac:dyDescent="0.35">
      <c r="D85" t="s">
        <v>2800</v>
      </c>
      <c r="E85" s="1" t="s">
        <v>2304</v>
      </c>
      <c r="F85" t="s">
        <v>3042</v>
      </c>
      <c r="G85" s="1" t="s">
        <v>2801</v>
      </c>
      <c r="H85" t="s">
        <v>3067</v>
      </c>
      <c r="I85" s="1" t="s">
        <v>327</v>
      </c>
      <c r="J85" s="1" t="s">
        <v>424</v>
      </c>
      <c r="L85" s="1" t="s">
        <v>3083</v>
      </c>
      <c r="M85" t="s">
        <v>3105</v>
      </c>
      <c r="N85" s="1" t="s">
        <v>1157</v>
      </c>
      <c r="O85"/>
      <c r="T85" s="1"/>
    </row>
    <row r="86" spans="4:20" x14ac:dyDescent="0.35">
      <c r="D86" t="s">
        <v>2800</v>
      </c>
      <c r="E86" s="1" t="s">
        <v>2304</v>
      </c>
      <c r="F86" t="s">
        <v>3043</v>
      </c>
      <c r="G86" s="1" t="s">
        <v>2801</v>
      </c>
      <c r="H86" t="s">
        <v>3068</v>
      </c>
      <c r="I86" s="1" t="s">
        <v>920</v>
      </c>
      <c r="J86" s="1" t="s">
        <v>424</v>
      </c>
      <c r="L86" s="1" t="s">
        <v>3087</v>
      </c>
      <c r="M86" t="s">
        <v>3247</v>
      </c>
      <c r="N86" s="1" t="s">
        <v>3222</v>
      </c>
      <c r="O86"/>
      <c r="T86" s="1"/>
    </row>
    <row r="87" spans="4:20" x14ac:dyDescent="0.35">
      <c r="D87" t="s">
        <v>2800</v>
      </c>
      <c r="E87" s="1" t="s">
        <v>2304</v>
      </c>
      <c r="F87" t="s">
        <v>3044</v>
      </c>
      <c r="G87" s="1" t="s">
        <v>2801</v>
      </c>
      <c r="H87" t="s">
        <v>3069</v>
      </c>
      <c r="I87" s="1" t="s">
        <v>327</v>
      </c>
      <c r="J87" s="1" t="s">
        <v>424</v>
      </c>
      <c r="L87" s="1" t="s">
        <v>3088</v>
      </c>
      <c r="M87" t="s">
        <v>3097</v>
      </c>
      <c r="N87" s="1" t="s">
        <v>1157</v>
      </c>
      <c r="O87"/>
      <c r="T87" s="1"/>
    </row>
    <row r="88" spans="4:20" x14ac:dyDescent="0.35">
      <c r="D88" t="s">
        <v>2800</v>
      </c>
      <c r="E88" s="1" t="s">
        <v>2304</v>
      </c>
      <c r="F88" t="s">
        <v>3045</v>
      </c>
      <c r="G88" s="1" t="s">
        <v>2801</v>
      </c>
      <c r="H88" t="s">
        <v>3070</v>
      </c>
      <c r="I88" s="1" t="s">
        <v>920</v>
      </c>
      <c r="J88" s="1" t="s">
        <v>424</v>
      </c>
      <c r="L88" s="1" t="s">
        <v>3089</v>
      </c>
      <c r="M88" t="s">
        <v>3248</v>
      </c>
      <c r="N88" s="1" t="s">
        <v>3222</v>
      </c>
      <c r="O88"/>
      <c r="T88" s="1"/>
    </row>
    <row r="89" spans="4:20" x14ac:dyDescent="0.35">
      <c r="D89" t="s">
        <v>2800</v>
      </c>
      <c r="E89" s="1" t="s">
        <v>2304</v>
      </c>
      <c r="F89" t="s">
        <v>3046</v>
      </c>
      <c r="G89" s="1" t="s">
        <v>2801</v>
      </c>
      <c r="H89" t="s">
        <v>3071</v>
      </c>
      <c r="I89" s="1" t="s">
        <v>327</v>
      </c>
      <c r="J89" s="1" t="s">
        <v>424</v>
      </c>
      <c r="L89" s="1" t="s">
        <v>3083</v>
      </c>
      <c r="M89" s="31" t="s">
        <v>3098</v>
      </c>
      <c r="N89" s="1" t="s">
        <v>1157</v>
      </c>
      <c r="O89"/>
      <c r="T89" s="1"/>
    </row>
    <row r="90" spans="4:20" x14ac:dyDescent="0.35">
      <c r="D90" t="s">
        <v>2800</v>
      </c>
      <c r="E90" s="1" t="s">
        <v>2304</v>
      </c>
      <c r="F90" t="s">
        <v>3047</v>
      </c>
      <c r="G90" s="1" t="s">
        <v>2801</v>
      </c>
      <c r="H90" t="s">
        <v>3072</v>
      </c>
      <c r="I90" s="1" t="s">
        <v>920</v>
      </c>
      <c r="J90" s="1" t="s">
        <v>424</v>
      </c>
      <c r="L90" s="1" t="s">
        <v>3090</v>
      </c>
      <c r="M90" t="s">
        <v>3249</v>
      </c>
      <c r="N90" s="1" t="s">
        <v>3222</v>
      </c>
      <c r="O90"/>
      <c r="T90" s="1"/>
    </row>
    <row r="91" spans="4:20" x14ac:dyDescent="0.35">
      <c r="D91" t="s">
        <v>2800</v>
      </c>
      <c r="E91" s="1" t="s">
        <v>2304</v>
      </c>
      <c r="F91" t="s">
        <v>3048</v>
      </c>
      <c r="G91" s="1" t="s">
        <v>2802</v>
      </c>
      <c r="H91" t="s">
        <v>3073</v>
      </c>
      <c r="I91" s="1" t="s">
        <v>327</v>
      </c>
      <c r="J91" s="1" t="s">
        <v>424</v>
      </c>
      <c r="L91" s="1" t="s">
        <v>3083</v>
      </c>
      <c r="M91" t="s">
        <v>3099</v>
      </c>
      <c r="N91" s="1" t="s">
        <v>1157</v>
      </c>
      <c r="O91"/>
      <c r="T91" s="1"/>
    </row>
    <row r="92" spans="4:20" x14ac:dyDescent="0.35">
      <c r="D92" t="s">
        <v>2800</v>
      </c>
      <c r="E92" s="1" t="s">
        <v>2304</v>
      </c>
      <c r="F92" t="s">
        <v>3049</v>
      </c>
      <c r="G92" s="1" t="s">
        <v>2801</v>
      </c>
      <c r="H92" t="s">
        <v>3074</v>
      </c>
      <c r="I92" s="1" t="s">
        <v>920</v>
      </c>
      <c r="J92" s="1" t="s">
        <v>424</v>
      </c>
      <c r="L92" s="1" t="s">
        <v>2971</v>
      </c>
      <c r="M92" t="s">
        <v>3250</v>
      </c>
      <c r="N92" s="1" t="s">
        <v>3222</v>
      </c>
      <c r="O92"/>
      <c r="T92" s="1"/>
    </row>
    <row r="93" spans="4:20" x14ac:dyDescent="0.35">
      <c r="D93" t="s">
        <v>2800</v>
      </c>
      <c r="E93" s="1" t="s">
        <v>2304</v>
      </c>
      <c r="F93" t="s">
        <v>3050</v>
      </c>
      <c r="G93" s="1" t="s">
        <v>2802</v>
      </c>
      <c r="H93" t="s">
        <v>3075</v>
      </c>
      <c r="I93" s="1" t="s">
        <v>327</v>
      </c>
      <c r="J93" s="1" t="s">
        <v>424</v>
      </c>
      <c r="L93" s="1" t="s">
        <v>1553</v>
      </c>
      <c r="M93" t="s">
        <v>3100</v>
      </c>
      <c r="N93" s="1" t="s">
        <v>1157</v>
      </c>
      <c r="O93"/>
      <c r="T93" s="1"/>
    </row>
    <row r="94" spans="4:20" x14ac:dyDescent="0.35">
      <c r="D94" t="s">
        <v>2800</v>
      </c>
      <c r="E94" s="1" t="s">
        <v>2304</v>
      </c>
      <c r="F94" t="s">
        <v>3051</v>
      </c>
      <c r="G94" s="1" t="s">
        <v>2801</v>
      </c>
      <c r="H94" t="s">
        <v>3076</v>
      </c>
      <c r="I94" s="1" t="s">
        <v>327</v>
      </c>
      <c r="J94" s="1" t="s">
        <v>424</v>
      </c>
      <c r="L94" s="1" t="s">
        <v>3009</v>
      </c>
      <c r="M94" t="s">
        <v>3101</v>
      </c>
      <c r="N94" s="1" t="s">
        <v>1157</v>
      </c>
      <c r="O94"/>
      <c r="T94" s="1"/>
    </row>
    <row r="95" spans="4:20" x14ac:dyDescent="0.35">
      <c r="D95" t="s">
        <v>2800</v>
      </c>
      <c r="E95" s="1" t="s">
        <v>2304</v>
      </c>
      <c r="F95" t="s">
        <v>3052</v>
      </c>
      <c r="G95" s="1" t="s">
        <v>2801</v>
      </c>
      <c r="H95" t="s">
        <v>3077</v>
      </c>
      <c r="I95" s="1" t="s">
        <v>327</v>
      </c>
      <c r="J95" s="1" t="s">
        <v>424</v>
      </c>
      <c r="L95" s="1" t="s">
        <v>1550</v>
      </c>
      <c r="M95" t="s">
        <v>3102</v>
      </c>
      <c r="N95" s="1" t="s">
        <v>1157</v>
      </c>
      <c r="O95"/>
      <c r="T95" s="1"/>
    </row>
    <row r="96" spans="4:20" x14ac:dyDescent="0.35">
      <c r="D96" t="s">
        <v>2800</v>
      </c>
      <c r="E96" s="1" t="s">
        <v>2304</v>
      </c>
      <c r="F96" t="s">
        <v>3053</v>
      </c>
      <c r="G96" s="1" t="s">
        <v>2801</v>
      </c>
      <c r="H96" t="s">
        <v>3078</v>
      </c>
      <c r="I96" s="1" t="s">
        <v>327</v>
      </c>
      <c r="J96" s="1" t="s">
        <v>424</v>
      </c>
      <c r="L96" s="1" t="s">
        <v>1569</v>
      </c>
      <c r="M96" t="s">
        <v>3106</v>
      </c>
      <c r="N96" s="1" t="s">
        <v>1157</v>
      </c>
      <c r="O96"/>
      <c r="T96" s="1"/>
    </row>
    <row r="97" spans="4:20" x14ac:dyDescent="0.35">
      <c r="D97" t="s">
        <v>2800</v>
      </c>
      <c r="E97" s="1" t="s">
        <v>2304</v>
      </c>
      <c r="F97" t="s">
        <v>3054</v>
      </c>
      <c r="G97" s="1" t="s">
        <v>2801</v>
      </c>
      <c r="H97" t="s">
        <v>3079</v>
      </c>
      <c r="I97" s="1" t="s">
        <v>327</v>
      </c>
      <c r="J97" s="1" t="s">
        <v>424</v>
      </c>
      <c r="L97" s="1" t="s">
        <v>3091</v>
      </c>
      <c r="M97" t="s">
        <v>3103</v>
      </c>
      <c r="N97" s="1" t="s">
        <v>1157</v>
      </c>
      <c r="O97"/>
      <c r="T97" s="1"/>
    </row>
    <row r="98" spans="4:20" x14ac:dyDescent="0.35">
      <c r="D98" t="s">
        <v>2800</v>
      </c>
      <c r="E98" s="1" t="s">
        <v>2304</v>
      </c>
      <c r="F98" t="s">
        <v>3055</v>
      </c>
      <c r="G98" s="1" t="s">
        <v>2801</v>
      </c>
      <c r="H98" t="s">
        <v>3080</v>
      </c>
      <c r="I98" s="1" t="s">
        <v>327</v>
      </c>
      <c r="J98" s="1" t="s">
        <v>424</v>
      </c>
      <c r="L98" s="1" t="s">
        <v>3092</v>
      </c>
      <c r="M98" t="s">
        <v>3107</v>
      </c>
      <c r="N98" s="1" t="s">
        <v>1157</v>
      </c>
      <c r="O98"/>
      <c r="T98" s="1"/>
    </row>
    <row r="99" spans="4:20" x14ac:dyDescent="0.35">
      <c r="D99" t="s">
        <v>2800</v>
      </c>
      <c r="E99" s="1" t="s">
        <v>2304</v>
      </c>
      <c r="F99" t="s">
        <v>3109</v>
      </c>
      <c r="G99" s="1" t="s">
        <v>2801</v>
      </c>
      <c r="H99" t="s">
        <v>3112</v>
      </c>
      <c r="I99" s="1" t="s">
        <v>1642</v>
      </c>
      <c r="J99" s="1" t="s">
        <v>424</v>
      </c>
      <c r="L99" s="1" t="s">
        <v>1249</v>
      </c>
      <c r="M99" s="31" t="s">
        <v>3116</v>
      </c>
      <c r="N99" s="1" t="s">
        <v>1157</v>
      </c>
      <c r="O99"/>
      <c r="T99" s="1"/>
    </row>
    <row r="100" spans="4:20" x14ac:dyDescent="0.35">
      <c r="D100" t="s">
        <v>2800</v>
      </c>
      <c r="E100" s="1" t="s">
        <v>2304</v>
      </c>
      <c r="F100" t="s">
        <v>3110</v>
      </c>
      <c r="G100" s="1" t="s">
        <v>2801</v>
      </c>
      <c r="H100" t="s">
        <v>3113</v>
      </c>
      <c r="I100" s="1" t="s">
        <v>327</v>
      </c>
      <c r="J100" s="1" t="s">
        <v>424</v>
      </c>
      <c r="L100" s="1" t="s">
        <v>3114</v>
      </c>
      <c r="M100" s="31" t="s">
        <v>3115</v>
      </c>
      <c r="N100" s="1" t="s">
        <v>1157</v>
      </c>
      <c r="O100"/>
      <c r="T100" s="1"/>
    </row>
    <row r="101" spans="4:20" x14ac:dyDescent="0.35">
      <c r="D101" t="s">
        <v>2800</v>
      </c>
      <c r="E101" s="1" t="s">
        <v>2304</v>
      </c>
      <c r="F101" s="1" t="s">
        <v>2977</v>
      </c>
      <c r="G101" s="1" t="s">
        <v>2801</v>
      </c>
      <c r="H101" s="1" t="s">
        <v>2978</v>
      </c>
      <c r="I101" s="1" t="s">
        <v>2203</v>
      </c>
      <c r="J101" s="1" t="s">
        <v>2789</v>
      </c>
      <c r="L101" s="1" t="s">
        <v>1284</v>
      </c>
      <c r="M101"/>
      <c r="O101"/>
      <c r="Q101" s="1" t="s">
        <v>2979</v>
      </c>
      <c r="R101" s="1" t="s">
        <v>271</v>
      </c>
      <c r="S101" s="1" t="s">
        <v>2980</v>
      </c>
      <c r="T101" s="1"/>
    </row>
    <row r="102" spans="4:20" x14ac:dyDescent="0.35">
      <c r="D102" t="s">
        <v>2800</v>
      </c>
      <c r="E102" s="1" t="s">
        <v>2304</v>
      </c>
      <c r="F102" s="1" t="s">
        <v>2981</v>
      </c>
      <c r="G102" s="1" t="s">
        <v>2802</v>
      </c>
      <c r="H102" s="1" t="s">
        <v>2982</v>
      </c>
      <c r="I102" s="1" t="s">
        <v>2203</v>
      </c>
      <c r="J102" s="1" t="s">
        <v>2789</v>
      </c>
      <c r="L102" s="1" t="s">
        <v>1285</v>
      </c>
      <c r="M102"/>
      <c r="O102"/>
      <c r="Q102" s="1" t="s">
        <v>1326</v>
      </c>
      <c r="R102" s="1" t="s">
        <v>271</v>
      </c>
      <c r="S102" s="1" t="s">
        <v>2983</v>
      </c>
      <c r="T102" s="1"/>
    </row>
    <row r="103" spans="4:20" x14ac:dyDescent="0.35">
      <c r="D103" t="s">
        <v>2800</v>
      </c>
      <c r="E103" s="1" t="s">
        <v>2304</v>
      </c>
      <c r="F103" s="1" t="s">
        <v>2984</v>
      </c>
      <c r="G103" s="1" t="s">
        <v>2803</v>
      </c>
      <c r="H103" s="1" t="s">
        <v>2985</v>
      </c>
      <c r="I103" s="1" t="s">
        <v>2203</v>
      </c>
      <c r="J103" s="1" t="s">
        <v>2789</v>
      </c>
      <c r="L103" s="1" t="s">
        <v>1290</v>
      </c>
      <c r="M103" t="s">
        <v>2987</v>
      </c>
      <c r="N103" s="1" t="s">
        <v>271</v>
      </c>
      <c r="O103"/>
      <c r="Q103" s="1" t="s">
        <v>1334</v>
      </c>
      <c r="R103" s="1" t="s">
        <v>271</v>
      </c>
      <c r="S103" s="1" t="s">
        <v>2986</v>
      </c>
      <c r="T103" s="1"/>
    </row>
    <row r="104" spans="4:20" x14ac:dyDescent="0.35">
      <c r="D104" t="s">
        <v>2800</v>
      </c>
      <c r="E104" s="1" t="s">
        <v>2304</v>
      </c>
      <c r="F104" s="1" t="s">
        <v>2988</v>
      </c>
      <c r="G104" s="1" t="s">
        <v>2804</v>
      </c>
      <c r="H104" s="1" t="s">
        <v>2989</v>
      </c>
      <c r="I104" s="1" t="s">
        <v>2991</v>
      </c>
      <c r="J104" s="1" t="s">
        <v>2789</v>
      </c>
      <c r="L104" s="1" t="s">
        <v>2990</v>
      </c>
      <c r="M104"/>
      <c r="O104"/>
      <c r="S104" s="1" t="s">
        <v>3171</v>
      </c>
      <c r="T104" s="1"/>
    </row>
    <row r="105" spans="4:20" x14ac:dyDescent="0.35">
      <c r="M105"/>
      <c r="O105"/>
      <c r="T105" s="1"/>
    </row>
    <row r="106" spans="4:20" x14ac:dyDescent="0.35">
      <c r="D106" t="s">
        <v>2800</v>
      </c>
      <c r="E106" s="1" t="s">
        <v>2304</v>
      </c>
      <c r="F106" s="1" t="s">
        <v>1670</v>
      </c>
      <c r="G106" s="1" t="s">
        <v>2217</v>
      </c>
      <c r="H106" s="1" t="s">
        <v>1385</v>
      </c>
      <c r="I106" s="1" t="s">
        <v>2203</v>
      </c>
      <c r="J106" s="1" t="s">
        <v>1386</v>
      </c>
      <c r="L106" s="1" t="s">
        <v>1390</v>
      </c>
      <c r="M106" t="s">
        <v>1388</v>
      </c>
      <c r="N106" s="1" t="s">
        <v>98</v>
      </c>
      <c r="O106"/>
      <c r="T106" s="1"/>
    </row>
    <row r="107" spans="4:20" x14ac:dyDescent="0.35">
      <c r="D107" t="s">
        <v>2800</v>
      </c>
      <c r="E107" s="1" t="s">
        <v>2304</v>
      </c>
      <c r="F107" s="1" t="s">
        <v>1407</v>
      </c>
      <c r="G107" s="1" t="s">
        <v>2218</v>
      </c>
      <c r="H107" s="1" t="s">
        <v>1415</v>
      </c>
      <c r="I107" s="1" t="s">
        <v>2203</v>
      </c>
      <c r="J107" s="1" t="s">
        <v>1386</v>
      </c>
      <c r="L107" s="1" t="s">
        <v>1235</v>
      </c>
      <c r="M107" t="s">
        <v>1388</v>
      </c>
      <c r="N107" s="1" t="s">
        <v>98</v>
      </c>
      <c r="O107"/>
      <c r="T107" s="1"/>
    </row>
    <row r="108" spans="4:20" x14ac:dyDescent="0.35">
      <c r="D108" t="s">
        <v>2800</v>
      </c>
      <c r="E108" s="1" t="s">
        <v>2304</v>
      </c>
      <c r="F108" s="1" t="s">
        <v>1408</v>
      </c>
      <c r="G108" s="1" t="s">
        <v>207</v>
      </c>
      <c r="H108" s="1" t="s">
        <v>1416</v>
      </c>
      <c r="I108" s="1" t="s">
        <v>2203</v>
      </c>
      <c r="J108" s="1" t="s">
        <v>1386</v>
      </c>
      <c r="L108" s="1" t="s">
        <v>1391</v>
      </c>
      <c r="M108" t="s">
        <v>1389</v>
      </c>
      <c r="N108" s="1" t="s">
        <v>98</v>
      </c>
      <c r="O108"/>
      <c r="T108" s="1"/>
    </row>
    <row r="109" spans="4:20" x14ac:dyDescent="0.35">
      <c r="D109" t="s">
        <v>2800</v>
      </c>
      <c r="E109" s="1" t="s">
        <v>2304</v>
      </c>
      <c r="F109" s="1" t="s">
        <v>1409</v>
      </c>
      <c r="G109" s="1" t="s">
        <v>2219</v>
      </c>
      <c r="H109" s="1" t="s">
        <v>1417</v>
      </c>
      <c r="I109" s="1" t="s">
        <v>2203</v>
      </c>
      <c r="J109" s="1" t="s">
        <v>1386</v>
      </c>
      <c r="L109" s="1" t="s">
        <v>1392</v>
      </c>
      <c r="M109" t="s">
        <v>1393</v>
      </c>
      <c r="N109" s="1" t="s">
        <v>98</v>
      </c>
      <c r="O109"/>
      <c r="T109" s="1"/>
    </row>
    <row r="110" spans="4:20" x14ac:dyDescent="0.35">
      <c r="D110" t="s">
        <v>2800</v>
      </c>
      <c r="E110" s="1" t="s">
        <v>2304</v>
      </c>
      <c r="F110" s="1" t="s">
        <v>1410</v>
      </c>
      <c r="G110" s="1" t="s">
        <v>208</v>
      </c>
      <c r="H110" s="1" t="s">
        <v>1418</v>
      </c>
      <c r="I110" s="1" t="s">
        <v>2203</v>
      </c>
      <c r="J110" s="1" t="s">
        <v>1386</v>
      </c>
      <c r="L110" s="1" t="s">
        <v>1394</v>
      </c>
      <c r="M110" t="s">
        <v>1395</v>
      </c>
      <c r="N110" s="1" t="s">
        <v>98</v>
      </c>
      <c r="O110"/>
      <c r="T110" s="1"/>
    </row>
    <row r="111" spans="4:20" x14ac:dyDescent="0.35">
      <c r="D111" t="s">
        <v>2800</v>
      </c>
      <c r="E111" s="1" t="s">
        <v>2304</v>
      </c>
      <c r="F111" s="1" t="s">
        <v>1396</v>
      </c>
      <c r="G111" s="1" t="s">
        <v>2220</v>
      </c>
      <c r="H111" s="1" t="s">
        <v>1419</v>
      </c>
      <c r="I111" s="1" t="s">
        <v>2203</v>
      </c>
      <c r="J111" s="1" t="s">
        <v>1386</v>
      </c>
      <c r="L111" s="1" t="s">
        <v>1399</v>
      </c>
      <c r="M111" t="s">
        <v>1397</v>
      </c>
      <c r="N111" s="1" t="s">
        <v>98</v>
      </c>
      <c r="O111"/>
      <c r="T111" s="1"/>
    </row>
    <row r="112" spans="4:20" x14ac:dyDescent="0.35">
      <c r="D112" t="s">
        <v>2800</v>
      </c>
      <c r="E112" s="1" t="s">
        <v>2304</v>
      </c>
      <c r="F112" s="1" t="s">
        <v>1411</v>
      </c>
      <c r="G112" s="1" t="s">
        <v>212</v>
      </c>
      <c r="H112" s="1" t="s">
        <v>1420</v>
      </c>
      <c r="I112" s="1" t="s">
        <v>2203</v>
      </c>
      <c r="J112" s="1" t="s">
        <v>1386</v>
      </c>
      <c r="L112" s="1" t="s">
        <v>1400</v>
      </c>
      <c r="M112" t="s">
        <v>1398</v>
      </c>
      <c r="N112" s="1" t="s">
        <v>98</v>
      </c>
      <c r="O112"/>
      <c r="T112" s="1"/>
    </row>
    <row r="113" spans="4:20" x14ac:dyDescent="0.35">
      <c r="D113" t="s">
        <v>2800</v>
      </c>
      <c r="E113" s="1" t="s">
        <v>2304</v>
      </c>
      <c r="F113" s="1" t="s">
        <v>1412</v>
      </c>
      <c r="G113" s="1" t="s">
        <v>213</v>
      </c>
      <c r="H113" s="1" t="s">
        <v>1421</v>
      </c>
      <c r="I113" s="1" t="s">
        <v>2203</v>
      </c>
      <c r="J113" s="1" t="s">
        <v>1386</v>
      </c>
      <c r="L113" s="1" t="s">
        <v>1401</v>
      </c>
      <c r="M113" t="s">
        <v>1402</v>
      </c>
      <c r="N113" s="1" t="s">
        <v>98</v>
      </c>
      <c r="O113"/>
      <c r="T113" s="1"/>
    </row>
    <row r="114" spans="4:20" x14ac:dyDescent="0.35">
      <c r="D114" t="s">
        <v>2800</v>
      </c>
      <c r="E114" s="1" t="s">
        <v>2304</v>
      </c>
      <c r="F114" s="1" t="s">
        <v>1413</v>
      </c>
      <c r="G114" s="1" t="s">
        <v>2221</v>
      </c>
      <c r="H114" s="1" t="s">
        <v>1422</v>
      </c>
      <c r="I114" s="1" t="s">
        <v>2203</v>
      </c>
      <c r="J114" s="1" t="s">
        <v>1386</v>
      </c>
      <c r="L114" s="1" t="s">
        <v>1403</v>
      </c>
      <c r="M114" t="s">
        <v>1404</v>
      </c>
      <c r="N114" s="1" t="s">
        <v>98</v>
      </c>
      <c r="O114"/>
      <c r="T114" s="1"/>
    </row>
    <row r="115" spans="4:20" x14ac:dyDescent="0.35">
      <c r="D115" t="s">
        <v>2800</v>
      </c>
      <c r="E115" s="1" t="s">
        <v>2304</v>
      </c>
      <c r="F115" s="1" t="s">
        <v>1414</v>
      </c>
      <c r="G115" s="1" t="s">
        <v>217</v>
      </c>
      <c r="H115" s="1" t="s">
        <v>1423</v>
      </c>
      <c r="I115" s="1" t="s">
        <v>2203</v>
      </c>
      <c r="J115" s="1" t="s">
        <v>1386</v>
      </c>
      <c r="L115" s="1" t="s">
        <v>1405</v>
      </c>
      <c r="M115" t="s">
        <v>1406</v>
      </c>
      <c r="N115" s="1" t="s">
        <v>98</v>
      </c>
      <c r="O115"/>
      <c r="T115" s="1"/>
    </row>
    <row r="116" spans="4:20" x14ac:dyDescent="0.35">
      <c r="D116" t="s">
        <v>2800</v>
      </c>
      <c r="E116" s="1" t="s">
        <v>2304</v>
      </c>
      <c r="F116" s="1" t="s">
        <v>1424</v>
      </c>
      <c r="G116" s="1" t="s">
        <v>2222</v>
      </c>
      <c r="H116" s="1" t="s">
        <v>1425</v>
      </c>
      <c r="I116" s="1" t="s">
        <v>2203</v>
      </c>
      <c r="J116" s="1" t="s">
        <v>1386</v>
      </c>
      <c r="L116" s="1" t="s">
        <v>1426</v>
      </c>
      <c r="M116" t="s">
        <v>1427</v>
      </c>
      <c r="N116" s="1" t="s">
        <v>98</v>
      </c>
      <c r="O116"/>
      <c r="T116" s="1"/>
    </row>
    <row r="117" spans="4:20" x14ac:dyDescent="0.35">
      <c r="D117" t="s">
        <v>2800</v>
      </c>
      <c r="E117" s="1" t="s">
        <v>2304</v>
      </c>
      <c r="F117" s="1" t="s">
        <v>1428</v>
      </c>
      <c r="G117" s="1" t="s">
        <v>2223</v>
      </c>
      <c r="H117" s="1" t="s">
        <v>1431</v>
      </c>
      <c r="I117" s="1" t="s">
        <v>2203</v>
      </c>
      <c r="J117" s="1" t="s">
        <v>1386</v>
      </c>
      <c r="L117" s="1" t="s">
        <v>1429</v>
      </c>
      <c r="M117" t="s">
        <v>1430</v>
      </c>
      <c r="N117" s="1" t="s">
        <v>98</v>
      </c>
      <c r="O117"/>
      <c r="T117" s="1"/>
    </row>
    <row r="118" spans="4:20" x14ac:dyDescent="0.35">
      <c r="D118" t="s">
        <v>2800</v>
      </c>
      <c r="E118" s="1" t="s">
        <v>2304</v>
      </c>
      <c r="F118" s="1" t="s">
        <v>1432</v>
      </c>
      <c r="G118" s="1" t="s">
        <v>2224</v>
      </c>
      <c r="H118" s="1" t="s">
        <v>1433</v>
      </c>
      <c r="I118" s="1" t="s">
        <v>2203</v>
      </c>
      <c r="J118" s="1" t="s">
        <v>1386</v>
      </c>
      <c r="L118" s="1" t="s">
        <v>1434</v>
      </c>
      <c r="M118" t="s">
        <v>1435</v>
      </c>
      <c r="N118" s="1" t="s">
        <v>98</v>
      </c>
      <c r="O118"/>
      <c r="T118" s="1"/>
    </row>
    <row r="119" spans="4:20" x14ac:dyDescent="0.35">
      <c r="D119" t="s">
        <v>2800</v>
      </c>
      <c r="E119" s="1" t="s">
        <v>2304</v>
      </c>
      <c r="F119" s="1" t="s">
        <v>1436</v>
      </c>
      <c r="G119" s="1" t="s">
        <v>2225</v>
      </c>
      <c r="H119" s="1" t="s">
        <v>1437</v>
      </c>
      <c r="I119" s="1" t="s">
        <v>2203</v>
      </c>
      <c r="J119" s="1" t="s">
        <v>1386</v>
      </c>
      <c r="L119" s="1" t="s">
        <v>1438</v>
      </c>
      <c r="M119" t="s">
        <v>1439</v>
      </c>
      <c r="N119" s="1" t="s">
        <v>98</v>
      </c>
      <c r="O119"/>
      <c r="T119" s="1"/>
    </row>
    <row r="120" spans="4:20" x14ac:dyDescent="0.35">
      <c r="D120" t="s">
        <v>2800</v>
      </c>
      <c r="E120" s="1" t="s">
        <v>2304</v>
      </c>
      <c r="F120" s="1" t="s">
        <v>1440</v>
      </c>
      <c r="G120" s="1" t="s">
        <v>2226</v>
      </c>
      <c r="H120" s="1" t="s">
        <v>1441</v>
      </c>
      <c r="I120" s="1" t="s">
        <v>2203</v>
      </c>
      <c r="J120" s="1" t="s">
        <v>1386</v>
      </c>
      <c r="L120" s="1" t="s">
        <v>1442</v>
      </c>
      <c r="M120" t="s">
        <v>1443</v>
      </c>
      <c r="N120" s="1" t="s">
        <v>98</v>
      </c>
      <c r="O120"/>
      <c r="Q120" s="1" t="s">
        <v>1444</v>
      </c>
      <c r="R120" s="1" t="s">
        <v>271</v>
      </c>
      <c r="T120" s="1"/>
    </row>
    <row r="121" spans="4:20" x14ac:dyDescent="0.35">
      <c r="D121" t="s">
        <v>2800</v>
      </c>
      <c r="E121" s="1" t="s">
        <v>2304</v>
      </c>
      <c r="F121" s="1" t="s">
        <v>1445</v>
      </c>
      <c r="G121" s="1" t="s">
        <v>2227</v>
      </c>
      <c r="H121" s="1" t="s">
        <v>1446</v>
      </c>
      <c r="I121" s="1" t="s">
        <v>2203</v>
      </c>
      <c r="J121" s="1" t="s">
        <v>1386</v>
      </c>
      <c r="L121" s="1" t="s">
        <v>1447</v>
      </c>
      <c r="M121" t="s">
        <v>1448</v>
      </c>
      <c r="N121" s="1" t="s">
        <v>98</v>
      </c>
      <c r="O121"/>
      <c r="Q121" s="1" t="s">
        <v>1449</v>
      </c>
      <c r="R121" s="1" t="s">
        <v>271</v>
      </c>
      <c r="T121" s="1"/>
    </row>
    <row r="122" spans="4:20" x14ac:dyDescent="0.35">
      <c r="D122" t="s">
        <v>2800</v>
      </c>
      <c r="E122" s="1" t="s">
        <v>2304</v>
      </c>
      <c r="F122" s="1" t="s">
        <v>1450</v>
      </c>
      <c r="G122" s="1" t="s">
        <v>2228</v>
      </c>
      <c r="H122" s="1" t="s">
        <v>1451</v>
      </c>
      <c r="I122" s="1" t="s">
        <v>2203</v>
      </c>
      <c r="J122" s="1" t="s">
        <v>1386</v>
      </c>
      <c r="L122" s="1" t="s">
        <v>1452</v>
      </c>
      <c r="M122" t="s">
        <v>1453</v>
      </c>
      <c r="N122" s="1" t="s">
        <v>98</v>
      </c>
      <c r="O122"/>
      <c r="T122" s="1"/>
    </row>
    <row r="123" spans="4:20" x14ac:dyDescent="0.35">
      <c r="D123" t="s">
        <v>2800</v>
      </c>
      <c r="E123" s="1" t="s">
        <v>2304</v>
      </c>
      <c r="F123" s="1" t="s">
        <v>1454</v>
      </c>
      <c r="G123" s="1" t="s">
        <v>2229</v>
      </c>
      <c r="H123" s="1" t="s">
        <v>1455</v>
      </c>
      <c r="I123" s="1" t="s">
        <v>2203</v>
      </c>
      <c r="J123" s="1" t="s">
        <v>1386</v>
      </c>
      <c r="L123" s="1" t="s">
        <v>1456</v>
      </c>
      <c r="M123" t="s">
        <v>1457</v>
      </c>
      <c r="N123" s="1" t="s">
        <v>98</v>
      </c>
      <c r="O123"/>
      <c r="Q123" s="1" t="s">
        <v>1458</v>
      </c>
      <c r="R123" s="1" t="s">
        <v>271</v>
      </c>
      <c r="T123" s="1"/>
    </row>
    <row r="124" spans="4:20" x14ac:dyDescent="0.35">
      <c r="D124" t="s">
        <v>2800</v>
      </c>
      <c r="E124" s="1" t="s">
        <v>2304</v>
      </c>
      <c r="F124" s="1" t="s">
        <v>1459</v>
      </c>
      <c r="G124" s="1" t="s">
        <v>2230</v>
      </c>
      <c r="H124" s="1" t="s">
        <v>1460</v>
      </c>
      <c r="I124" s="1" t="s">
        <v>2203</v>
      </c>
      <c r="J124" s="1" t="s">
        <v>1386</v>
      </c>
      <c r="L124" s="1" t="s">
        <v>1461</v>
      </c>
      <c r="M124" t="s">
        <v>1462</v>
      </c>
      <c r="N124" s="1" t="s">
        <v>98</v>
      </c>
      <c r="O124"/>
      <c r="Q124" s="1" t="s">
        <v>1463</v>
      </c>
      <c r="R124" s="1" t="s">
        <v>271</v>
      </c>
      <c r="T124" s="1"/>
    </row>
    <row r="125" spans="4:20" x14ac:dyDescent="0.35">
      <c r="D125" t="s">
        <v>2800</v>
      </c>
      <c r="E125" s="1" t="s">
        <v>2304</v>
      </c>
      <c r="F125" s="1" t="s">
        <v>1464</v>
      </c>
      <c r="G125" s="1" t="s">
        <v>2231</v>
      </c>
      <c r="H125" s="1" t="s">
        <v>1465</v>
      </c>
      <c r="I125" s="1" t="s">
        <v>2203</v>
      </c>
      <c r="J125" s="1" t="s">
        <v>1386</v>
      </c>
      <c r="L125" s="1" t="s">
        <v>1466</v>
      </c>
      <c r="M125" t="s">
        <v>1467</v>
      </c>
      <c r="N125" s="1" t="s">
        <v>98</v>
      </c>
      <c r="O125"/>
      <c r="Q125" s="1" t="s">
        <v>1468</v>
      </c>
      <c r="R125" s="1" t="s">
        <v>271</v>
      </c>
      <c r="T125" s="1"/>
    </row>
    <row r="126" spans="4:20" x14ac:dyDescent="0.35">
      <c r="D126" t="s">
        <v>2800</v>
      </c>
      <c r="E126" s="1" t="s">
        <v>2304</v>
      </c>
      <c r="F126" s="1" t="s">
        <v>1469</v>
      </c>
      <c r="G126" s="1" t="s">
        <v>2232</v>
      </c>
      <c r="H126" s="1" t="s">
        <v>1470</v>
      </c>
      <c r="I126" s="1" t="s">
        <v>2203</v>
      </c>
      <c r="J126" s="1" t="s">
        <v>1386</v>
      </c>
      <c r="L126" s="1" t="s">
        <v>1471</v>
      </c>
      <c r="M126" t="s">
        <v>1472</v>
      </c>
      <c r="N126" s="1" t="s">
        <v>98</v>
      </c>
      <c r="O126"/>
      <c r="Q126" s="1" t="s">
        <v>1473</v>
      </c>
      <c r="R126" s="1" t="s">
        <v>271</v>
      </c>
      <c r="T126" s="1"/>
    </row>
    <row r="127" spans="4:20" x14ac:dyDescent="0.35">
      <c r="D127" t="s">
        <v>2800</v>
      </c>
      <c r="E127" s="1" t="s">
        <v>2304</v>
      </c>
      <c r="F127" s="1" t="s">
        <v>1474</v>
      </c>
      <c r="G127" s="1" t="s">
        <v>2233</v>
      </c>
      <c r="H127" s="1" t="s">
        <v>1475</v>
      </c>
      <c r="I127" s="1" t="s">
        <v>2203</v>
      </c>
      <c r="J127" s="1" t="s">
        <v>1386</v>
      </c>
      <c r="L127" s="1" t="s">
        <v>1476</v>
      </c>
      <c r="M127" t="s">
        <v>1477</v>
      </c>
      <c r="N127" s="1" t="s">
        <v>98</v>
      </c>
      <c r="O127"/>
      <c r="Q127" s="1" t="s">
        <v>1478</v>
      </c>
      <c r="R127" s="1" t="s">
        <v>271</v>
      </c>
      <c r="T127" s="1"/>
    </row>
    <row r="128" spans="4:20" x14ac:dyDescent="0.35">
      <c r="D128" t="s">
        <v>2800</v>
      </c>
      <c r="E128" s="1" t="s">
        <v>2304</v>
      </c>
      <c r="F128" s="1" t="s">
        <v>1479</v>
      </c>
      <c r="G128" s="1" t="s">
        <v>2234</v>
      </c>
      <c r="H128" s="1" t="s">
        <v>1480</v>
      </c>
      <c r="I128" s="1" t="s">
        <v>2203</v>
      </c>
      <c r="J128" s="1" t="s">
        <v>1386</v>
      </c>
      <c r="L128" s="1" t="s">
        <v>1481</v>
      </c>
      <c r="M128" t="s">
        <v>1482</v>
      </c>
      <c r="N128" s="1" t="s">
        <v>98</v>
      </c>
      <c r="O128"/>
      <c r="Q128" s="1" t="s">
        <v>1483</v>
      </c>
      <c r="R128" s="1" t="s">
        <v>271</v>
      </c>
      <c r="T128" s="1"/>
    </row>
    <row r="129" spans="4:20" x14ac:dyDescent="0.35">
      <c r="D129" t="s">
        <v>2800</v>
      </c>
      <c r="E129" s="1" t="s">
        <v>2304</v>
      </c>
      <c r="F129" s="1" t="s">
        <v>1484</v>
      </c>
      <c r="G129" s="1" t="s">
        <v>2235</v>
      </c>
      <c r="H129" s="1" t="s">
        <v>1485</v>
      </c>
      <c r="I129" s="1" t="s">
        <v>2203</v>
      </c>
      <c r="J129" s="1" t="s">
        <v>1386</v>
      </c>
      <c r="L129" s="1" t="s">
        <v>1486</v>
      </c>
      <c r="M129" t="s">
        <v>1487</v>
      </c>
      <c r="N129" s="1" t="s">
        <v>98</v>
      </c>
      <c r="O129"/>
      <c r="T129" s="1"/>
    </row>
    <row r="130" spans="4:20" x14ac:dyDescent="0.35">
      <c r="D130" t="s">
        <v>2800</v>
      </c>
      <c r="E130" s="1" t="s">
        <v>2304</v>
      </c>
      <c r="F130" s="1" t="s">
        <v>1488</v>
      </c>
      <c r="G130" s="1" t="s">
        <v>2236</v>
      </c>
      <c r="H130" s="1" t="s">
        <v>1489</v>
      </c>
      <c r="I130" s="1" t="s">
        <v>2203</v>
      </c>
      <c r="J130" s="1" t="s">
        <v>1386</v>
      </c>
      <c r="L130" s="1" t="s">
        <v>1490</v>
      </c>
      <c r="M130" t="s">
        <v>1491</v>
      </c>
      <c r="N130" s="1" t="s">
        <v>98</v>
      </c>
      <c r="O130"/>
      <c r="Q130" s="1" t="s">
        <v>1492</v>
      </c>
      <c r="R130" s="1" t="s">
        <v>271</v>
      </c>
      <c r="T130" s="1"/>
    </row>
    <row r="131" spans="4:20" x14ac:dyDescent="0.35">
      <c r="D131" t="s">
        <v>2800</v>
      </c>
      <c r="E131" s="1" t="s">
        <v>2304</v>
      </c>
      <c r="F131" s="1" t="s">
        <v>1493</v>
      </c>
      <c r="G131" s="1" t="s">
        <v>2237</v>
      </c>
      <c r="H131" s="1" t="s">
        <v>1494</v>
      </c>
      <c r="I131" s="1" t="s">
        <v>2203</v>
      </c>
      <c r="J131" s="1" t="s">
        <v>1386</v>
      </c>
      <c r="L131" s="1" t="s">
        <v>1495</v>
      </c>
      <c r="M131" t="s">
        <v>1496</v>
      </c>
      <c r="N131" s="1" t="s">
        <v>98</v>
      </c>
      <c r="O131"/>
      <c r="Q131" s="1" t="s">
        <v>1497</v>
      </c>
      <c r="R131" s="1" t="s">
        <v>271</v>
      </c>
      <c r="T131" s="1"/>
    </row>
    <row r="132" spans="4:20" x14ac:dyDescent="0.35">
      <c r="D132" t="s">
        <v>2800</v>
      </c>
      <c r="E132" s="1" t="s">
        <v>2304</v>
      </c>
      <c r="F132" s="1" t="s">
        <v>1498</v>
      </c>
      <c r="G132" s="1" t="s">
        <v>2238</v>
      </c>
      <c r="H132" s="1" t="s">
        <v>1499</v>
      </c>
      <c r="I132" s="1" t="s">
        <v>2203</v>
      </c>
      <c r="J132" s="1" t="s">
        <v>1386</v>
      </c>
      <c r="L132" s="1" t="s">
        <v>1500</v>
      </c>
      <c r="M132" t="s">
        <v>1501</v>
      </c>
      <c r="N132" s="1" t="s">
        <v>98</v>
      </c>
      <c r="O132"/>
      <c r="Q132" s="1" t="s">
        <v>1502</v>
      </c>
      <c r="R132" s="1" t="s">
        <v>271</v>
      </c>
      <c r="T132" s="1"/>
    </row>
    <row r="133" spans="4:20" x14ac:dyDescent="0.35">
      <c r="D133" t="s">
        <v>2800</v>
      </c>
      <c r="E133" s="1" t="s">
        <v>2304</v>
      </c>
      <c r="F133" s="1" t="s">
        <v>1503</v>
      </c>
      <c r="G133" s="1" t="s">
        <v>2239</v>
      </c>
      <c r="H133" s="1" t="s">
        <v>1504</v>
      </c>
      <c r="I133" s="1" t="s">
        <v>2203</v>
      </c>
      <c r="J133" s="1" t="s">
        <v>1386</v>
      </c>
      <c r="L133" s="1" t="s">
        <v>1505</v>
      </c>
      <c r="M133" t="s">
        <v>1506</v>
      </c>
      <c r="N133" s="1" t="s">
        <v>98</v>
      </c>
      <c r="O133"/>
      <c r="T133" s="1"/>
    </row>
    <row r="134" spans="4:20" x14ac:dyDescent="0.35">
      <c r="D134" t="s">
        <v>2800</v>
      </c>
      <c r="E134" s="1" t="s">
        <v>2304</v>
      </c>
      <c r="F134" s="1" t="s">
        <v>1507</v>
      </c>
      <c r="G134" s="1" t="s">
        <v>2240</v>
      </c>
      <c r="H134" s="1" t="s">
        <v>1508</v>
      </c>
      <c r="I134" s="1" t="s">
        <v>2203</v>
      </c>
      <c r="J134" s="1" t="s">
        <v>1386</v>
      </c>
      <c r="L134" s="1" t="s">
        <v>1509</v>
      </c>
      <c r="M134" t="s">
        <v>1510</v>
      </c>
      <c r="N134" s="1" t="s">
        <v>98</v>
      </c>
      <c r="O134"/>
      <c r="Q134" s="1" t="s">
        <v>1511</v>
      </c>
      <c r="R134" s="1" t="s">
        <v>271</v>
      </c>
      <c r="T134" s="1"/>
    </row>
    <row r="135" spans="4:20" x14ac:dyDescent="0.35">
      <c r="D135" t="s">
        <v>2800</v>
      </c>
      <c r="E135" s="1" t="s">
        <v>2304</v>
      </c>
      <c r="F135" s="1" t="s">
        <v>1512</v>
      </c>
      <c r="G135" s="1" t="s">
        <v>2241</v>
      </c>
      <c r="H135" s="1" t="s">
        <v>1513</v>
      </c>
      <c r="I135" s="1" t="s">
        <v>327</v>
      </c>
      <c r="J135" s="1" t="s">
        <v>1386</v>
      </c>
      <c r="L135" s="1" t="s">
        <v>1514</v>
      </c>
      <c r="M135" t="s">
        <v>1515</v>
      </c>
      <c r="N135" s="1" t="s">
        <v>98</v>
      </c>
      <c r="O135"/>
      <c r="Q135" s="1" t="s">
        <v>1516</v>
      </c>
      <c r="R135" s="1" t="s">
        <v>271</v>
      </c>
      <c r="T135" s="1"/>
    </row>
    <row r="136" spans="4:20" x14ac:dyDescent="0.35">
      <c r="D136" t="s">
        <v>2800</v>
      </c>
      <c r="E136" s="1" t="s">
        <v>2602</v>
      </c>
      <c r="F136" s="1" t="s">
        <v>1517</v>
      </c>
      <c r="G136" s="1" t="s">
        <v>2801</v>
      </c>
      <c r="H136" s="1" t="s">
        <v>1520</v>
      </c>
      <c r="I136" s="1" t="s">
        <v>919</v>
      </c>
      <c r="J136" s="1" t="s">
        <v>424</v>
      </c>
      <c r="L136" s="1" t="s">
        <v>1518</v>
      </c>
      <c r="M136" s="31" t="s">
        <v>1519</v>
      </c>
      <c r="N136" s="1" t="s">
        <v>3222</v>
      </c>
      <c r="O136"/>
      <c r="T136" s="1"/>
    </row>
    <row r="137" spans="4:20" x14ac:dyDescent="0.35">
      <c r="D137" t="s">
        <v>2800</v>
      </c>
      <c r="E137" s="1" t="s">
        <v>2602</v>
      </c>
      <c r="F137" s="1" t="s">
        <v>1521</v>
      </c>
      <c r="G137" s="1" t="s">
        <v>2801</v>
      </c>
      <c r="H137" s="1" t="s">
        <v>1522</v>
      </c>
      <c r="I137" s="1" t="s">
        <v>920</v>
      </c>
      <c r="J137" s="1" t="s">
        <v>424</v>
      </c>
      <c r="L137" s="1" t="s">
        <v>1523</v>
      </c>
      <c r="M137" s="31" t="s">
        <v>3251</v>
      </c>
      <c r="N137" s="1" t="s">
        <v>3222</v>
      </c>
      <c r="O137"/>
      <c r="T137" s="1"/>
    </row>
    <row r="138" spans="4:20" x14ac:dyDescent="0.35">
      <c r="D138" t="s">
        <v>2800</v>
      </c>
      <c r="E138" s="1" t="s">
        <v>2602</v>
      </c>
      <c r="F138" s="1" t="s">
        <v>1535</v>
      </c>
      <c r="G138" s="1" t="s">
        <v>2801</v>
      </c>
      <c r="H138" s="1" t="s">
        <v>1536</v>
      </c>
      <c r="I138" s="1" t="s">
        <v>920</v>
      </c>
      <c r="J138" s="1" t="s">
        <v>424</v>
      </c>
      <c r="L138" s="1" t="s">
        <v>1534</v>
      </c>
      <c r="M138" s="31" t="s">
        <v>3252</v>
      </c>
      <c r="N138" s="1" t="s">
        <v>3222</v>
      </c>
      <c r="O138"/>
      <c r="T138" s="1"/>
    </row>
    <row r="139" spans="4:20" x14ac:dyDescent="0.35">
      <c r="D139" t="s">
        <v>2800</v>
      </c>
      <c r="E139" s="1" t="s">
        <v>2602</v>
      </c>
      <c r="F139" s="1" t="s">
        <v>1524</v>
      </c>
      <c r="G139" s="1" t="s">
        <v>2801</v>
      </c>
      <c r="H139" s="1" t="s">
        <v>1525</v>
      </c>
      <c r="I139" s="1" t="s">
        <v>920</v>
      </c>
      <c r="J139" s="1" t="s">
        <v>424</v>
      </c>
      <c r="L139" s="1" t="s">
        <v>1526</v>
      </c>
      <c r="M139" s="31" t="s">
        <v>3253</v>
      </c>
      <c r="N139" s="1" t="s">
        <v>3222</v>
      </c>
      <c r="O139"/>
      <c r="T139" s="1"/>
    </row>
    <row r="140" spans="4:20" x14ac:dyDescent="0.35">
      <c r="D140" t="s">
        <v>2800</v>
      </c>
      <c r="E140" s="1" t="s">
        <v>2602</v>
      </c>
      <c r="F140" s="1" t="s">
        <v>1527</v>
      </c>
      <c r="G140" s="1" t="s">
        <v>2801</v>
      </c>
      <c r="H140" s="1" t="s">
        <v>1528</v>
      </c>
      <c r="I140" s="1" t="s">
        <v>920</v>
      </c>
      <c r="J140" s="1" t="s">
        <v>424</v>
      </c>
      <c r="L140" s="1" t="s">
        <v>1526</v>
      </c>
      <c r="M140" s="31" t="s">
        <v>3254</v>
      </c>
      <c r="N140" s="1" t="s">
        <v>3222</v>
      </c>
      <c r="O140"/>
      <c r="T140" s="1"/>
    </row>
    <row r="141" spans="4:20" x14ac:dyDescent="0.35">
      <c r="D141" t="s">
        <v>2800</v>
      </c>
      <c r="E141" s="1" t="s">
        <v>2602</v>
      </c>
      <c r="F141" s="1" t="s">
        <v>1529</v>
      </c>
      <c r="G141" s="1" t="s">
        <v>2801</v>
      </c>
      <c r="H141" s="1" t="s">
        <v>1530</v>
      </c>
      <c r="I141" s="1" t="s">
        <v>920</v>
      </c>
      <c r="J141" s="1" t="s">
        <v>424</v>
      </c>
      <c r="L141" s="1" t="s">
        <v>1526</v>
      </c>
      <c r="M141" s="31" t="s">
        <v>3255</v>
      </c>
      <c r="N141" s="1" t="s">
        <v>3222</v>
      </c>
      <c r="O141"/>
      <c r="T141" s="1"/>
    </row>
    <row r="142" spans="4:20" x14ac:dyDescent="0.35">
      <c r="D142" t="s">
        <v>2800</v>
      </c>
      <c r="E142" s="1" t="s">
        <v>2602</v>
      </c>
      <c r="F142" s="1" t="s">
        <v>1531</v>
      </c>
      <c r="G142" s="1" t="s">
        <v>2801</v>
      </c>
      <c r="H142" s="1" t="s">
        <v>1532</v>
      </c>
      <c r="I142" s="1" t="s">
        <v>920</v>
      </c>
      <c r="J142" s="1" t="s">
        <v>424</v>
      </c>
      <c r="L142" s="1" t="s">
        <v>1526</v>
      </c>
      <c r="M142" s="31" t="s">
        <v>3256</v>
      </c>
      <c r="N142" s="1" t="s">
        <v>3222</v>
      </c>
      <c r="O142"/>
      <c r="T142" s="1"/>
    </row>
    <row r="143" spans="4:20" x14ac:dyDescent="0.35">
      <c r="D143" t="s">
        <v>2800</v>
      </c>
      <c r="E143" s="1" t="s">
        <v>2602</v>
      </c>
      <c r="F143" s="1" t="s">
        <v>1533</v>
      </c>
      <c r="G143" s="1" t="s">
        <v>2801</v>
      </c>
      <c r="H143" s="1" t="s">
        <v>1542</v>
      </c>
      <c r="I143" s="1" t="s">
        <v>920</v>
      </c>
      <c r="J143" s="1" t="s">
        <v>424</v>
      </c>
      <c r="L143" s="1" t="s">
        <v>1534</v>
      </c>
      <c r="M143" s="31" t="s">
        <v>3257</v>
      </c>
      <c r="N143" s="1" t="s">
        <v>3222</v>
      </c>
      <c r="O143"/>
      <c r="T143" s="1"/>
    </row>
    <row r="144" spans="4:20" x14ac:dyDescent="0.35">
      <c r="D144" t="s">
        <v>2800</v>
      </c>
      <c r="E144" s="1" t="s">
        <v>2602</v>
      </c>
      <c r="F144" s="1" t="s">
        <v>1537</v>
      </c>
      <c r="G144" s="1" t="s">
        <v>2801</v>
      </c>
      <c r="H144" s="1" t="s">
        <v>1541</v>
      </c>
      <c r="I144" s="1" t="s">
        <v>920</v>
      </c>
      <c r="J144" s="1" t="s">
        <v>424</v>
      </c>
      <c r="L144" s="1" t="s">
        <v>1538</v>
      </c>
      <c r="M144" s="31" t="s">
        <v>3258</v>
      </c>
      <c r="N144" s="1" t="s">
        <v>3222</v>
      </c>
      <c r="O144"/>
      <c r="T144" s="1"/>
    </row>
    <row r="145" spans="4:20" x14ac:dyDescent="0.35">
      <c r="D145" t="s">
        <v>2800</v>
      </c>
      <c r="E145" s="1" t="s">
        <v>2602</v>
      </c>
      <c r="F145" s="1" t="s">
        <v>1539</v>
      </c>
      <c r="G145" s="1" t="s">
        <v>2801</v>
      </c>
      <c r="H145" s="1" t="s">
        <v>1540</v>
      </c>
      <c r="I145" s="1" t="s">
        <v>920</v>
      </c>
      <c r="J145" s="1" t="s">
        <v>424</v>
      </c>
      <c r="L145" s="1" t="s">
        <v>1538</v>
      </c>
      <c r="M145" s="31" t="s">
        <v>3259</v>
      </c>
      <c r="N145" s="1" t="s">
        <v>3222</v>
      </c>
      <c r="O145"/>
      <c r="T145" s="1"/>
    </row>
    <row r="146" spans="4:20" x14ac:dyDescent="0.35">
      <c r="D146" t="s">
        <v>2800</v>
      </c>
      <c r="E146" s="1" t="s">
        <v>2602</v>
      </c>
      <c r="F146" s="1" t="s">
        <v>1543</v>
      </c>
      <c r="G146" s="1" t="s">
        <v>2801</v>
      </c>
      <c r="H146" s="1" t="s">
        <v>1544</v>
      </c>
      <c r="I146" s="1" t="s">
        <v>920</v>
      </c>
      <c r="J146" s="1" t="s">
        <v>424</v>
      </c>
      <c r="L146" s="1" t="s">
        <v>1545</v>
      </c>
      <c r="M146" s="31" t="s">
        <v>3260</v>
      </c>
      <c r="N146" s="1" t="s">
        <v>3222</v>
      </c>
      <c r="O146"/>
      <c r="T146" s="1"/>
    </row>
    <row r="147" spans="4:20" x14ac:dyDescent="0.35">
      <c r="D147" t="s">
        <v>2800</v>
      </c>
      <c r="E147" s="1" t="s">
        <v>2602</v>
      </c>
      <c r="F147" s="1" t="s">
        <v>1546</v>
      </c>
      <c r="G147" s="1" t="s">
        <v>2801</v>
      </c>
      <c r="H147" s="1" t="s">
        <v>1547</v>
      </c>
      <c r="I147" s="1" t="s">
        <v>920</v>
      </c>
      <c r="J147" s="1" t="s">
        <v>424</v>
      </c>
      <c r="L147" s="1" t="s">
        <v>1545</v>
      </c>
      <c r="M147" s="31" t="s">
        <v>3261</v>
      </c>
      <c r="N147" s="1" t="s">
        <v>3222</v>
      </c>
      <c r="O147"/>
      <c r="T147" s="1"/>
    </row>
    <row r="148" spans="4:20" x14ac:dyDescent="0.35">
      <c r="D148" t="s">
        <v>2800</v>
      </c>
      <c r="E148" s="1" t="s">
        <v>2602</v>
      </c>
      <c r="F148" s="1" t="s">
        <v>1548</v>
      </c>
      <c r="G148" s="1" t="s">
        <v>2801</v>
      </c>
      <c r="H148" s="1" t="s">
        <v>1549</v>
      </c>
      <c r="I148" s="1" t="s">
        <v>920</v>
      </c>
      <c r="J148" s="1" t="s">
        <v>424</v>
      </c>
      <c r="L148" s="1" t="s">
        <v>1550</v>
      </c>
      <c r="M148" s="31" t="s">
        <v>3262</v>
      </c>
      <c r="N148" s="1" t="s">
        <v>3222</v>
      </c>
      <c r="O148"/>
      <c r="T148" s="1"/>
    </row>
    <row r="149" spans="4:20" x14ac:dyDescent="0.35">
      <c r="D149" t="s">
        <v>2800</v>
      </c>
      <c r="E149" s="1" t="s">
        <v>2602</v>
      </c>
      <c r="F149" s="1" t="s">
        <v>1551</v>
      </c>
      <c r="G149" s="1" t="s">
        <v>2801</v>
      </c>
      <c r="H149" s="1" t="s">
        <v>1552</v>
      </c>
      <c r="I149" s="1" t="s">
        <v>920</v>
      </c>
      <c r="J149" s="1" t="s">
        <v>424</v>
      </c>
      <c r="L149" s="1" t="s">
        <v>1553</v>
      </c>
      <c r="M149" s="31" t="s">
        <v>3263</v>
      </c>
      <c r="N149" s="1" t="s">
        <v>3222</v>
      </c>
      <c r="O149"/>
      <c r="T149" s="1"/>
    </row>
    <row r="150" spans="4:20" x14ac:dyDescent="0.35">
      <c r="D150" t="s">
        <v>2800</v>
      </c>
      <c r="E150" s="1" t="s">
        <v>2602</v>
      </c>
      <c r="F150" s="1" t="s">
        <v>1554</v>
      </c>
      <c r="G150" s="1" t="s">
        <v>2801</v>
      </c>
      <c r="H150" s="1" t="s">
        <v>1555</v>
      </c>
      <c r="I150" s="1" t="s">
        <v>920</v>
      </c>
      <c r="J150" s="1" t="s">
        <v>424</v>
      </c>
      <c r="L150" s="1" t="s">
        <v>1556</v>
      </c>
      <c r="M150" s="31" t="s">
        <v>3264</v>
      </c>
      <c r="N150" s="1" t="s">
        <v>3222</v>
      </c>
      <c r="O150"/>
      <c r="T150" s="1"/>
    </row>
    <row r="151" spans="4:20" x14ac:dyDescent="0.35">
      <c r="D151" t="s">
        <v>2800</v>
      </c>
      <c r="E151" s="1" t="s">
        <v>2602</v>
      </c>
      <c r="F151" s="1" t="s">
        <v>1557</v>
      </c>
      <c r="G151" s="1" t="s">
        <v>2801</v>
      </c>
      <c r="H151" s="1" t="s">
        <v>1558</v>
      </c>
      <c r="I151" s="1" t="s">
        <v>920</v>
      </c>
      <c r="J151" s="1" t="s">
        <v>424</v>
      </c>
      <c r="L151" s="1" t="s">
        <v>1550</v>
      </c>
      <c r="M151" s="31" t="s">
        <v>3265</v>
      </c>
      <c r="N151" s="1" t="s">
        <v>3222</v>
      </c>
      <c r="O151"/>
      <c r="T151" s="1"/>
    </row>
    <row r="152" spans="4:20" x14ac:dyDescent="0.35">
      <c r="D152" t="s">
        <v>2800</v>
      </c>
      <c r="E152" s="1" t="s">
        <v>2602</v>
      </c>
      <c r="F152" s="1" t="s">
        <v>1559</v>
      </c>
      <c r="G152" s="1" t="s">
        <v>2801</v>
      </c>
      <c r="H152" s="1" t="s">
        <v>1560</v>
      </c>
      <c r="I152" s="1" t="s">
        <v>920</v>
      </c>
      <c r="J152" s="1" t="s">
        <v>424</v>
      </c>
      <c r="L152" s="1" t="s">
        <v>1550</v>
      </c>
      <c r="M152" s="31" t="s">
        <v>3266</v>
      </c>
      <c r="N152" s="1" t="s">
        <v>3222</v>
      </c>
      <c r="O152"/>
      <c r="T152" s="1"/>
    </row>
    <row r="153" spans="4:20" x14ac:dyDescent="0.35">
      <c r="D153" t="s">
        <v>2800</v>
      </c>
      <c r="E153" s="1" t="s">
        <v>2602</v>
      </c>
      <c r="F153" s="1" t="s">
        <v>1561</v>
      </c>
      <c r="G153" s="1" t="s">
        <v>2801</v>
      </c>
      <c r="H153" s="1" t="s">
        <v>1562</v>
      </c>
      <c r="I153" s="1" t="s">
        <v>920</v>
      </c>
      <c r="J153" s="1" t="s">
        <v>424</v>
      </c>
      <c r="L153" s="1" t="s">
        <v>1563</v>
      </c>
      <c r="M153" s="31" t="s">
        <v>3267</v>
      </c>
      <c r="N153" s="1" t="s">
        <v>3222</v>
      </c>
      <c r="O153"/>
      <c r="T153" s="1"/>
    </row>
    <row r="154" spans="4:20" x14ac:dyDescent="0.35">
      <c r="D154" t="s">
        <v>2800</v>
      </c>
      <c r="E154" s="1" t="s">
        <v>2602</v>
      </c>
      <c r="F154" s="1" t="s">
        <v>1564</v>
      </c>
      <c r="G154" s="1" t="s">
        <v>2801</v>
      </c>
      <c r="H154" s="1" t="s">
        <v>1565</v>
      </c>
      <c r="I154" s="1" t="s">
        <v>920</v>
      </c>
      <c r="J154" s="1" t="s">
        <v>424</v>
      </c>
      <c r="L154" s="1" t="s">
        <v>1566</v>
      </c>
      <c r="M154" s="31" t="s">
        <v>3268</v>
      </c>
      <c r="N154" s="1" t="s">
        <v>3222</v>
      </c>
      <c r="O154"/>
      <c r="T154" s="1"/>
    </row>
    <row r="155" spans="4:20" x14ac:dyDescent="0.35">
      <c r="D155" t="s">
        <v>2800</v>
      </c>
      <c r="E155" s="1" t="s">
        <v>2602</v>
      </c>
      <c r="F155" s="1" t="s">
        <v>1567</v>
      </c>
      <c r="G155" s="1" t="s">
        <v>2801</v>
      </c>
      <c r="H155" s="1" t="s">
        <v>1568</v>
      </c>
      <c r="I155" s="1" t="s">
        <v>920</v>
      </c>
      <c r="J155" s="1" t="s">
        <v>424</v>
      </c>
      <c r="L155" s="1" t="s">
        <v>1569</v>
      </c>
      <c r="M155" s="31" t="s">
        <v>3269</v>
      </c>
      <c r="N155" s="1" t="s">
        <v>3222</v>
      </c>
      <c r="O155"/>
      <c r="T155" s="1"/>
    </row>
    <row r="156" spans="4:20" x14ac:dyDescent="0.35">
      <c r="D156" t="s">
        <v>2800</v>
      </c>
      <c r="E156" s="1" t="s">
        <v>2602</v>
      </c>
      <c r="F156" s="1" t="s">
        <v>1570</v>
      </c>
      <c r="G156" s="1" t="s">
        <v>2801</v>
      </c>
      <c r="H156" s="1" t="s">
        <v>1571</v>
      </c>
      <c r="I156" s="1" t="s">
        <v>920</v>
      </c>
      <c r="J156" s="1" t="s">
        <v>424</v>
      </c>
      <c r="L156" s="1" t="s">
        <v>1569</v>
      </c>
      <c r="M156" s="31" t="s">
        <v>3270</v>
      </c>
      <c r="N156" s="1" t="s">
        <v>3222</v>
      </c>
      <c r="O156"/>
      <c r="T156" s="1"/>
    </row>
    <row r="157" spans="4:20" x14ac:dyDescent="0.35">
      <c r="D157" t="s">
        <v>2800</v>
      </c>
      <c r="E157" s="1" t="s">
        <v>2602</v>
      </c>
      <c r="F157" s="1" t="s">
        <v>1572</v>
      </c>
      <c r="G157" s="1" t="s">
        <v>2801</v>
      </c>
      <c r="H157" s="1" t="s">
        <v>1573</v>
      </c>
      <c r="I157" s="1" t="s">
        <v>920</v>
      </c>
      <c r="J157" s="1" t="s">
        <v>424</v>
      </c>
      <c r="L157" s="1" t="s">
        <v>1574</v>
      </c>
      <c r="M157" s="31" t="s">
        <v>3271</v>
      </c>
      <c r="N157" s="1" t="s">
        <v>3222</v>
      </c>
      <c r="O157"/>
      <c r="T157" s="1"/>
    </row>
    <row r="158" spans="4:20" x14ac:dyDescent="0.35">
      <c r="D158" t="s">
        <v>2800</v>
      </c>
      <c r="E158" s="1" t="s">
        <v>2602</v>
      </c>
      <c r="F158" s="1" t="s">
        <v>1575</v>
      </c>
      <c r="G158" s="1" t="s">
        <v>2801</v>
      </c>
      <c r="H158" s="1" t="s">
        <v>1576</v>
      </c>
      <c r="I158" s="1" t="s">
        <v>920</v>
      </c>
      <c r="J158" s="1" t="s">
        <v>424</v>
      </c>
      <c r="L158" s="1" t="s">
        <v>1574</v>
      </c>
      <c r="M158" s="31" t="s">
        <v>3272</v>
      </c>
      <c r="N158" s="1" t="s">
        <v>3222</v>
      </c>
      <c r="O158"/>
      <c r="T158" s="1"/>
    </row>
    <row r="159" spans="4:20" x14ac:dyDescent="0.35">
      <c r="D159" t="s">
        <v>2800</v>
      </c>
      <c r="E159" s="1" t="s">
        <v>2602</v>
      </c>
      <c r="F159" s="1" t="s">
        <v>1582</v>
      </c>
      <c r="G159" s="1" t="s">
        <v>2802</v>
      </c>
      <c r="H159" s="1" t="s">
        <v>1580</v>
      </c>
      <c r="I159" s="1" t="s">
        <v>919</v>
      </c>
      <c r="J159" s="1" t="s">
        <v>424</v>
      </c>
      <c r="L159" s="1" t="s">
        <v>1583</v>
      </c>
      <c r="M159" s="31" t="s">
        <v>1581</v>
      </c>
      <c r="N159" s="1" t="s">
        <v>3222</v>
      </c>
      <c r="O159"/>
      <c r="T159" s="1"/>
    </row>
    <row r="160" spans="4:20" x14ac:dyDescent="0.35">
      <c r="D160" t="s">
        <v>2800</v>
      </c>
      <c r="E160" s="1" t="s">
        <v>2602</v>
      </c>
      <c r="F160" s="1" t="s">
        <v>1584</v>
      </c>
      <c r="G160" s="1" t="s">
        <v>2802</v>
      </c>
      <c r="H160" s="1" t="s">
        <v>1585</v>
      </c>
      <c r="I160" s="1" t="s">
        <v>920</v>
      </c>
      <c r="J160" s="1" t="s">
        <v>424</v>
      </c>
      <c r="L160" s="1" t="s">
        <v>1586</v>
      </c>
      <c r="M160" s="31" t="s">
        <v>3273</v>
      </c>
      <c r="N160" s="1" t="s">
        <v>3222</v>
      </c>
      <c r="O160"/>
      <c r="T160" s="1"/>
    </row>
    <row r="161" spans="4:20" x14ac:dyDescent="0.35">
      <c r="D161" t="s">
        <v>2800</v>
      </c>
      <c r="E161" s="1" t="s">
        <v>2602</v>
      </c>
      <c r="F161" s="1" t="s">
        <v>1587</v>
      </c>
      <c r="G161" s="1" t="s">
        <v>2801</v>
      </c>
      <c r="H161" s="1" t="s">
        <v>1588</v>
      </c>
      <c r="I161" s="1" t="s">
        <v>920</v>
      </c>
      <c r="J161" s="1" t="s">
        <v>424</v>
      </c>
      <c r="L161" s="1" t="s">
        <v>1589</v>
      </c>
      <c r="M161" s="31" t="s">
        <v>3274</v>
      </c>
      <c r="N161" s="1" t="s">
        <v>3222</v>
      </c>
      <c r="O161"/>
      <c r="T161" s="1"/>
    </row>
    <row r="162" spans="4:20" x14ac:dyDescent="0.35">
      <c r="D162" t="s">
        <v>2800</v>
      </c>
      <c r="E162" s="1" t="s">
        <v>2602</v>
      </c>
      <c r="F162" s="1" t="s">
        <v>1590</v>
      </c>
      <c r="G162" s="1" t="s">
        <v>2801</v>
      </c>
      <c r="H162" s="1" t="s">
        <v>1591</v>
      </c>
      <c r="I162" s="1" t="s">
        <v>919</v>
      </c>
      <c r="J162" s="1" t="s">
        <v>424</v>
      </c>
      <c r="L162" s="1" t="s">
        <v>1592</v>
      </c>
      <c r="M162" s="31" t="s">
        <v>1654</v>
      </c>
      <c r="N162" s="1" t="s">
        <v>3222</v>
      </c>
      <c r="O162"/>
      <c r="T162" s="1"/>
    </row>
    <row r="163" spans="4:20" x14ac:dyDescent="0.35">
      <c r="D163" t="s">
        <v>2800</v>
      </c>
      <c r="E163" s="1" t="s">
        <v>2602</v>
      </c>
      <c r="F163" s="1" t="s">
        <v>1593</v>
      </c>
      <c r="G163" s="1" t="s">
        <v>2801</v>
      </c>
      <c r="H163" s="1" t="s">
        <v>1594</v>
      </c>
      <c r="I163" s="1" t="s">
        <v>920</v>
      </c>
      <c r="J163" s="1" t="s">
        <v>424</v>
      </c>
      <c r="L163" s="1" t="s">
        <v>1595</v>
      </c>
      <c r="M163" s="31" t="s">
        <v>3275</v>
      </c>
      <c r="N163" s="1" t="s">
        <v>3222</v>
      </c>
      <c r="O163"/>
      <c r="T163" s="1"/>
    </row>
    <row r="164" spans="4:20" x14ac:dyDescent="0.35">
      <c r="D164" t="s">
        <v>2800</v>
      </c>
      <c r="E164" s="1" t="s">
        <v>2602</v>
      </c>
      <c r="F164" s="1" t="s">
        <v>1596</v>
      </c>
      <c r="G164" s="1" t="s">
        <v>2801</v>
      </c>
      <c r="H164" s="1" t="s">
        <v>1597</v>
      </c>
      <c r="I164" s="1" t="s">
        <v>920</v>
      </c>
      <c r="J164" s="1" t="s">
        <v>424</v>
      </c>
      <c r="L164" s="1" t="s">
        <v>1598</v>
      </c>
      <c r="M164" s="31" t="s">
        <v>3276</v>
      </c>
      <c r="N164" s="1" t="s">
        <v>3222</v>
      </c>
      <c r="O164"/>
      <c r="T164" s="1"/>
    </row>
    <row r="165" spans="4:20" x14ac:dyDescent="0.35">
      <c r="D165" t="s">
        <v>2800</v>
      </c>
      <c r="E165" s="1" t="s">
        <v>2602</v>
      </c>
      <c r="F165" s="1" t="s">
        <v>1599</v>
      </c>
      <c r="G165" s="1" t="s">
        <v>2801</v>
      </c>
      <c r="H165" s="1" t="s">
        <v>1600</v>
      </c>
      <c r="I165" s="1" t="s">
        <v>920</v>
      </c>
      <c r="J165" s="1" t="s">
        <v>424</v>
      </c>
      <c r="L165" s="1" t="s">
        <v>1601</v>
      </c>
      <c r="M165" s="31" t="s">
        <v>3277</v>
      </c>
      <c r="N165" s="1" t="s">
        <v>3222</v>
      </c>
      <c r="O165"/>
      <c r="T165" s="1"/>
    </row>
    <row r="166" spans="4:20" x14ac:dyDescent="0.35">
      <c r="D166" t="s">
        <v>2800</v>
      </c>
      <c r="E166" s="1" t="s">
        <v>2602</v>
      </c>
      <c r="F166" s="1" t="s">
        <v>1602</v>
      </c>
      <c r="G166" s="1" t="s">
        <v>2801</v>
      </c>
      <c r="H166" s="1" t="s">
        <v>1603</v>
      </c>
      <c r="I166" s="1" t="s">
        <v>920</v>
      </c>
      <c r="J166" s="1" t="s">
        <v>424</v>
      </c>
      <c r="L166" s="1" t="s">
        <v>1604</v>
      </c>
      <c r="M166" s="31" t="s">
        <v>3278</v>
      </c>
      <c r="N166" s="1" t="s">
        <v>3222</v>
      </c>
      <c r="O166"/>
      <c r="T166" s="1"/>
    </row>
    <row r="167" spans="4:20" x14ac:dyDescent="0.35">
      <c r="D167" t="s">
        <v>2800</v>
      </c>
      <c r="E167" s="1" t="s">
        <v>2602</v>
      </c>
      <c r="F167" s="1" t="s">
        <v>1605</v>
      </c>
      <c r="G167" s="1" t="s">
        <v>2801</v>
      </c>
      <c r="H167" s="1" t="s">
        <v>1606</v>
      </c>
      <c r="I167" s="1" t="s">
        <v>920</v>
      </c>
      <c r="J167" s="1" t="s">
        <v>424</v>
      </c>
      <c r="L167" s="1" t="s">
        <v>1607</v>
      </c>
      <c r="M167" s="31" t="s">
        <v>3279</v>
      </c>
      <c r="N167" s="1" t="s">
        <v>3222</v>
      </c>
      <c r="O167"/>
      <c r="T167" s="1"/>
    </row>
    <row r="168" spans="4:20" x14ac:dyDescent="0.35">
      <c r="D168" t="s">
        <v>2800</v>
      </c>
      <c r="E168" s="1" t="s">
        <v>2602</v>
      </c>
      <c r="F168" s="1" t="s">
        <v>1608</v>
      </c>
      <c r="G168" s="1" t="s">
        <v>2801</v>
      </c>
      <c r="H168" s="1" t="s">
        <v>1609</v>
      </c>
      <c r="I168" s="1" t="s">
        <v>920</v>
      </c>
      <c r="J168" s="1" t="s">
        <v>424</v>
      </c>
      <c r="L168" s="1" t="s">
        <v>1610</v>
      </c>
      <c r="M168" s="31" t="s">
        <v>3280</v>
      </c>
      <c r="N168" s="1" t="s">
        <v>3222</v>
      </c>
      <c r="O168"/>
      <c r="T168" s="1"/>
    </row>
    <row r="169" spans="4:20" x14ac:dyDescent="0.35">
      <c r="D169" t="s">
        <v>2800</v>
      </c>
      <c r="E169" s="1" t="s">
        <v>2602</v>
      </c>
      <c r="F169" s="1" t="s">
        <v>1611</v>
      </c>
      <c r="G169" s="1" t="s">
        <v>2801</v>
      </c>
      <c r="H169" s="1" t="s">
        <v>1612</v>
      </c>
      <c r="I169" s="1" t="s">
        <v>920</v>
      </c>
      <c r="J169" s="1" t="s">
        <v>424</v>
      </c>
      <c r="L169" s="1" t="s">
        <v>1613</v>
      </c>
      <c r="M169" s="31" t="s">
        <v>3281</v>
      </c>
      <c r="N169" s="1" t="s">
        <v>3222</v>
      </c>
      <c r="O169"/>
      <c r="T169" s="1"/>
    </row>
    <row r="170" spans="4:20" x14ac:dyDescent="0.35">
      <c r="D170" t="s">
        <v>2800</v>
      </c>
      <c r="E170" s="1" t="s">
        <v>2602</v>
      </c>
      <c r="F170" s="1" t="s">
        <v>1614</v>
      </c>
      <c r="G170" s="1" t="s">
        <v>2802</v>
      </c>
      <c r="H170" s="1" t="s">
        <v>1615</v>
      </c>
      <c r="I170" s="1" t="s">
        <v>920</v>
      </c>
      <c r="J170" s="1" t="s">
        <v>424</v>
      </c>
      <c r="L170" s="1" t="s">
        <v>1616</v>
      </c>
      <c r="M170" s="31" t="s">
        <v>3282</v>
      </c>
      <c r="N170" s="1" t="s">
        <v>3222</v>
      </c>
      <c r="O170"/>
      <c r="T170" s="1"/>
    </row>
    <row r="171" spans="4:20" x14ac:dyDescent="0.35">
      <c r="D171" t="s">
        <v>2800</v>
      </c>
      <c r="E171" s="1" t="s">
        <v>2602</v>
      </c>
      <c r="F171" s="1" t="s">
        <v>1617</v>
      </c>
      <c r="G171" s="1" t="s">
        <v>2803</v>
      </c>
      <c r="H171" s="1" t="s">
        <v>1618</v>
      </c>
      <c r="I171" s="1" t="s">
        <v>919</v>
      </c>
      <c r="J171" s="1" t="s">
        <v>424</v>
      </c>
      <c r="L171" s="1" t="s">
        <v>1619</v>
      </c>
      <c r="M171" s="31" t="s">
        <v>1657</v>
      </c>
      <c r="N171" s="1" t="s">
        <v>3222</v>
      </c>
      <c r="O171"/>
      <c r="T171" s="1"/>
    </row>
    <row r="172" spans="4:20" x14ac:dyDescent="0.35">
      <c r="D172" t="s">
        <v>2800</v>
      </c>
      <c r="E172" s="1" t="s">
        <v>2602</v>
      </c>
      <c r="F172" s="1" t="s">
        <v>1620</v>
      </c>
      <c r="G172" s="1" t="s">
        <v>2803</v>
      </c>
      <c r="H172" s="1" t="s">
        <v>1621</v>
      </c>
      <c r="I172" s="1" t="s">
        <v>920</v>
      </c>
      <c r="J172" s="1" t="s">
        <v>424</v>
      </c>
      <c r="L172" s="1" t="s">
        <v>1622</v>
      </c>
      <c r="M172" s="31" t="s">
        <v>3283</v>
      </c>
      <c r="N172" s="1" t="s">
        <v>3222</v>
      </c>
      <c r="O172"/>
      <c r="T172" s="1"/>
    </row>
    <row r="173" spans="4:20" x14ac:dyDescent="0.35">
      <c r="D173" t="s">
        <v>2800</v>
      </c>
      <c r="E173" s="1" t="s">
        <v>2602</v>
      </c>
      <c r="F173" s="1" t="s">
        <v>1623</v>
      </c>
      <c r="G173" s="1" t="s">
        <v>2804</v>
      </c>
      <c r="H173" s="1" t="s">
        <v>1624</v>
      </c>
      <c r="I173" s="1" t="s">
        <v>919</v>
      </c>
      <c r="J173" s="1" t="s">
        <v>424</v>
      </c>
      <c r="L173" s="1" t="s">
        <v>1625</v>
      </c>
      <c r="M173" s="31" t="s">
        <v>1660</v>
      </c>
      <c r="N173" s="1" t="s">
        <v>3222</v>
      </c>
      <c r="O173"/>
      <c r="T173" s="1"/>
    </row>
    <row r="174" spans="4:20" x14ac:dyDescent="0.35">
      <c r="D174" t="s">
        <v>2800</v>
      </c>
      <c r="E174" s="1" t="s">
        <v>2602</v>
      </c>
      <c r="F174" s="1" t="s">
        <v>1626</v>
      </c>
      <c r="G174" s="1" t="s">
        <v>2804</v>
      </c>
      <c r="H174" s="1" t="s">
        <v>1627</v>
      </c>
      <c r="I174" s="1" t="s">
        <v>920</v>
      </c>
      <c r="J174" s="1" t="s">
        <v>424</v>
      </c>
      <c r="L174" s="1" t="s">
        <v>350</v>
      </c>
      <c r="M174" s="31" t="s">
        <v>3284</v>
      </c>
      <c r="N174" s="1" t="s">
        <v>3222</v>
      </c>
      <c r="O174"/>
      <c r="T174" s="1"/>
    </row>
    <row r="175" spans="4:20" x14ac:dyDescent="0.35">
      <c r="D175" t="s">
        <v>2800</v>
      </c>
      <c r="E175" s="1" t="s">
        <v>2602</v>
      </c>
      <c r="F175" s="1" t="s">
        <v>1628</v>
      </c>
      <c r="G175" s="1" t="s">
        <v>2804</v>
      </c>
      <c r="H175" s="1" t="s">
        <v>1629</v>
      </c>
      <c r="I175" s="1" t="s">
        <v>920</v>
      </c>
      <c r="J175" s="1" t="s">
        <v>424</v>
      </c>
      <c r="L175" s="1" t="s">
        <v>1630</v>
      </c>
      <c r="M175" s="31" t="s">
        <v>3285</v>
      </c>
      <c r="N175" s="1" t="s">
        <v>3222</v>
      </c>
      <c r="O175"/>
      <c r="T175" s="1"/>
    </row>
    <row r="176" spans="4:20" x14ac:dyDescent="0.35">
      <c r="D176" t="s">
        <v>2800</v>
      </c>
      <c r="E176" s="1" t="s">
        <v>2602</v>
      </c>
      <c r="F176" s="1" t="s">
        <v>1631</v>
      </c>
      <c r="G176" s="1" t="s">
        <v>2805</v>
      </c>
      <c r="H176" s="1" t="s">
        <v>1632</v>
      </c>
      <c r="I176" s="1" t="s">
        <v>919</v>
      </c>
      <c r="J176" s="1" t="s">
        <v>424</v>
      </c>
      <c r="L176" s="1" t="s">
        <v>1633</v>
      </c>
      <c r="M176" s="31" t="s">
        <v>1663</v>
      </c>
      <c r="N176" s="1" t="s">
        <v>3222</v>
      </c>
      <c r="O176"/>
      <c r="T176" s="1"/>
    </row>
    <row r="177" spans="1:20" x14ac:dyDescent="0.35">
      <c r="D177" t="s">
        <v>2800</v>
      </c>
      <c r="E177" s="1" t="s">
        <v>2602</v>
      </c>
      <c r="F177" s="1" t="s">
        <v>1634</v>
      </c>
      <c r="G177" s="1" t="s">
        <v>2805</v>
      </c>
      <c r="H177" s="1" t="s">
        <v>1635</v>
      </c>
      <c r="I177" s="1" t="s">
        <v>920</v>
      </c>
      <c r="J177" s="1" t="s">
        <v>424</v>
      </c>
      <c r="L177" s="1" t="s">
        <v>1636</v>
      </c>
      <c r="M177" s="31" t="s">
        <v>3286</v>
      </c>
      <c r="N177" s="1" t="s">
        <v>3222</v>
      </c>
      <c r="O177"/>
      <c r="T177" s="1"/>
    </row>
    <row r="178" spans="1:20" x14ac:dyDescent="0.35">
      <c r="D178" t="s">
        <v>2800</v>
      </c>
      <c r="E178" s="1" t="s">
        <v>2602</v>
      </c>
      <c r="F178" s="1" t="s">
        <v>1637</v>
      </c>
      <c r="G178" s="1" t="s">
        <v>2805</v>
      </c>
      <c r="H178" s="1" t="s">
        <v>1638</v>
      </c>
      <c r="I178" s="1" t="s">
        <v>920</v>
      </c>
      <c r="J178" s="1" t="s">
        <v>424</v>
      </c>
      <c r="L178" s="1" t="s">
        <v>1639</v>
      </c>
      <c r="M178" s="31" t="s">
        <v>3287</v>
      </c>
      <c r="N178" s="1" t="s">
        <v>3222</v>
      </c>
      <c r="O178"/>
      <c r="T178" s="1"/>
    </row>
    <row r="179" spans="1:20" x14ac:dyDescent="0.35">
      <c r="D179" t="s">
        <v>2800</v>
      </c>
      <c r="E179" s="1" t="s">
        <v>2304</v>
      </c>
      <c r="F179" s="1" t="s">
        <v>1640</v>
      </c>
      <c r="G179" s="1" t="s">
        <v>2806</v>
      </c>
      <c r="H179" s="1" t="s">
        <v>1641</v>
      </c>
      <c r="I179" s="1" t="s">
        <v>1642</v>
      </c>
      <c r="J179" s="1" t="s">
        <v>424</v>
      </c>
      <c r="L179" s="1" t="s">
        <v>1643</v>
      </c>
      <c r="M179" t="s">
        <v>1644</v>
      </c>
      <c r="N179" s="1" t="s">
        <v>1157</v>
      </c>
      <c r="O179"/>
      <c r="T179" s="1"/>
    </row>
    <row r="180" spans="1:20" x14ac:dyDescent="0.35">
      <c r="D180" t="s">
        <v>2800</v>
      </c>
      <c r="E180" s="1" t="s">
        <v>2304</v>
      </c>
      <c r="F180" s="1" t="s">
        <v>1645</v>
      </c>
      <c r="G180" s="1" t="s">
        <v>2806</v>
      </c>
      <c r="H180" s="1" t="s">
        <v>1646</v>
      </c>
      <c r="I180" s="1" t="s">
        <v>327</v>
      </c>
      <c r="J180" s="1" t="s">
        <v>424</v>
      </c>
      <c r="L180" s="1" t="s">
        <v>1647</v>
      </c>
      <c r="M180" t="s">
        <v>1648</v>
      </c>
      <c r="N180" s="1" t="s">
        <v>1157</v>
      </c>
      <c r="O180"/>
      <c r="T180" s="1"/>
    </row>
    <row r="181" spans="1:20" x14ac:dyDescent="0.35">
      <c r="D181" t="s">
        <v>2800</v>
      </c>
      <c r="E181" s="1" t="s">
        <v>2304</v>
      </c>
      <c r="F181" s="1" t="s">
        <v>1649</v>
      </c>
      <c r="G181" s="1" t="s">
        <v>2806</v>
      </c>
      <c r="H181" s="1" t="s">
        <v>1650</v>
      </c>
      <c r="I181" s="1" t="s">
        <v>327</v>
      </c>
      <c r="J181" s="1" t="s">
        <v>424</v>
      </c>
      <c r="L181" s="1" t="s">
        <v>1651</v>
      </c>
      <c r="M181" t="s">
        <v>1652</v>
      </c>
      <c r="N181" s="1" t="s">
        <v>1157</v>
      </c>
      <c r="O181"/>
      <c r="T181" s="1"/>
    </row>
    <row r="182" spans="1:20" x14ac:dyDescent="0.35">
      <c r="D182" t="s">
        <v>2800</v>
      </c>
      <c r="E182" s="1" t="s">
        <v>2304</v>
      </c>
      <c r="F182" s="1" t="s">
        <v>2848</v>
      </c>
      <c r="H182" s="1" t="s">
        <v>2844</v>
      </c>
      <c r="I182" s="1" t="s">
        <v>1120</v>
      </c>
      <c r="J182" s="1" t="s">
        <v>290</v>
      </c>
      <c r="L182" s="1" t="s">
        <v>2845</v>
      </c>
      <c r="M182"/>
      <c r="O182"/>
      <c r="Q182" s="1" t="s">
        <v>2846</v>
      </c>
      <c r="R182" s="1" t="s">
        <v>271</v>
      </c>
      <c r="T182" s="1"/>
    </row>
    <row r="183" spans="1:20" x14ac:dyDescent="0.35">
      <c r="D183" t="s">
        <v>2800</v>
      </c>
      <c r="E183" s="1" t="s">
        <v>2304</v>
      </c>
      <c r="F183" s="1" t="s">
        <v>1862</v>
      </c>
      <c r="H183" s="1" t="s">
        <v>1863</v>
      </c>
      <c r="I183" s="1" t="s">
        <v>1120</v>
      </c>
      <c r="J183" s="1" t="s">
        <v>45</v>
      </c>
      <c r="K183" s="1" t="s">
        <v>1301</v>
      </c>
      <c r="L183" s="1" t="s">
        <v>1864</v>
      </c>
      <c r="M183" t="s">
        <v>1865</v>
      </c>
      <c r="N183" s="1" t="s">
        <v>12</v>
      </c>
      <c r="O183" t="s">
        <v>1865</v>
      </c>
      <c r="P183" s="1" t="s">
        <v>1866</v>
      </c>
      <c r="Q183" s="1" t="s">
        <v>2651</v>
      </c>
      <c r="R183" s="1" t="s">
        <v>2604</v>
      </c>
      <c r="T183" s="1"/>
    </row>
    <row r="184" spans="1:20" x14ac:dyDescent="0.35">
      <c r="D184" t="s">
        <v>2800</v>
      </c>
      <c r="E184" s="1" t="s">
        <v>2304</v>
      </c>
      <c r="F184" s="1" t="s">
        <v>1867</v>
      </c>
      <c r="H184" s="1" t="s">
        <v>1868</v>
      </c>
      <c r="I184" s="1" t="s">
        <v>1120</v>
      </c>
      <c r="J184" s="1" t="s">
        <v>36</v>
      </c>
      <c r="K184" s="1" t="s">
        <v>1301</v>
      </c>
      <c r="L184" s="1" t="s">
        <v>1869</v>
      </c>
      <c r="M184" t="s">
        <v>1870</v>
      </c>
      <c r="N184" s="1" t="s">
        <v>12</v>
      </c>
      <c r="O184" t="s">
        <v>1870</v>
      </c>
      <c r="P184" s="1" t="s">
        <v>1871</v>
      </c>
      <c r="Q184" s="1" t="s">
        <v>2606</v>
      </c>
      <c r="R184" s="1" t="s">
        <v>2604</v>
      </c>
      <c r="T184" s="1"/>
    </row>
    <row r="185" spans="1:20" x14ac:dyDescent="0.35">
      <c r="D185" t="s">
        <v>2800</v>
      </c>
      <c r="E185" s="1" t="s">
        <v>2304</v>
      </c>
      <c r="F185" s="1" t="s">
        <v>48</v>
      </c>
      <c r="H185" s="1" t="s">
        <v>1868</v>
      </c>
      <c r="I185" s="1" t="s">
        <v>327</v>
      </c>
      <c r="J185" s="1" t="s">
        <v>49</v>
      </c>
      <c r="K185" s="1" t="s">
        <v>3</v>
      </c>
      <c r="L185" s="1" t="s">
        <v>1859</v>
      </c>
      <c r="M185" s="1" t="s">
        <v>50</v>
      </c>
      <c r="N185" s="1" t="s">
        <v>12</v>
      </c>
      <c r="O185" s="1" t="s">
        <v>50</v>
      </c>
      <c r="P185" s="1" t="s">
        <v>51</v>
      </c>
      <c r="Q185" s="1" t="s">
        <v>2607</v>
      </c>
      <c r="R185" s="1" t="s">
        <v>2604</v>
      </c>
      <c r="S185" s="1" t="s">
        <v>1860</v>
      </c>
      <c r="T185" s="1"/>
    </row>
    <row r="186" spans="1:20" s="15" customFormat="1" x14ac:dyDescent="0.35">
      <c r="A186"/>
      <c r="B186"/>
      <c r="C186"/>
      <c r="D186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5">
      <c r="A187" s="15"/>
      <c r="B187" s="15"/>
      <c r="C187" s="15"/>
      <c r="D187" s="15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spans="1:20" x14ac:dyDescent="0.35">
      <c r="E188"/>
      <c r="F188"/>
      <c r="G188"/>
      <c r="H188"/>
      <c r="I188"/>
      <c r="J188"/>
      <c r="K188"/>
      <c r="M188"/>
      <c r="N188"/>
      <c r="O188"/>
      <c r="P188"/>
      <c r="Q188"/>
      <c r="R188"/>
      <c r="S188"/>
    </row>
    <row r="189" spans="1:20" x14ac:dyDescent="0.35">
      <c r="E189"/>
      <c r="F189" t="s">
        <v>3448</v>
      </c>
      <c r="G189" t="s">
        <v>2801</v>
      </c>
      <c r="H189" t="s">
        <v>3449</v>
      </c>
      <c r="I189" t="s">
        <v>2203</v>
      </c>
      <c r="J189" t="s">
        <v>2789</v>
      </c>
      <c r="K189"/>
      <c r="L189" s="1" t="s">
        <v>3450</v>
      </c>
      <c r="M189"/>
      <c r="N189"/>
      <c r="O189"/>
      <c r="P189"/>
      <c r="Q189"/>
      <c r="R189"/>
      <c r="S189"/>
    </row>
    <row r="190" spans="1:20" x14ac:dyDescent="0.35">
      <c r="E190"/>
      <c r="F190" t="s">
        <v>3451</v>
      </c>
      <c r="G190" t="s">
        <v>2802</v>
      </c>
      <c r="H190" t="s">
        <v>3452</v>
      </c>
      <c r="I190" t="s">
        <v>2203</v>
      </c>
      <c r="J190" t="s">
        <v>2789</v>
      </c>
      <c r="K190"/>
      <c r="L190" s="1" t="s">
        <v>1284</v>
      </c>
      <c r="M190"/>
      <c r="N190"/>
      <c r="O190"/>
      <c r="P190"/>
      <c r="Q190" s="31" t="s">
        <v>3453</v>
      </c>
      <c r="R190" s="1" t="s">
        <v>271</v>
      </c>
      <c r="S190" s="1" t="s">
        <v>3454</v>
      </c>
    </row>
    <row r="191" spans="1:20" x14ac:dyDescent="0.35">
      <c r="E191"/>
      <c r="F191" t="s">
        <v>3455</v>
      </c>
      <c r="G191" t="s">
        <v>2803</v>
      </c>
      <c r="H191" t="s">
        <v>3456</v>
      </c>
      <c r="I191" t="s">
        <v>2203</v>
      </c>
      <c r="J191" t="s">
        <v>2789</v>
      </c>
      <c r="K191"/>
      <c r="L191" s="1" t="s">
        <v>1285</v>
      </c>
      <c r="M191"/>
      <c r="N191"/>
      <c r="O191"/>
      <c r="P191"/>
      <c r="Q191" s="31" t="s">
        <v>3457</v>
      </c>
      <c r="R191" s="1" t="s">
        <v>271</v>
      </c>
      <c r="S191" s="1" t="s">
        <v>3458</v>
      </c>
    </row>
    <row r="192" spans="1:20" x14ac:dyDescent="0.35">
      <c r="E192"/>
      <c r="F192" t="s">
        <v>3459</v>
      </c>
      <c r="G192" t="s">
        <v>2804</v>
      </c>
      <c r="H192" t="s">
        <v>3460</v>
      </c>
      <c r="I192" t="s">
        <v>2203</v>
      </c>
      <c r="J192" t="s">
        <v>2789</v>
      </c>
      <c r="K192"/>
      <c r="L192" s="1" t="s">
        <v>1290</v>
      </c>
      <c r="M192" t="s">
        <v>3463</v>
      </c>
      <c r="N192" t="s">
        <v>271</v>
      </c>
      <c r="O192"/>
      <c r="P192"/>
      <c r="Q192" s="31" t="s">
        <v>3461</v>
      </c>
      <c r="R192" s="1" t="s">
        <v>271</v>
      </c>
      <c r="S192" s="1" t="s">
        <v>3462</v>
      </c>
    </row>
    <row r="193" spans="4:19" x14ac:dyDescent="0.35">
      <c r="E193"/>
      <c r="F193" t="s">
        <v>3464</v>
      </c>
      <c r="G193" t="s">
        <v>2805</v>
      </c>
      <c r="H193" t="s">
        <v>3465</v>
      </c>
      <c r="I193" t="s">
        <v>2203</v>
      </c>
      <c r="J193" t="s">
        <v>2789</v>
      </c>
      <c r="K193"/>
      <c r="L193" s="1" t="s">
        <v>3466</v>
      </c>
      <c r="M193" t="s">
        <v>3467</v>
      </c>
      <c r="N193" t="s">
        <v>271</v>
      </c>
      <c r="O193"/>
      <c r="P193"/>
      <c r="Q193" s="31"/>
    </row>
    <row r="194" spans="4:19" x14ac:dyDescent="0.35">
      <c r="E194"/>
      <c r="F194" t="s">
        <v>3468</v>
      </c>
      <c r="G194" t="s">
        <v>2806</v>
      </c>
      <c r="H194" t="s">
        <v>3469</v>
      </c>
      <c r="I194" t="s">
        <v>2203</v>
      </c>
      <c r="J194" t="s">
        <v>2789</v>
      </c>
      <c r="K194"/>
      <c r="L194" s="1" t="s">
        <v>3470</v>
      </c>
      <c r="M194" t="s">
        <v>3471</v>
      </c>
      <c r="N194" t="s">
        <v>271</v>
      </c>
      <c r="O194"/>
      <c r="P194"/>
      <c r="Q194" s="31"/>
    </row>
    <row r="195" spans="4:19" x14ac:dyDescent="0.35">
      <c r="E195"/>
      <c r="F195" t="s">
        <v>3472</v>
      </c>
      <c r="G195" t="s">
        <v>2999</v>
      </c>
      <c r="H195" t="s">
        <v>3473</v>
      </c>
      <c r="I195" t="s">
        <v>327</v>
      </c>
      <c r="J195" t="s">
        <v>2789</v>
      </c>
      <c r="K195"/>
      <c r="L195" s="1" t="s">
        <v>3474</v>
      </c>
      <c r="M195" t="s">
        <v>3475</v>
      </c>
      <c r="N195" t="s">
        <v>271</v>
      </c>
      <c r="O195"/>
      <c r="P195"/>
      <c r="Q195" s="31"/>
    </row>
    <row r="196" spans="4:19" x14ac:dyDescent="0.35">
      <c r="E196"/>
      <c r="F196"/>
      <c r="G196"/>
      <c r="H196"/>
      <c r="I196"/>
      <c r="J196"/>
      <c r="K196"/>
      <c r="M196" s="34" t="s">
        <v>3476</v>
      </c>
      <c r="N196"/>
      <c r="O196"/>
      <c r="P196"/>
      <c r="Q196"/>
      <c r="R196"/>
      <c r="S196"/>
    </row>
    <row r="197" spans="4:19" x14ac:dyDescent="0.35">
      <c r="E197"/>
      <c r="F197" t="s">
        <v>3188</v>
      </c>
      <c r="G197"/>
      <c r="H197"/>
      <c r="I197"/>
      <c r="J197"/>
      <c r="K197"/>
      <c r="M197"/>
      <c r="N197"/>
      <c r="O197"/>
      <c r="P197"/>
      <c r="Q197"/>
      <c r="R197"/>
      <c r="S197"/>
    </row>
    <row r="198" spans="4:19" x14ac:dyDescent="0.35">
      <c r="E198"/>
      <c r="F198" t="s">
        <v>3189</v>
      </c>
      <c r="G198"/>
      <c r="H198"/>
      <c r="I198"/>
      <c r="J198"/>
      <c r="K198"/>
      <c r="M198"/>
      <c r="N198"/>
      <c r="O198"/>
      <c r="P198"/>
      <c r="Q198"/>
      <c r="R198"/>
      <c r="S198"/>
    </row>
    <row r="199" spans="4:19" x14ac:dyDescent="0.35">
      <c r="E199"/>
      <c r="F199" t="s">
        <v>3190</v>
      </c>
      <c r="G199"/>
      <c r="H199"/>
      <c r="I199"/>
      <c r="J199"/>
      <c r="K199"/>
      <c r="M199"/>
      <c r="N199"/>
      <c r="O199"/>
      <c r="P199"/>
      <c r="Q199"/>
      <c r="R199"/>
      <c r="S199"/>
    </row>
    <row r="200" spans="4:19" x14ac:dyDescent="0.35">
      <c r="E200"/>
      <c r="F200" t="s">
        <v>3191</v>
      </c>
      <c r="G200"/>
      <c r="H200"/>
      <c r="I200"/>
      <c r="J200"/>
      <c r="K200"/>
      <c r="M200"/>
      <c r="N200"/>
      <c r="O200"/>
      <c r="P200"/>
      <c r="Q200"/>
      <c r="R200"/>
      <c r="S200"/>
    </row>
    <row r="201" spans="4:19" x14ac:dyDescent="0.35">
      <c r="E201"/>
      <c r="F201" t="s">
        <v>3192</v>
      </c>
      <c r="G201"/>
      <c r="H201"/>
      <c r="I201"/>
      <c r="J201"/>
      <c r="K201"/>
      <c r="M201"/>
      <c r="N201"/>
      <c r="O201"/>
      <c r="P201"/>
      <c r="Q201"/>
      <c r="R201"/>
      <c r="S201"/>
    </row>
    <row r="202" spans="4:19" x14ac:dyDescent="0.35">
      <c r="E202"/>
      <c r="F202" t="s">
        <v>3193</v>
      </c>
      <c r="G202"/>
      <c r="H202"/>
      <c r="I202"/>
      <c r="J202"/>
      <c r="K202"/>
      <c r="M202"/>
      <c r="N202"/>
      <c r="O202"/>
      <c r="P202"/>
      <c r="Q202"/>
      <c r="R202"/>
      <c r="S202"/>
    </row>
    <row r="203" spans="4:19" x14ac:dyDescent="0.35">
      <c r="E203"/>
      <c r="F203"/>
      <c r="G203"/>
      <c r="H203"/>
      <c r="I203"/>
      <c r="J203"/>
      <c r="K203"/>
      <c r="M203"/>
      <c r="N203"/>
      <c r="O203"/>
      <c r="P203"/>
      <c r="Q203"/>
      <c r="R203"/>
      <c r="S203"/>
    </row>
    <row r="204" spans="4:19" x14ac:dyDescent="0.35">
      <c r="E204"/>
      <c r="F204"/>
      <c r="G204"/>
      <c r="H204"/>
      <c r="I204"/>
      <c r="J204"/>
      <c r="K204"/>
      <c r="M204"/>
      <c r="N204"/>
      <c r="O204"/>
      <c r="P204"/>
      <c r="Q204"/>
      <c r="R204"/>
      <c r="S204"/>
    </row>
    <row r="207" spans="4:19" x14ac:dyDescent="0.35">
      <c r="E207"/>
      <c r="F207"/>
      <c r="G207"/>
      <c r="H207"/>
      <c r="I207"/>
      <c r="J207"/>
      <c r="K207"/>
      <c r="M207"/>
      <c r="N207"/>
      <c r="O207"/>
      <c r="P207"/>
      <c r="Q207"/>
      <c r="R207"/>
      <c r="S207"/>
    </row>
    <row r="208" spans="4:19" x14ac:dyDescent="0.35">
      <c r="D208" t="s">
        <v>3167</v>
      </c>
      <c r="E208" t="s">
        <v>2367</v>
      </c>
      <c r="F208" t="s">
        <v>3122</v>
      </c>
      <c r="G208"/>
      <c r="H208" t="s">
        <v>3123</v>
      </c>
      <c r="I208" t="s">
        <v>1120</v>
      </c>
      <c r="J208" t="s">
        <v>3124</v>
      </c>
      <c r="K208" t="s">
        <v>1301</v>
      </c>
      <c r="L208" s="1" t="s">
        <v>3125</v>
      </c>
      <c r="M208" t="s">
        <v>3126</v>
      </c>
      <c r="N208" t="s">
        <v>12</v>
      </c>
      <c r="O208" t="s">
        <v>3126</v>
      </c>
      <c r="P208" t="s">
        <v>3129</v>
      </c>
      <c r="Q208" t="s">
        <v>3130</v>
      </c>
      <c r="R208" t="s">
        <v>2604</v>
      </c>
      <c r="S208"/>
    </row>
    <row r="209" spans="1:20" x14ac:dyDescent="0.35">
      <c r="D209" t="s">
        <v>3167</v>
      </c>
      <c r="E209" t="s">
        <v>2367</v>
      </c>
      <c r="F209" t="s">
        <v>2818</v>
      </c>
      <c r="G209"/>
      <c r="H209" t="s">
        <v>3121</v>
      </c>
      <c r="I209" t="s">
        <v>1120</v>
      </c>
      <c r="J209" t="s">
        <v>3124</v>
      </c>
      <c r="K209" t="s">
        <v>1301</v>
      </c>
      <c r="L209" s="1" t="s">
        <v>3131</v>
      </c>
      <c r="M209" t="s">
        <v>3127</v>
      </c>
      <c r="N209" t="s">
        <v>12</v>
      </c>
      <c r="O209" t="s">
        <v>3127</v>
      </c>
      <c r="P209" t="s">
        <v>3132</v>
      </c>
      <c r="Q209" t="s">
        <v>3133</v>
      </c>
      <c r="R209" t="s">
        <v>2604</v>
      </c>
      <c r="S209"/>
    </row>
    <row r="210" spans="1:20" x14ac:dyDescent="0.35">
      <c r="D210" t="s">
        <v>3167</v>
      </c>
      <c r="E210" t="s">
        <v>2367</v>
      </c>
      <c r="F210" t="s">
        <v>2819</v>
      </c>
      <c r="G210"/>
      <c r="H210" t="s">
        <v>3134</v>
      </c>
      <c r="I210" t="s">
        <v>1882</v>
      </c>
      <c r="J210" t="s">
        <v>49</v>
      </c>
      <c r="K210" t="s">
        <v>1301</v>
      </c>
      <c r="L210" s="1" t="s">
        <v>3135</v>
      </c>
      <c r="M210" t="s">
        <v>3128</v>
      </c>
      <c r="N210" t="s">
        <v>12</v>
      </c>
      <c r="O210" t="s">
        <v>3128</v>
      </c>
      <c r="P210" t="s">
        <v>3136</v>
      </c>
      <c r="Q210" t="s">
        <v>3137</v>
      </c>
      <c r="R210" t="s">
        <v>2604</v>
      </c>
      <c r="S210"/>
    </row>
    <row r="211" spans="1:20" x14ac:dyDescent="0.35">
      <c r="D211" t="s">
        <v>3167</v>
      </c>
      <c r="E211" t="s">
        <v>2367</v>
      </c>
      <c r="F211" t="s">
        <v>3142</v>
      </c>
      <c r="G211"/>
      <c r="H211" t="s">
        <v>3143</v>
      </c>
      <c r="I211" t="s">
        <v>1882</v>
      </c>
      <c r="J211" t="s">
        <v>1</v>
      </c>
      <c r="K211" t="s">
        <v>3</v>
      </c>
      <c r="L211" s="1" t="s">
        <v>3144</v>
      </c>
      <c r="M211" t="s">
        <v>3145</v>
      </c>
      <c r="N211" t="s">
        <v>12</v>
      </c>
      <c r="O211" t="s">
        <v>3145</v>
      </c>
      <c r="P211" t="s">
        <v>3146</v>
      </c>
      <c r="Q211" t="s">
        <v>3147</v>
      </c>
      <c r="R211" t="s">
        <v>2604</v>
      </c>
      <c r="S211"/>
    </row>
    <row r="212" spans="1:20" x14ac:dyDescent="0.35">
      <c r="D212" t="s">
        <v>3167</v>
      </c>
      <c r="E212" t="s">
        <v>2367</v>
      </c>
      <c r="F212" t="s">
        <v>3148</v>
      </c>
      <c r="G212"/>
      <c r="H212" t="s">
        <v>3143</v>
      </c>
      <c r="I212" t="s">
        <v>1878</v>
      </c>
      <c r="J212" t="s">
        <v>36</v>
      </c>
      <c r="K212" t="s">
        <v>3</v>
      </c>
      <c r="L212" s="1" t="s">
        <v>3149</v>
      </c>
      <c r="M212" t="s">
        <v>3150</v>
      </c>
      <c r="N212" t="s">
        <v>12</v>
      </c>
      <c r="O212" t="s">
        <v>3150</v>
      </c>
      <c r="P212" t="s">
        <v>3151</v>
      </c>
      <c r="Q212" t="s">
        <v>3152</v>
      </c>
      <c r="R212" t="s">
        <v>2604</v>
      </c>
      <c r="S212"/>
    </row>
    <row r="213" spans="1:20" x14ac:dyDescent="0.35">
      <c r="E213"/>
      <c r="F213"/>
      <c r="G213"/>
      <c r="H213"/>
      <c r="I213"/>
      <c r="J213"/>
      <c r="K213"/>
      <c r="M213"/>
      <c r="N213"/>
      <c r="O213"/>
      <c r="P213"/>
      <c r="Q213"/>
      <c r="R213"/>
      <c r="S213"/>
    </row>
    <row r="214" spans="1:20" x14ac:dyDescent="0.35">
      <c r="A214" s="15"/>
      <c r="B214" s="15"/>
      <c r="C214" s="15"/>
      <c r="D214" s="15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spans="1:20" x14ac:dyDescent="0.35">
      <c r="G215" s="13"/>
      <c r="T215" s="1"/>
    </row>
    <row r="216" spans="1:20" x14ac:dyDescent="0.35">
      <c r="D216" t="s">
        <v>3168</v>
      </c>
      <c r="E216" s="1" t="s">
        <v>2304</v>
      </c>
      <c r="F216" s="1" t="s">
        <v>14</v>
      </c>
      <c r="H216" s="1" t="s">
        <v>15</v>
      </c>
      <c r="I216" s="1" t="s">
        <v>1878</v>
      </c>
      <c r="J216" s="1" t="s">
        <v>6</v>
      </c>
      <c r="K216" s="1" t="s">
        <v>3</v>
      </c>
      <c r="L216" s="1" t="s">
        <v>1879</v>
      </c>
      <c r="M216" s="1" t="s">
        <v>16</v>
      </c>
      <c r="N216" s="1" t="s">
        <v>12</v>
      </c>
      <c r="O216" s="1" t="s">
        <v>16</v>
      </c>
      <c r="P216" s="1" t="s">
        <v>17</v>
      </c>
      <c r="Q216" s="1" t="s">
        <v>2811</v>
      </c>
      <c r="R216" s="1" t="s">
        <v>2604</v>
      </c>
      <c r="T216" s="1"/>
    </row>
    <row r="217" spans="1:20" x14ac:dyDescent="0.35">
      <c r="D217" t="s">
        <v>3168</v>
      </c>
      <c r="E217" s="1" t="s">
        <v>2304</v>
      </c>
      <c r="F217" s="1" t="s">
        <v>22</v>
      </c>
      <c r="H217" s="1" t="s">
        <v>23</v>
      </c>
      <c r="I217" s="1" t="s">
        <v>1880</v>
      </c>
      <c r="J217" s="1" t="s">
        <v>6</v>
      </c>
      <c r="K217" s="1" t="s">
        <v>3</v>
      </c>
      <c r="L217" s="1" t="s">
        <v>1881</v>
      </c>
      <c r="M217" s="1" t="s">
        <v>24</v>
      </c>
      <c r="N217" s="1" t="s">
        <v>12</v>
      </c>
      <c r="O217" s="1" t="s">
        <v>24</v>
      </c>
      <c r="P217" s="1" t="s">
        <v>25</v>
      </c>
      <c r="Q217" s="1" t="s">
        <v>2810</v>
      </c>
      <c r="R217" s="1" t="s">
        <v>2604</v>
      </c>
      <c r="T217" s="1"/>
    </row>
    <row r="218" spans="1:20" x14ac:dyDescent="0.35">
      <c r="D218" t="s">
        <v>3168</v>
      </c>
      <c r="E218" s="1" t="s">
        <v>2304</v>
      </c>
      <c r="F218" s="1" t="s">
        <v>2812</v>
      </c>
      <c r="H218" s="1" t="s">
        <v>81</v>
      </c>
      <c r="I218" s="1" t="s">
        <v>2036</v>
      </c>
      <c r="J218" s="1" t="s">
        <v>1</v>
      </c>
      <c r="K218" s="1" t="s">
        <v>3</v>
      </c>
      <c r="L218" s="1" t="s">
        <v>2813</v>
      </c>
      <c r="M218" s="1" t="s">
        <v>2814</v>
      </c>
      <c r="N218" s="1" t="s">
        <v>12</v>
      </c>
      <c r="O218" s="1" t="s">
        <v>2814</v>
      </c>
      <c r="P218" s="1" t="s">
        <v>2815</v>
      </c>
      <c r="Q218" s="1" t="s">
        <v>2816</v>
      </c>
      <c r="R218" s="1" t="s">
        <v>2604</v>
      </c>
      <c r="T218" s="1"/>
    </row>
    <row r="219" spans="1:20" x14ac:dyDescent="0.35">
      <c r="D219" t="s">
        <v>3168</v>
      </c>
      <c r="E219" s="1" t="s">
        <v>953</v>
      </c>
      <c r="F219" s="1" t="s">
        <v>2817</v>
      </c>
      <c r="G219" s="13"/>
      <c r="H219" s="1" t="s">
        <v>81</v>
      </c>
      <c r="I219" s="1" t="s">
        <v>2036</v>
      </c>
      <c r="J219" s="1" t="s">
        <v>36</v>
      </c>
      <c r="K219" s="1" t="s">
        <v>3</v>
      </c>
      <c r="L219" s="1" t="s">
        <v>2825</v>
      </c>
      <c r="M219" s="1" t="s">
        <v>2826</v>
      </c>
      <c r="N219" s="1" t="s">
        <v>12</v>
      </c>
      <c r="O219" s="1" t="s">
        <v>2826</v>
      </c>
      <c r="P219" s="1" t="s">
        <v>2827</v>
      </c>
      <c r="Q219" s="1" t="s">
        <v>2828</v>
      </c>
      <c r="R219" s="1" t="s">
        <v>2604</v>
      </c>
      <c r="T219" s="1"/>
    </row>
    <row r="220" spans="1:20" x14ac:dyDescent="0.35">
      <c r="D220" t="s">
        <v>3168</v>
      </c>
      <c r="E220" s="1" t="s">
        <v>953</v>
      </c>
      <c r="F220" s="1" t="s">
        <v>80</v>
      </c>
      <c r="G220" s="13"/>
      <c r="H220" s="1" t="s">
        <v>81</v>
      </c>
      <c r="I220" s="1" t="s">
        <v>1878</v>
      </c>
      <c r="J220" s="1" t="s">
        <v>49</v>
      </c>
      <c r="K220" s="1" t="s">
        <v>3</v>
      </c>
      <c r="L220" s="1" t="s">
        <v>3159</v>
      </c>
      <c r="M220" s="1" t="s">
        <v>83</v>
      </c>
      <c r="N220" s="1" t="s">
        <v>12</v>
      </c>
      <c r="O220" s="1" t="s">
        <v>83</v>
      </c>
      <c r="P220" s="1" t="s">
        <v>84</v>
      </c>
      <c r="Q220" s="1" t="s">
        <v>3160</v>
      </c>
      <c r="R220" s="1" t="s">
        <v>2604</v>
      </c>
      <c r="T220" s="1"/>
    </row>
    <row r="221" spans="1:20" x14ac:dyDescent="0.35">
      <c r="D221" t="s">
        <v>3168</v>
      </c>
      <c r="E221" s="1" t="s">
        <v>953</v>
      </c>
      <c r="F221" s="1" t="s">
        <v>3161</v>
      </c>
      <c r="G221" s="13"/>
      <c r="H221" s="1" t="s">
        <v>3162</v>
      </c>
      <c r="I221" s="1" t="s">
        <v>327</v>
      </c>
      <c r="J221" s="1" t="s">
        <v>1</v>
      </c>
      <c r="K221" s="1" t="s">
        <v>3</v>
      </c>
      <c r="L221" s="1" t="s">
        <v>3163</v>
      </c>
      <c r="M221" s="1" t="s">
        <v>3164</v>
      </c>
      <c r="N221" s="1" t="s">
        <v>12</v>
      </c>
      <c r="O221" s="1" t="s">
        <v>3164</v>
      </c>
      <c r="P221" s="31" t="s">
        <v>3165</v>
      </c>
      <c r="Q221" s="31" t="s">
        <v>3166</v>
      </c>
      <c r="R221" s="1" t="s">
        <v>2604</v>
      </c>
      <c r="T221" s="1"/>
    </row>
    <row r="222" spans="1:20" s="15" customFormat="1" x14ac:dyDescent="0.35">
      <c r="A222"/>
      <c r="B222"/>
      <c r="C222"/>
      <c r="D222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5">
      <c r="A223" s="15"/>
      <c r="B223" s="15"/>
      <c r="C223" s="15"/>
      <c r="D223" s="15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</row>
    <row r="224" spans="1:20" x14ac:dyDescent="0.35">
      <c r="G224" s="13"/>
      <c r="T224" s="1"/>
    </row>
    <row r="225" spans="4:20" x14ac:dyDescent="0.35">
      <c r="D225" t="s">
        <v>2739</v>
      </c>
      <c r="E225" t="s">
        <v>2304</v>
      </c>
      <c r="F225" t="s">
        <v>3196</v>
      </c>
      <c r="G225" t="s">
        <v>2801</v>
      </c>
      <c r="H225" t="s">
        <v>3197</v>
      </c>
      <c r="I225" t="s">
        <v>920</v>
      </c>
      <c r="J225" t="s">
        <v>3199</v>
      </c>
      <c r="K225"/>
      <c r="L225" s="1" t="s">
        <v>3200</v>
      </c>
      <c r="M225" s="31" t="s">
        <v>3288</v>
      </c>
      <c r="N225" t="s">
        <v>3222</v>
      </c>
      <c r="O225"/>
      <c r="P225"/>
      <c r="Q225"/>
      <c r="R225"/>
      <c r="S225"/>
    </row>
    <row r="226" spans="4:20" x14ac:dyDescent="0.35">
      <c r="D226" t="s">
        <v>2739</v>
      </c>
      <c r="E226" t="s">
        <v>2304</v>
      </c>
      <c r="F226" t="s">
        <v>3195</v>
      </c>
      <c r="G226" t="s">
        <v>2801</v>
      </c>
      <c r="H226" t="s">
        <v>3198</v>
      </c>
      <c r="I226" t="s">
        <v>920</v>
      </c>
      <c r="J226" t="s">
        <v>424</v>
      </c>
      <c r="K226"/>
      <c r="L226" s="1" t="s">
        <v>3201</v>
      </c>
      <c r="M226" s="31" t="s">
        <v>3289</v>
      </c>
      <c r="N226" t="s">
        <v>3222</v>
      </c>
      <c r="O226"/>
      <c r="P226"/>
      <c r="Q226"/>
      <c r="R226"/>
      <c r="S226"/>
    </row>
    <row r="227" spans="4:20" x14ac:dyDescent="0.35">
      <c r="D227" t="s">
        <v>2739</v>
      </c>
      <c r="E227" t="s">
        <v>2304</v>
      </c>
      <c r="F227" s="1" t="s">
        <v>3207</v>
      </c>
      <c r="G227" t="s">
        <v>2801</v>
      </c>
      <c r="H227" t="s">
        <v>3208</v>
      </c>
      <c r="I227" t="s">
        <v>920</v>
      </c>
      <c r="J227" s="1" t="s">
        <v>3199</v>
      </c>
      <c r="L227" s="1" t="s">
        <v>3200</v>
      </c>
      <c r="M227" s="31" t="s">
        <v>3290</v>
      </c>
      <c r="N227" s="1" t="s">
        <v>3222</v>
      </c>
      <c r="T227" s="1"/>
    </row>
    <row r="228" spans="4:20" x14ac:dyDescent="0.35">
      <c r="D228" t="s">
        <v>2739</v>
      </c>
      <c r="E228" t="s">
        <v>2304</v>
      </c>
      <c r="F228" s="1" t="s">
        <v>3209</v>
      </c>
      <c r="G228" t="s">
        <v>2801</v>
      </c>
      <c r="H228" t="s">
        <v>3210</v>
      </c>
      <c r="I228" t="s">
        <v>920</v>
      </c>
      <c r="J228" s="1" t="s">
        <v>424</v>
      </c>
      <c r="L228" s="1" t="s">
        <v>3211</v>
      </c>
      <c r="M228" s="31" t="s">
        <v>3291</v>
      </c>
      <c r="N228" s="1" t="s">
        <v>3222</v>
      </c>
      <c r="T228" s="1"/>
    </row>
    <row r="229" spans="4:20" x14ac:dyDescent="0.35">
      <c r="D229" t="s">
        <v>2739</v>
      </c>
      <c r="E229" t="s">
        <v>2304</v>
      </c>
      <c r="F229" s="1" t="s">
        <v>3212</v>
      </c>
      <c r="G229" t="s">
        <v>2801</v>
      </c>
      <c r="H229" t="s">
        <v>3213</v>
      </c>
      <c r="I229" t="s">
        <v>920</v>
      </c>
      <c r="J229" s="1" t="s">
        <v>424</v>
      </c>
      <c r="L229" s="1" t="s">
        <v>3214</v>
      </c>
      <c r="M229" s="31" t="s">
        <v>3292</v>
      </c>
      <c r="N229" s="1" t="s">
        <v>3222</v>
      </c>
      <c r="T229" s="1"/>
    </row>
    <row r="230" spans="4:20" x14ac:dyDescent="0.35">
      <c r="D230" t="s">
        <v>2739</v>
      </c>
      <c r="E230" t="s">
        <v>2304</v>
      </c>
      <c r="F230" s="1" t="s">
        <v>3215</v>
      </c>
      <c r="G230" t="s">
        <v>2801</v>
      </c>
      <c r="H230" t="s">
        <v>3216</v>
      </c>
      <c r="I230" t="s">
        <v>920</v>
      </c>
      <c r="J230" s="1" t="s">
        <v>424</v>
      </c>
      <c r="L230" s="1" t="s">
        <v>3217</v>
      </c>
      <c r="M230" s="31" t="s">
        <v>3293</v>
      </c>
      <c r="N230" s="1" t="s">
        <v>3222</v>
      </c>
      <c r="T230" s="1"/>
    </row>
    <row r="231" spans="4:20" x14ac:dyDescent="0.35">
      <c r="D231" t="s">
        <v>2739</v>
      </c>
      <c r="E231" t="s">
        <v>2304</v>
      </c>
      <c r="F231" s="1" t="s">
        <v>3218</v>
      </c>
      <c r="G231" t="s">
        <v>2801</v>
      </c>
      <c r="H231" s="1" t="s">
        <v>3219</v>
      </c>
      <c r="I231" t="s">
        <v>920</v>
      </c>
      <c r="J231" s="1" t="s">
        <v>424</v>
      </c>
      <c r="L231" s="1" t="s">
        <v>3220</v>
      </c>
      <c r="M231" s="31" t="s">
        <v>3294</v>
      </c>
      <c r="N231" s="1" t="s">
        <v>3222</v>
      </c>
      <c r="T231" s="1"/>
    </row>
    <row r="232" spans="4:20" x14ac:dyDescent="0.35">
      <c r="D232" t="s">
        <v>2739</v>
      </c>
      <c r="E232" t="s">
        <v>2304</v>
      </c>
      <c r="F232" t="s">
        <v>3295</v>
      </c>
      <c r="G232" t="s">
        <v>2801</v>
      </c>
      <c r="H232" s="1" t="s">
        <v>3311</v>
      </c>
      <c r="I232" t="s">
        <v>920</v>
      </c>
      <c r="J232" s="1" t="s">
        <v>424</v>
      </c>
      <c r="L232" s="1" t="s">
        <v>3296</v>
      </c>
      <c r="M232" s="31" t="s">
        <v>3299</v>
      </c>
      <c r="N232" s="1" t="s">
        <v>3222</v>
      </c>
      <c r="T232" s="1"/>
    </row>
    <row r="233" spans="4:20" x14ac:dyDescent="0.35">
      <c r="D233" t="s">
        <v>2739</v>
      </c>
      <c r="E233" t="s">
        <v>2304</v>
      </c>
      <c r="F233" t="s">
        <v>3297</v>
      </c>
      <c r="G233" t="s">
        <v>2801</v>
      </c>
      <c r="H233" s="1" t="s">
        <v>3312</v>
      </c>
      <c r="I233" t="s">
        <v>920</v>
      </c>
      <c r="J233" s="1" t="s">
        <v>424</v>
      </c>
      <c r="L233" s="1" t="s">
        <v>3298</v>
      </c>
      <c r="M233" s="31" t="s">
        <v>3300</v>
      </c>
      <c r="N233" s="1" t="s">
        <v>3222</v>
      </c>
      <c r="T233" s="1"/>
    </row>
    <row r="234" spans="4:20" x14ac:dyDescent="0.35">
      <c r="D234" t="s">
        <v>2739</v>
      </c>
      <c r="E234" t="s">
        <v>2304</v>
      </c>
      <c r="F234" t="s">
        <v>3301</v>
      </c>
      <c r="G234" t="s">
        <v>2802</v>
      </c>
      <c r="H234" s="1" t="s">
        <v>3313</v>
      </c>
      <c r="I234" t="s">
        <v>920</v>
      </c>
      <c r="J234" s="1" t="s">
        <v>424</v>
      </c>
      <c r="L234" s="1" t="s">
        <v>3302</v>
      </c>
      <c r="M234" s="31" t="s">
        <v>3303</v>
      </c>
      <c r="N234" s="1" t="s">
        <v>3222</v>
      </c>
      <c r="T234" s="1"/>
    </row>
    <row r="235" spans="4:20" x14ac:dyDescent="0.35">
      <c r="D235" t="s">
        <v>2739</v>
      </c>
      <c r="E235" t="s">
        <v>2304</v>
      </c>
      <c r="F235" t="s">
        <v>3304</v>
      </c>
      <c r="G235" t="s">
        <v>2803</v>
      </c>
      <c r="H235" s="1" t="s">
        <v>3314</v>
      </c>
      <c r="I235" t="s">
        <v>920</v>
      </c>
      <c r="J235" s="1" t="s">
        <v>424</v>
      </c>
      <c r="L235" s="1" t="s">
        <v>3305</v>
      </c>
      <c r="M235" s="31" t="s">
        <v>3306</v>
      </c>
      <c r="N235" s="1" t="s">
        <v>3222</v>
      </c>
      <c r="T235" s="1"/>
    </row>
    <row r="236" spans="4:20" x14ac:dyDescent="0.35">
      <c r="D236" t="s">
        <v>2739</v>
      </c>
      <c r="E236" t="s">
        <v>2304</v>
      </c>
      <c r="F236" t="s">
        <v>3307</v>
      </c>
      <c r="G236" t="s">
        <v>2801</v>
      </c>
      <c r="H236" s="1" t="s">
        <v>3315</v>
      </c>
      <c r="I236" t="s">
        <v>1642</v>
      </c>
      <c r="J236" s="1" t="s">
        <v>424</v>
      </c>
      <c r="L236" s="1" t="s">
        <v>3308</v>
      </c>
      <c r="M236" s="31" t="s">
        <v>3309</v>
      </c>
      <c r="N236" s="1" t="s">
        <v>1157</v>
      </c>
      <c r="T236" s="1"/>
    </row>
    <row r="237" spans="4:20" x14ac:dyDescent="0.35">
      <c r="D237" t="s">
        <v>2739</v>
      </c>
      <c r="E237" t="s">
        <v>2304</v>
      </c>
      <c r="F237" t="s">
        <v>3310</v>
      </c>
      <c r="G237" t="s">
        <v>2801</v>
      </c>
      <c r="H237" s="1" t="s">
        <v>3316</v>
      </c>
      <c r="I237" s="1" t="s">
        <v>327</v>
      </c>
      <c r="J237" s="1" t="s">
        <v>424</v>
      </c>
      <c r="L237" s="1" t="s">
        <v>3317</v>
      </c>
      <c r="M237" s="31" t="s">
        <v>3318</v>
      </c>
      <c r="N237" s="1" t="s">
        <v>1157</v>
      </c>
      <c r="T237" s="1"/>
    </row>
    <row r="238" spans="4:20" x14ac:dyDescent="0.35">
      <c r="D238" t="s">
        <v>2739</v>
      </c>
      <c r="E238" t="s">
        <v>2304</v>
      </c>
      <c r="F238" t="s">
        <v>3319</v>
      </c>
      <c r="G238" t="s">
        <v>2801</v>
      </c>
      <c r="H238" s="1" t="s">
        <v>3320</v>
      </c>
      <c r="I238" s="1" t="s">
        <v>1642</v>
      </c>
      <c r="J238" s="1" t="s">
        <v>424</v>
      </c>
      <c r="L238" s="1" t="s">
        <v>3308</v>
      </c>
      <c r="M238" s="31" t="s">
        <v>3321</v>
      </c>
      <c r="N238" s="1" t="s">
        <v>1157</v>
      </c>
      <c r="T238" s="1"/>
    </row>
    <row r="239" spans="4:20" x14ac:dyDescent="0.35">
      <c r="D239" t="s">
        <v>2739</v>
      </c>
      <c r="E239" t="s">
        <v>2304</v>
      </c>
      <c r="F239" t="s">
        <v>3322</v>
      </c>
      <c r="G239" t="s">
        <v>2801</v>
      </c>
      <c r="H239" s="1" t="s">
        <v>3323</v>
      </c>
      <c r="I239" s="1" t="s">
        <v>327</v>
      </c>
      <c r="J239" s="1" t="s">
        <v>424</v>
      </c>
      <c r="L239" s="1" t="s">
        <v>3324</v>
      </c>
      <c r="M239" s="31" t="s">
        <v>3325</v>
      </c>
      <c r="N239" s="1" t="s">
        <v>1157</v>
      </c>
      <c r="T239" s="1"/>
    </row>
    <row r="240" spans="4:20" x14ac:dyDescent="0.35">
      <c r="E240" t="s">
        <v>2304</v>
      </c>
      <c r="G240"/>
      <c r="T240" s="1"/>
    </row>
    <row r="241" spans="4:20" x14ac:dyDescent="0.35">
      <c r="D241" t="s">
        <v>2739</v>
      </c>
      <c r="E241" t="s">
        <v>2304</v>
      </c>
      <c r="F241" t="s">
        <v>3332</v>
      </c>
      <c r="G241" t="s">
        <v>2801</v>
      </c>
      <c r="H241" t="s">
        <v>3355</v>
      </c>
      <c r="I241" s="1" t="s">
        <v>920</v>
      </c>
      <c r="J241" s="1" t="s">
        <v>424</v>
      </c>
      <c r="L241" s="1" t="s">
        <v>3354</v>
      </c>
      <c r="M241" s="1" t="s">
        <v>3356</v>
      </c>
      <c r="N241" s="1" t="s">
        <v>3222</v>
      </c>
      <c r="T241" s="1"/>
    </row>
    <row r="242" spans="4:20" x14ac:dyDescent="0.35">
      <c r="D242" t="s">
        <v>2739</v>
      </c>
      <c r="E242" t="s">
        <v>2304</v>
      </c>
      <c r="F242" t="s">
        <v>3334</v>
      </c>
      <c r="G242" t="s">
        <v>2802</v>
      </c>
      <c r="H242" t="s">
        <v>3348</v>
      </c>
      <c r="I242" s="1" t="s">
        <v>920</v>
      </c>
      <c r="J242" s="1" t="s">
        <v>424</v>
      </c>
      <c r="L242" s="1" t="s">
        <v>3351</v>
      </c>
      <c r="M242" s="1" t="s">
        <v>3357</v>
      </c>
      <c r="N242" s="1" t="s">
        <v>3222</v>
      </c>
      <c r="T242" s="1"/>
    </row>
    <row r="243" spans="4:20" x14ac:dyDescent="0.35">
      <c r="D243" t="s">
        <v>2739</v>
      </c>
      <c r="E243" t="s">
        <v>2304</v>
      </c>
      <c r="F243" t="s">
        <v>3333</v>
      </c>
      <c r="G243" t="s">
        <v>2803</v>
      </c>
      <c r="H243" t="s">
        <v>3349</v>
      </c>
      <c r="I243" s="1" t="s">
        <v>920</v>
      </c>
      <c r="J243" s="1" t="s">
        <v>424</v>
      </c>
      <c r="L243" s="1" t="s">
        <v>3352</v>
      </c>
      <c r="M243" s="1" t="s">
        <v>3358</v>
      </c>
      <c r="N243" s="1" t="s">
        <v>3222</v>
      </c>
      <c r="T243" s="1"/>
    </row>
    <row r="244" spans="4:20" x14ac:dyDescent="0.35">
      <c r="D244" t="s">
        <v>2739</v>
      </c>
      <c r="E244" t="s">
        <v>2304</v>
      </c>
      <c r="F244" t="s">
        <v>3335</v>
      </c>
      <c r="G244" t="s">
        <v>2804</v>
      </c>
      <c r="H244" t="s">
        <v>3350</v>
      </c>
      <c r="I244" s="1" t="s">
        <v>920</v>
      </c>
      <c r="J244" s="1" t="s">
        <v>424</v>
      </c>
      <c r="L244" s="1" t="s">
        <v>3353</v>
      </c>
      <c r="M244" s="1" t="s">
        <v>3359</v>
      </c>
      <c r="N244" s="1" t="s">
        <v>3222</v>
      </c>
      <c r="T244" s="1"/>
    </row>
    <row r="245" spans="4:20" x14ac:dyDescent="0.35">
      <c r="D245" t="s">
        <v>2739</v>
      </c>
      <c r="E245" t="s">
        <v>2304</v>
      </c>
      <c r="F245" t="s">
        <v>3336</v>
      </c>
      <c r="G245" t="s">
        <v>2801</v>
      </c>
      <c r="H245" t="s">
        <v>3365</v>
      </c>
      <c r="I245" s="1" t="s">
        <v>920</v>
      </c>
      <c r="J245" s="1" t="s">
        <v>424</v>
      </c>
      <c r="L245" s="1" t="s">
        <v>3370</v>
      </c>
      <c r="M245" s="1" t="s">
        <v>3375</v>
      </c>
      <c r="N245" s="1" t="s">
        <v>3222</v>
      </c>
      <c r="T245" s="1"/>
    </row>
    <row r="246" spans="4:20" x14ac:dyDescent="0.35">
      <c r="D246" t="s">
        <v>2739</v>
      </c>
      <c r="E246" t="s">
        <v>2304</v>
      </c>
      <c r="F246" t="s">
        <v>3337</v>
      </c>
      <c r="G246" t="s">
        <v>2802</v>
      </c>
      <c r="H246" t="s">
        <v>3366</v>
      </c>
      <c r="I246" s="1" t="s">
        <v>919</v>
      </c>
      <c r="J246" s="1" t="s">
        <v>424</v>
      </c>
      <c r="L246" s="1" t="s">
        <v>3371</v>
      </c>
      <c r="M246" s="1" t="s">
        <v>3376</v>
      </c>
      <c r="N246" s="1" t="s">
        <v>3222</v>
      </c>
      <c r="T246" s="1"/>
    </row>
    <row r="247" spans="4:20" x14ac:dyDescent="0.35">
      <c r="D247" t="s">
        <v>2739</v>
      </c>
      <c r="E247" t="s">
        <v>2304</v>
      </c>
      <c r="F247" t="s">
        <v>3338</v>
      </c>
      <c r="G247" t="s">
        <v>2802</v>
      </c>
      <c r="H247" t="s">
        <v>3368</v>
      </c>
      <c r="I247" s="1" t="s">
        <v>920</v>
      </c>
      <c r="J247" s="1" t="s">
        <v>424</v>
      </c>
      <c r="L247" s="1" t="s">
        <v>3372</v>
      </c>
      <c r="M247" s="1" t="s">
        <v>3377</v>
      </c>
      <c r="N247" s="1" t="s">
        <v>3222</v>
      </c>
      <c r="T247" s="1"/>
    </row>
    <row r="248" spans="4:20" x14ac:dyDescent="0.35">
      <c r="D248" t="s">
        <v>2739</v>
      </c>
      <c r="E248" t="s">
        <v>2304</v>
      </c>
      <c r="F248" t="s">
        <v>3339</v>
      </c>
      <c r="G248" t="s">
        <v>2803</v>
      </c>
      <c r="H248" t="s">
        <v>3367</v>
      </c>
      <c r="I248" s="1" t="s">
        <v>920</v>
      </c>
      <c r="J248" s="1" t="s">
        <v>424</v>
      </c>
      <c r="L248" s="1" t="s">
        <v>3373</v>
      </c>
      <c r="M248" s="1" t="s">
        <v>3378</v>
      </c>
      <c r="N248" s="1" t="s">
        <v>3222</v>
      </c>
      <c r="T248" s="1"/>
    </row>
    <row r="249" spans="4:20" x14ac:dyDescent="0.35">
      <c r="D249" t="s">
        <v>2739</v>
      </c>
      <c r="E249" t="s">
        <v>2304</v>
      </c>
      <c r="F249" t="s">
        <v>3340</v>
      </c>
      <c r="G249" t="s">
        <v>2804</v>
      </c>
      <c r="H249" t="s">
        <v>3369</v>
      </c>
      <c r="I249" s="1" t="s">
        <v>327</v>
      </c>
      <c r="J249" s="1" t="s">
        <v>424</v>
      </c>
      <c r="L249" s="1" t="s">
        <v>3374</v>
      </c>
      <c r="M249" s="1" t="s">
        <v>3379</v>
      </c>
      <c r="N249" s="1" t="s">
        <v>1157</v>
      </c>
      <c r="Q249" s="1" t="s">
        <v>3380</v>
      </c>
      <c r="R249" s="1" t="s">
        <v>98</v>
      </c>
      <c r="S249" s="1" t="s">
        <v>3381</v>
      </c>
      <c r="T249" s="1"/>
    </row>
    <row r="250" spans="4:20" x14ac:dyDescent="0.35">
      <c r="D250" t="s">
        <v>2739</v>
      </c>
      <c r="E250" t="s">
        <v>2304</v>
      </c>
      <c r="F250" t="s">
        <v>3341</v>
      </c>
      <c r="G250" t="s">
        <v>2801</v>
      </c>
      <c r="H250" t="s">
        <v>3383</v>
      </c>
      <c r="I250" s="1" t="s">
        <v>920</v>
      </c>
      <c r="J250" s="1" t="s">
        <v>424</v>
      </c>
      <c r="L250" s="1" t="s">
        <v>3387</v>
      </c>
      <c r="M250" s="1" t="s">
        <v>3389</v>
      </c>
      <c r="N250" s="1" t="s">
        <v>3222</v>
      </c>
      <c r="T250" s="1"/>
    </row>
    <row r="251" spans="4:20" x14ac:dyDescent="0.35">
      <c r="D251" t="s">
        <v>2739</v>
      </c>
      <c r="E251" t="s">
        <v>2304</v>
      </c>
      <c r="F251" t="s">
        <v>3342</v>
      </c>
      <c r="G251" t="s">
        <v>2802</v>
      </c>
      <c r="H251" t="s">
        <v>3384</v>
      </c>
      <c r="I251" s="1" t="s">
        <v>920</v>
      </c>
      <c r="J251" s="1" t="s">
        <v>424</v>
      </c>
      <c r="L251" s="1" t="s">
        <v>3388</v>
      </c>
      <c r="M251" s="1" t="s">
        <v>3390</v>
      </c>
      <c r="N251" s="1" t="s">
        <v>3222</v>
      </c>
      <c r="T251" s="1"/>
    </row>
    <row r="252" spans="4:20" x14ac:dyDescent="0.35">
      <c r="D252" t="s">
        <v>2739</v>
      </c>
      <c r="E252" t="s">
        <v>2304</v>
      </c>
      <c r="F252" t="s">
        <v>3343</v>
      </c>
      <c r="G252" t="s">
        <v>2803</v>
      </c>
      <c r="H252" t="s">
        <v>3385</v>
      </c>
      <c r="I252" s="1" t="s">
        <v>920</v>
      </c>
      <c r="J252" s="1" t="s">
        <v>424</v>
      </c>
      <c r="L252" s="1" t="s">
        <v>3373</v>
      </c>
      <c r="M252" s="1" t="s">
        <v>3391</v>
      </c>
      <c r="N252" s="1" t="s">
        <v>3222</v>
      </c>
      <c r="T252" s="1"/>
    </row>
    <row r="253" spans="4:20" x14ac:dyDescent="0.35">
      <c r="D253" t="s">
        <v>2739</v>
      </c>
      <c r="E253" t="s">
        <v>2304</v>
      </c>
      <c r="F253" t="s">
        <v>3344</v>
      </c>
      <c r="G253" t="s">
        <v>2804</v>
      </c>
      <c r="H253" t="s">
        <v>3386</v>
      </c>
      <c r="I253" s="1" t="s">
        <v>327</v>
      </c>
      <c r="J253" s="1" t="s">
        <v>424</v>
      </c>
      <c r="L253" s="1" t="s">
        <v>3374</v>
      </c>
      <c r="M253" s="1" t="s">
        <v>3392</v>
      </c>
      <c r="N253" s="1" t="s">
        <v>1157</v>
      </c>
      <c r="Q253" s="1" t="s">
        <v>3380</v>
      </c>
      <c r="R253" s="1" t="s">
        <v>98</v>
      </c>
      <c r="S253" s="1" t="s">
        <v>3381</v>
      </c>
      <c r="T253" s="1"/>
    </row>
    <row r="254" spans="4:20" x14ac:dyDescent="0.35">
      <c r="D254" t="s">
        <v>2739</v>
      </c>
      <c r="E254" t="s">
        <v>2304</v>
      </c>
      <c r="F254" t="s">
        <v>3345</v>
      </c>
      <c r="G254" t="s">
        <v>2801</v>
      </c>
      <c r="H254" t="s">
        <v>3393</v>
      </c>
      <c r="I254" s="1" t="s">
        <v>920</v>
      </c>
      <c r="J254" s="1" t="s">
        <v>424</v>
      </c>
      <c r="L254" s="1" t="s">
        <v>3396</v>
      </c>
      <c r="M254" s="1" t="s">
        <v>3397</v>
      </c>
      <c r="N254" s="1" t="s">
        <v>3222</v>
      </c>
      <c r="T254" s="1"/>
    </row>
    <row r="255" spans="4:20" x14ac:dyDescent="0.35">
      <c r="D255" t="s">
        <v>2739</v>
      </c>
      <c r="E255" t="s">
        <v>2304</v>
      </c>
      <c r="F255" t="s">
        <v>3346</v>
      </c>
      <c r="G255" t="s">
        <v>2802</v>
      </c>
      <c r="H255" t="s">
        <v>3394</v>
      </c>
      <c r="I255" s="1" t="s">
        <v>920</v>
      </c>
      <c r="J255" s="1" t="s">
        <v>424</v>
      </c>
      <c r="L255" s="1" t="s">
        <v>3373</v>
      </c>
      <c r="M255" s="1" t="s">
        <v>3398</v>
      </c>
      <c r="N255" s="1" t="s">
        <v>3222</v>
      </c>
      <c r="T255" s="1"/>
    </row>
    <row r="256" spans="4:20" x14ac:dyDescent="0.35">
      <c r="D256" t="s">
        <v>2739</v>
      </c>
      <c r="E256" t="s">
        <v>2304</v>
      </c>
      <c r="F256" t="s">
        <v>3347</v>
      </c>
      <c r="G256" t="s">
        <v>2803</v>
      </c>
      <c r="H256" t="s">
        <v>3395</v>
      </c>
      <c r="I256" s="1" t="s">
        <v>327</v>
      </c>
      <c r="J256" s="1" t="s">
        <v>424</v>
      </c>
      <c r="L256" s="1" t="s">
        <v>3374</v>
      </c>
      <c r="M256" s="1" t="s">
        <v>3399</v>
      </c>
      <c r="N256" s="1" t="s">
        <v>1157</v>
      </c>
      <c r="Q256" s="1" t="s">
        <v>3380</v>
      </c>
      <c r="R256" s="1" t="s">
        <v>98</v>
      </c>
      <c r="S256" s="1" t="s">
        <v>3381</v>
      </c>
      <c r="T256" s="1"/>
    </row>
    <row r="257" spans="4:20" x14ac:dyDescent="0.35">
      <c r="F257"/>
      <c r="G257"/>
      <c r="H257"/>
      <c r="T257" s="1"/>
    </row>
    <row r="258" spans="4:20" x14ac:dyDescent="0.35">
      <c r="D258" t="s">
        <v>2739</v>
      </c>
      <c r="E258" t="s">
        <v>2304</v>
      </c>
      <c r="F258" t="s">
        <v>3400</v>
      </c>
      <c r="G258" t="s">
        <v>2801</v>
      </c>
      <c r="H258" t="s">
        <v>3413</v>
      </c>
      <c r="I258" s="1" t="s">
        <v>919</v>
      </c>
      <c r="J258" s="1" t="s">
        <v>424</v>
      </c>
      <c r="L258" s="1" t="s">
        <v>3432</v>
      </c>
      <c r="M258" s="31" t="s">
        <v>3436</v>
      </c>
      <c r="N258" s="1" t="s">
        <v>3222</v>
      </c>
      <c r="T258" s="1"/>
    </row>
    <row r="259" spans="4:20" x14ac:dyDescent="0.35">
      <c r="D259" t="s">
        <v>2739</v>
      </c>
      <c r="E259" t="s">
        <v>2304</v>
      </c>
      <c r="F259" t="s">
        <v>3401</v>
      </c>
      <c r="G259" t="s">
        <v>2801</v>
      </c>
      <c r="H259" t="s">
        <v>3414</v>
      </c>
      <c r="I259" s="1" t="s">
        <v>920</v>
      </c>
      <c r="J259" s="1" t="s">
        <v>424</v>
      </c>
      <c r="L259" s="1" t="s">
        <v>3433</v>
      </c>
      <c r="M259" s="31" t="s">
        <v>3437</v>
      </c>
      <c r="N259" s="1" t="s">
        <v>3222</v>
      </c>
      <c r="T259" s="1"/>
    </row>
    <row r="260" spans="4:20" x14ac:dyDescent="0.35">
      <c r="D260" t="s">
        <v>2739</v>
      </c>
      <c r="E260" t="s">
        <v>2304</v>
      </c>
      <c r="F260" t="s">
        <v>3402</v>
      </c>
      <c r="G260" t="s">
        <v>2801</v>
      </c>
      <c r="H260" t="s">
        <v>3415</v>
      </c>
      <c r="I260" s="1" t="s">
        <v>920</v>
      </c>
      <c r="J260" s="1" t="s">
        <v>424</v>
      </c>
      <c r="L260" s="1" t="s">
        <v>3387</v>
      </c>
      <c r="M260" s="31" t="s">
        <v>3438</v>
      </c>
      <c r="N260" s="1" t="s">
        <v>3222</v>
      </c>
      <c r="T260" s="1"/>
    </row>
    <row r="261" spans="4:20" x14ac:dyDescent="0.35">
      <c r="D261" t="s">
        <v>2739</v>
      </c>
      <c r="E261" t="s">
        <v>2304</v>
      </c>
      <c r="F261" t="s">
        <v>3403</v>
      </c>
      <c r="G261" t="s">
        <v>2802</v>
      </c>
      <c r="H261" t="s">
        <v>3416</v>
      </c>
      <c r="I261" s="1" t="s">
        <v>327</v>
      </c>
      <c r="J261" s="1" t="s">
        <v>424</v>
      </c>
      <c r="L261" s="1" t="s">
        <v>3434</v>
      </c>
      <c r="M261" s="31" t="s">
        <v>3439</v>
      </c>
      <c r="N261" s="1" t="s">
        <v>1157</v>
      </c>
      <c r="T261" s="1"/>
    </row>
    <row r="262" spans="4:20" x14ac:dyDescent="0.35">
      <c r="D262" t="s">
        <v>2739</v>
      </c>
      <c r="E262" t="s">
        <v>2304</v>
      </c>
      <c r="F262" t="s">
        <v>3404</v>
      </c>
      <c r="G262" t="s">
        <v>2801</v>
      </c>
      <c r="H262" t="s">
        <v>3417</v>
      </c>
      <c r="I262" s="1" t="s">
        <v>920</v>
      </c>
      <c r="J262" s="1" t="s">
        <v>424</v>
      </c>
      <c r="L262" s="1" t="s">
        <v>3387</v>
      </c>
      <c r="M262" s="31" t="s">
        <v>3440</v>
      </c>
      <c r="N262" s="1" t="s">
        <v>3222</v>
      </c>
      <c r="T262" s="1"/>
    </row>
    <row r="263" spans="4:20" x14ac:dyDescent="0.35">
      <c r="D263" t="s">
        <v>2739</v>
      </c>
      <c r="E263" t="s">
        <v>2304</v>
      </c>
      <c r="F263" t="s">
        <v>3405</v>
      </c>
      <c r="G263" t="s">
        <v>2802</v>
      </c>
      <c r="H263" t="s">
        <v>3418</v>
      </c>
      <c r="I263" s="1" t="s">
        <v>327</v>
      </c>
      <c r="J263" s="1" t="s">
        <v>424</v>
      </c>
      <c r="L263" s="1" t="s">
        <v>3435</v>
      </c>
      <c r="M263" s="31" t="s">
        <v>3441</v>
      </c>
      <c r="N263" s="1" t="s">
        <v>1157</v>
      </c>
      <c r="T263" s="1"/>
    </row>
    <row r="264" spans="4:20" x14ac:dyDescent="0.35">
      <c r="G264"/>
      <c r="T264" s="1"/>
    </row>
    <row r="265" spans="4:20" ht="15.5" customHeight="1" x14ac:dyDescent="0.35">
      <c r="D265" t="s">
        <v>2739</v>
      </c>
      <c r="E265" s="1" t="s">
        <v>953</v>
      </c>
      <c r="F265" s="1" t="s">
        <v>2780</v>
      </c>
      <c r="G265" s="1" t="s">
        <v>2801</v>
      </c>
      <c r="H265" s="1" t="s">
        <v>2781</v>
      </c>
      <c r="I265" s="1" t="s">
        <v>2203</v>
      </c>
      <c r="J265" s="1" t="s">
        <v>2789</v>
      </c>
      <c r="L265" s="1" t="s">
        <v>2785</v>
      </c>
      <c r="Q265" s="1" t="s">
        <v>2782</v>
      </c>
      <c r="R265" s="1" t="s">
        <v>271</v>
      </c>
      <c r="S265" s="1" t="s">
        <v>3186</v>
      </c>
      <c r="T265" s="1"/>
    </row>
    <row r="266" spans="4:20" x14ac:dyDescent="0.35">
      <c r="D266" t="s">
        <v>2739</v>
      </c>
      <c r="E266" s="1" t="s">
        <v>953</v>
      </c>
      <c r="F266" s="1" t="s">
        <v>2783</v>
      </c>
      <c r="G266" s="1" t="s">
        <v>2802</v>
      </c>
      <c r="H266" s="1" t="s">
        <v>2792</v>
      </c>
      <c r="I266" s="1" t="s">
        <v>3173</v>
      </c>
      <c r="J266" s="1" t="s">
        <v>2789</v>
      </c>
      <c r="L266" s="1" t="s">
        <v>2786</v>
      </c>
      <c r="M266" s="1" t="s">
        <v>2787</v>
      </c>
      <c r="N266" s="1" t="s">
        <v>271</v>
      </c>
      <c r="Q266" s="1" t="s">
        <v>2788</v>
      </c>
      <c r="R266" s="1" t="s">
        <v>271</v>
      </c>
      <c r="S266" s="1" t="s">
        <v>3170</v>
      </c>
      <c r="T266" s="1"/>
    </row>
    <row r="267" spans="4:20" x14ac:dyDescent="0.35">
      <c r="D267" t="s">
        <v>2739</v>
      </c>
      <c r="E267" s="1" t="s">
        <v>953</v>
      </c>
      <c r="F267" s="1" t="s">
        <v>2784</v>
      </c>
      <c r="G267" t="s">
        <v>2801</v>
      </c>
      <c r="H267" s="1" t="s">
        <v>2791</v>
      </c>
      <c r="I267" s="1" t="s">
        <v>3173</v>
      </c>
      <c r="J267" s="1" t="s">
        <v>2789</v>
      </c>
      <c r="L267" s="1" t="s">
        <v>2786</v>
      </c>
      <c r="M267" s="1" t="s">
        <v>2790</v>
      </c>
      <c r="N267" t="s">
        <v>271</v>
      </c>
      <c r="Q267" s="1" t="s">
        <v>2788</v>
      </c>
      <c r="R267" s="1" t="s">
        <v>271</v>
      </c>
      <c r="S267" s="1" t="s">
        <v>3169</v>
      </c>
      <c r="T267" s="1"/>
    </row>
    <row r="268" spans="4:20" x14ac:dyDescent="0.35">
      <c r="G268"/>
      <c r="N268"/>
      <c r="T268" s="1"/>
    </row>
    <row r="269" spans="4:20" x14ac:dyDescent="0.35">
      <c r="F269" s="1" t="s">
        <v>3174</v>
      </c>
      <c r="G269" t="s">
        <v>2801</v>
      </c>
      <c r="N269"/>
      <c r="T269" s="1"/>
    </row>
    <row r="270" spans="4:20" x14ac:dyDescent="0.35">
      <c r="F270" s="1" t="s">
        <v>3175</v>
      </c>
      <c r="G270" t="s">
        <v>2801</v>
      </c>
      <c r="N270"/>
      <c r="T270" s="1"/>
    </row>
    <row r="271" spans="4:20" x14ac:dyDescent="0.35">
      <c r="G271"/>
      <c r="N271"/>
      <c r="T271" s="1"/>
    </row>
    <row r="272" spans="4:20" x14ac:dyDescent="0.35">
      <c r="D272" t="s">
        <v>2739</v>
      </c>
      <c r="E272" s="1" t="s">
        <v>953</v>
      </c>
      <c r="F272" s="1" t="s">
        <v>2793</v>
      </c>
      <c r="G272" t="s">
        <v>2801</v>
      </c>
      <c r="H272" s="1" t="s">
        <v>2798</v>
      </c>
      <c r="J272" s="1" t="s">
        <v>2789</v>
      </c>
      <c r="L272" s="1" t="s">
        <v>2796</v>
      </c>
      <c r="M272" s="1" t="s">
        <v>2797</v>
      </c>
      <c r="N272" t="s">
        <v>271</v>
      </c>
      <c r="T272" s="1"/>
    </row>
    <row r="273" spans="1:20" x14ac:dyDescent="0.35">
      <c r="D273" t="s">
        <v>2739</v>
      </c>
      <c r="E273" s="1" t="s">
        <v>953</v>
      </c>
      <c r="F273" s="1" t="s">
        <v>3172</v>
      </c>
      <c r="G273" t="s">
        <v>2801</v>
      </c>
      <c r="N273"/>
      <c r="T273" s="1"/>
    </row>
    <row r="274" spans="1:20" x14ac:dyDescent="0.35">
      <c r="G274"/>
      <c r="N274"/>
      <c r="T274" s="1"/>
    </row>
    <row r="275" spans="1:20" x14ac:dyDescent="0.35">
      <c r="F275" s="1" t="s">
        <v>3174</v>
      </c>
      <c r="G275" t="s">
        <v>2801</v>
      </c>
      <c r="N275"/>
      <c r="T275" s="1"/>
    </row>
    <row r="276" spans="1:20" x14ac:dyDescent="0.35">
      <c r="F276" s="1" t="s">
        <v>3175</v>
      </c>
      <c r="G276" t="s">
        <v>2801</v>
      </c>
      <c r="N276"/>
      <c r="T276" s="1"/>
    </row>
    <row r="277" spans="1:20" s="15" customFormat="1" x14ac:dyDescent="0.35">
      <c r="A277"/>
      <c r="B277"/>
      <c r="C277"/>
      <c r="D277"/>
      <c r="E277" s="1"/>
      <c r="F277" s="1"/>
      <c r="G27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5">
      <c r="A278" s="15"/>
      <c r="B278" s="15"/>
      <c r="C278" s="15"/>
      <c r="D278" s="15"/>
      <c r="E278" s="20"/>
      <c r="F278" s="20"/>
      <c r="G278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</row>
    <row r="279" spans="1:20" x14ac:dyDescent="0.35">
      <c r="G279"/>
      <c r="T279" s="1"/>
    </row>
    <row r="280" spans="1:20" x14ac:dyDescent="0.35">
      <c r="E280" s="1" t="s">
        <v>2603</v>
      </c>
      <c r="F280" s="1" t="s">
        <v>2183</v>
      </c>
      <c r="G280" t="s">
        <v>2802</v>
      </c>
      <c r="H280" s="1" t="s">
        <v>2168</v>
      </c>
      <c r="I280" s="1" t="s">
        <v>2186</v>
      </c>
      <c r="J280" s="1" t="s">
        <v>2198</v>
      </c>
      <c r="L280" s="1" t="s">
        <v>2184</v>
      </c>
      <c r="T280" s="1"/>
    </row>
    <row r="281" spans="1:20" x14ac:dyDescent="0.35">
      <c r="E281" s="1" t="s">
        <v>953</v>
      </c>
      <c r="F281" t="s">
        <v>2167</v>
      </c>
      <c r="G281" s="1" t="s">
        <v>136</v>
      </c>
      <c r="H281" s="1" t="s">
        <v>2168</v>
      </c>
      <c r="I281" s="1" t="s">
        <v>2242</v>
      </c>
      <c r="J281" s="1" t="s">
        <v>105</v>
      </c>
      <c r="L281" s="1" t="s">
        <v>2244</v>
      </c>
      <c r="M281" s="1" t="s">
        <v>2171</v>
      </c>
      <c r="N281" s="1" t="s">
        <v>12</v>
      </c>
      <c r="O281" s="1" t="s">
        <v>2171</v>
      </c>
      <c r="P281" s="1" t="s">
        <v>2711</v>
      </c>
      <c r="Q281" s="1" t="s">
        <v>2710</v>
      </c>
      <c r="R281" s="1" t="s">
        <v>2604</v>
      </c>
      <c r="S281" s="1" t="s">
        <v>2289</v>
      </c>
      <c r="T281" s="1"/>
    </row>
    <row r="282" spans="1:20" x14ac:dyDescent="0.35">
      <c r="E282" s="1" t="s">
        <v>2603</v>
      </c>
      <c r="F282" s="1" t="s">
        <v>2188</v>
      </c>
      <c r="G282" t="s">
        <v>2803</v>
      </c>
      <c r="H282" s="1" t="s">
        <v>2189</v>
      </c>
      <c r="I282" s="1" t="s">
        <v>2186</v>
      </c>
      <c r="J282" s="1" t="s">
        <v>2198</v>
      </c>
      <c r="L282" s="1" t="s">
        <v>2190</v>
      </c>
      <c r="T282" s="1"/>
    </row>
    <row r="283" spans="1:20" x14ac:dyDescent="0.35">
      <c r="E283" s="1" t="s">
        <v>2304</v>
      </c>
      <c r="F283" s="1" t="s">
        <v>2191</v>
      </c>
      <c r="G283" t="s">
        <v>2806</v>
      </c>
      <c r="H283" s="1" t="s">
        <v>2189</v>
      </c>
      <c r="I283" s="1" t="s">
        <v>2186</v>
      </c>
      <c r="J283" s="1" t="s">
        <v>31</v>
      </c>
      <c r="K283" s="1" t="s">
        <v>3</v>
      </c>
      <c r="L283" s="1" t="s">
        <v>2192</v>
      </c>
      <c r="M283" s="1" t="s">
        <v>2193</v>
      </c>
      <c r="N283" s="1" t="s">
        <v>12</v>
      </c>
      <c r="O283" s="1" t="s">
        <v>2193</v>
      </c>
      <c r="P283" s="1" t="s">
        <v>2194</v>
      </c>
      <c r="Q283" s="1" t="s">
        <v>2652</v>
      </c>
      <c r="R283" s="1" t="s">
        <v>2604</v>
      </c>
      <c r="S283" s="1" t="s">
        <v>2245</v>
      </c>
      <c r="T283" s="1"/>
    </row>
    <row r="284" spans="1:20" x14ac:dyDescent="0.35">
      <c r="E284" s="1" t="s">
        <v>2304</v>
      </c>
      <c r="F284" s="1" t="s">
        <v>29</v>
      </c>
      <c r="G284" t="s">
        <v>2802</v>
      </c>
      <c r="H284" s="1" t="s">
        <v>30</v>
      </c>
      <c r="I284" s="1" t="s">
        <v>2187</v>
      </c>
      <c r="J284" s="1" t="s">
        <v>31</v>
      </c>
      <c r="K284" s="1" t="s">
        <v>3</v>
      </c>
      <c r="L284" s="1" t="s">
        <v>1883</v>
      </c>
      <c r="M284" s="1" t="s">
        <v>32</v>
      </c>
      <c r="N284" s="1" t="s">
        <v>12</v>
      </c>
      <c r="O284" s="1" t="s">
        <v>32</v>
      </c>
      <c r="P284" s="1" t="s">
        <v>33</v>
      </c>
      <c r="Q284" s="1" t="s">
        <v>2653</v>
      </c>
      <c r="R284" s="1" t="s">
        <v>2604</v>
      </c>
      <c r="T284" s="1"/>
    </row>
    <row r="285" spans="1:20" x14ac:dyDescent="0.35">
      <c r="E285" s="1" t="s">
        <v>2304</v>
      </c>
      <c r="F285" s="1" t="s">
        <v>1941</v>
      </c>
      <c r="G285" t="s">
        <v>2803</v>
      </c>
      <c r="H285" s="1" t="s">
        <v>1942</v>
      </c>
      <c r="I285" s="1" t="s">
        <v>1120</v>
      </c>
      <c r="J285" s="1" t="s">
        <v>1</v>
      </c>
      <c r="K285" s="1" t="s">
        <v>3</v>
      </c>
      <c r="L285" s="1" t="s">
        <v>1943</v>
      </c>
      <c r="M285" s="1" t="s">
        <v>1944</v>
      </c>
      <c r="N285" s="1" t="s">
        <v>12</v>
      </c>
      <c r="O285" s="1" t="s">
        <v>1944</v>
      </c>
      <c r="P285" s="1" t="s">
        <v>1948</v>
      </c>
      <c r="Q285" s="1" t="s">
        <v>2608</v>
      </c>
      <c r="R285" s="1" t="s">
        <v>2604</v>
      </c>
      <c r="T285" s="1"/>
    </row>
    <row r="286" spans="1:20" x14ac:dyDescent="0.35">
      <c r="E286" s="1" t="s">
        <v>2304</v>
      </c>
      <c r="F286" s="1" t="s">
        <v>1884</v>
      </c>
      <c r="G286" t="s">
        <v>2803</v>
      </c>
      <c r="H286" s="1" t="s">
        <v>1885</v>
      </c>
      <c r="I286" s="1" t="s">
        <v>1886</v>
      </c>
      <c r="J286" s="1" t="s">
        <v>1</v>
      </c>
      <c r="K286" s="1" t="s">
        <v>3</v>
      </c>
      <c r="L286" s="1" t="s">
        <v>1887</v>
      </c>
      <c r="M286" s="1" t="s">
        <v>1888</v>
      </c>
      <c r="N286" s="1" t="s">
        <v>12</v>
      </c>
      <c r="O286" s="1" t="s">
        <v>1888</v>
      </c>
      <c r="P286" s="1" t="s">
        <v>1889</v>
      </c>
      <c r="Q286" s="1" t="s">
        <v>2609</v>
      </c>
      <c r="R286" s="1" t="s">
        <v>2604</v>
      </c>
      <c r="T286" s="1"/>
    </row>
    <row r="287" spans="1:20" x14ac:dyDescent="0.35">
      <c r="E287" s="1" t="s">
        <v>2304</v>
      </c>
      <c r="F287" s="1" t="s">
        <v>2044</v>
      </c>
      <c r="G287" t="s">
        <v>2803</v>
      </c>
      <c r="H287" s="1" t="s">
        <v>2045</v>
      </c>
      <c r="I287" s="1" t="s">
        <v>1642</v>
      </c>
      <c r="J287" s="1" t="s">
        <v>1</v>
      </c>
      <c r="K287" s="1" t="s">
        <v>3</v>
      </c>
      <c r="L287" s="1" t="s">
        <v>2046</v>
      </c>
      <c r="M287" s="1" t="s">
        <v>2047</v>
      </c>
      <c r="N287" s="1" t="s">
        <v>12</v>
      </c>
      <c r="O287" s="1" t="s">
        <v>2047</v>
      </c>
      <c r="P287" s="1" t="s">
        <v>2048</v>
      </c>
      <c r="Q287" s="1" t="s">
        <v>2610</v>
      </c>
      <c r="R287" s="1" t="s">
        <v>2604</v>
      </c>
      <c r="T287" s="1"/>
    </row>
    <row r="288" spans="1:20" x14ac:dyDescent="0.35">
      <c r="E288" s="1" t="s">
        <v>2304</v>
      </c>
      <c r="F288" s="1" t="s">
        <v>1929</v>
      </c>
      <c r="G288" t="s">
        <v>2804</v>
      </c>
      <c r="H288" s="1" t="s">
        <v>1930</v>
      </c>
      <c r="I288" s="1" t="s">
        <v>2187</v>
      </c>
      <c r="J288" s="1" t="s">
        <v>31</v>
      </c>
      <c r="K288" s="1" t="s">
        <v>3</v>
      </c>
      <c r="L288" s="1" t="s">
        <v>1931</v>
      </c>
      <c r="M288" s="1" t="s">
        <v>1932</v>
      </c>
      <c r="N288" s="1" t="s">
        <v>12</v>
      </c>
      <c r="O288" s="1" t="s">
        <v>1932</v>
      </c>
      <c r="P288" s="1" t="s">
        <v>1933</v>
      </c>
      <c r="Q288" s="1" t="s">
        <v>2654</v>
      </c>
      <c r="R288" s="1" t="s">
        <v>2604</v>
      </c>
      <c r="T288" s="1"/>
    </row>
    <row r="289" spans="5:20" x14ac:dyDescent="0.35">
      <c r="E289" s="1" t="s">
        <v>2304</v>
      </c>
      <c r="F289" s="1" t="s">
        <v>1969</v>
      </c>
      <c r="G289" t="s">
        <v>2804</v>
      </c>
      <c r="H289" s="1" t="s">
        <v>1970</v>
      </c>
      <c r="I289" s="1" t="s">
        <v>2187</v>
      </c>
      <c r="J289" s="1" t="s">
        <v>31</v>
      </c>
      <c r="K289" s="1" t="s">
        <v>3</v>
      </c>
      <c r="L289" s="1" t="s">
        <v>1931</v>
      </c>
      <c r="M289" s="1" t="s">
        <v>1971</v>
      </c>
      <c r="N289" s="1" t="s">
        <v>12</v>
      </c>
      <c r="O289" s="1" t="s">
        <v>1971</v>
      </c>
      <c r="P289" s="1" t="s">
        <v>1972</v>
      </c>
      <c r="Q289" s="1" t="s">
        <v>2655</v>
      </c>
      <c r="R289" s="1" t="s">
        <v>2604</v>
      </c>
      <c r="T289" s="1"/>
    </row>
    <row r="290" spans="5:20" x14ac:dyDescent="0.35">
      <c r="E290" s="1" t="s">
        <v>2304</v>
      </c>
      <c r="F290" s="1" t="s">
        <v>1934</v>
      </c>
      <c r="G290" t="s">
        <v>2804</v>
      </c>
      <c r="H290" s="1" t="s">
        <v>1885</v>
      </c>
      <c r="I290" s="1" t="s">
        <v>1886</v>
      </c>
      <c r="J290" s="1" t="s">
        <v>1</v>
      </c>
      <c r="K290" s="1" t="s">
        <v>3</v>
      </c>
      <c r="L290" s="1" t="s">
        <v>1935</v>
      </c>
      <c r="M290" s="1" t="s">
        <v>1936</v>
      </c>
      <c r="N290" s="1" t="s">
        <v>12</v>
      </c>
      <c r="O290" s="1" t="s">
        <v>1936</v>
      </c>
      <c r="P290" s="1" t="s">
        <v>1937</v>
      </c>
      <c r="Q290" s="1" t="s">
        <v>2611</v>
      </c>
      <c r="R290" s="1" t="s">
        <v>2604</v>
      </c>
      <c r="T290" s="1"/>
    </row>
    <row r="291" spans="5:20" x14ac:dyDescent="0.35">
      <c r="E291" s="1" t="s">
        <v>2304</v>
      </c>
      <c r="F291" s="1" t="s">
        <v>1940</v>
      </c>
      <c r="G291" t="s">
        <v>2804</v>
      </c>
      <c r="H291" s="1" t="s">
        <v>1952</v>
      </c>
      <c r="I291" s="1" t="s">
        <v>1882</v>
      </c>
      <c r="J291" s="1" t="s">
        <v>45</v>
      </c>
      <c r="K291" s="1" t="s">
        <v>3</v>
      </c>
      <c r="L291" s="1" t="s">
        <v>1953</v>
      </c>
      <c r="M291" s="1" t="s">
        <v>1945</v>
      </c>
      <c r="N291" s="1" t="s">
        <v>12</v>
      </c>
      <c r="O291" s="1" t="s">
        <v>1945</v>
      </c>
      <c r="P291" s="1" t="s">
        <v>1954</v>
      </c>
      <c r="Q291" s="1" t="s">
        <v>2656</v>
      </c>
      <c r="R291" s="1" t="s">
        <v>2604</v>
      </c>
      <c r="T291" s="1"/>
    </row>
    <row r="292" spans="5:20" x14ac:dyDescent="0.35">
      <c r="E292" s="1" t="s">
        <v>2304</v>
      </c>
      <c r="F292" s="1" t="s">
        <v>2024</v>
      </c>
      <c r="G292" t="s">
        <v>2804</v>
      </c>
      <c r="H292" s="1" t="s">
        <v>2025</v>
      </c>
      <c r="I292" s="1" t="s">
        <v>1120</v>
      </c>
      <c r="J292" s="1" t="s">
        <v>1</v>
      </c>
      <c r="K292" s="1" t="s">
        <v>3</v>
      </c>
      <c r="L292" s="1" t="s">
        <v>1953</v>
      </c>
      <c r="M292" s="1" t="s">
        <v>2026</v>
      </c>
      <c r="N292" s="1" t="s">
        <v>12</v>
      </c>
      <c r="O292" s="1" t="s">
        <v>2026</v>
      </c>
      <c r="P292" s="1" t="s">
        <v>2027</v>
      </c>
      <c r="Q292" s="1" t="s">
        <v>2612</v>
      </c>
      <c r="R292" s="1" t="s">
        <v>2604</v>
      </c>
      <c r="T292" s="1"/>
    </row>
    <row r="293" spans="5:20" x14ac:dyDescent="0.35">
      <c r="E293" s="1" t="s">
        <v>2304</v>
      </c>
      <c r="F293" s="1" t="s">
        <v>1938</v>
      </c>
      <c r="G293" t="s">
        <v>2804</v>
      </c>
      <c r="H293" s="1" t="s">
        <v>1956</v>
      </c>
      <c r="I293" s="1" t="s">
        <v>1642</v>
      </c>
      <c r="J293" s="1" t="s">
        <v>1</v>
      </c>
      <c r="K293" s="1" t="s">
        <v>3</v>
      </c>
      <c r="L293" s="1" t="s">
        <v>1957</v>
      </c>
      <c r="M293" s="1" t="s">
        <v>1946</v>
      </c>
      <c r="N293" s="1" t="s">
        <v>12</v>
      </c>
      <c r="O293" s="1" t="s">
        <v>1946</v>
      </c>
      <c r="P293" s="1" t="s">
        <v>1958</v>
      </c>
      <c r="Q293" s="1" t="s">
        <v>2613</v>
      </c>
      <c r="R293" s="1" t="s">
        <v>2604</v>
      </c>
      <c r="T293" s="1"/>
    </row>
    <row r="294" spans="5:20" x14ac:dyDescent="0.35">
      <c r="E294" s="1" t="s">
        <v>2304</v>
      </c>
      <c r="F294" s="1" t="s">
        <v>1939</v>
      </c>
      <c r="G294" t="s">
        <v>2804</v>
      </c>
      <c r="H294" s="1" t="s">
        <v>1959</v>
      </c>
      <c r="I294" s="1" t="s">
        <v>1642</v>
      </c>
      <c r="J294" s="1" t="s">
        <v>1</v>
      </c>
      <c r="K294" s="1" t="s">
        <v>3</v>
      </c>
      <c r="L294" s="1" t="s">
        <v>1957</v>
      </c>
      <c r="M294" s="1" t="s">
        <v>1947</v>
      </c>
      <c r="N294" s="1" t="s">
        <v>12</v>
      </c>
      <c r="O294" s="1" t="s">
        <v>1947</v>
      </c>
      <c r="P294" s="1" t="s">
        <v>1960</v>
      </c>
      <c r="Q294" s="1" t="s">
        <v>2614</v>
      </c>
      <c r="R294" s="1" t="s">
        <v>2604</v>
      </c>
      <c r="T294" s="1"/>
    </row>
    <row r="295" spans="5:20" x14ac:dyDescent="0.35">
      <c r="E295" s="1" t="s">
        <v>2304</v>
      </c>
      <c r="F295" s="1" t="s">
        <v>2021</v>
      </c>
      <c r="G295" t="s">
        <v>2805</v>
      </c>
      <c r="H295" s="1" t="s">
        <v>2025</v>
      </c>
      <c r="I295" s="1" t="s">
        <v>1882</v>
      </c>
      <c r="J295" s="1" t="s">
        <v>1</v>
      </c>
      <c r="K295" s="1" t="s">
        <v>3</v>
      </c>
      <c r="L295" s="1" t="s">
        <v>2028</v>
      </c>
      <c r="M295" s="1" t="s">
        <v>2029</v>
      </c>
      <c r="N295" s="1" t="s">
        <v>12</v>
      </c>
      <c r="O295" s="1" t="s">
        <v>2029</v>
      </c>
      <c r="P295" s="1" t="s">
        <v>2030</v>
      </c>
      <c r="Q295" s="1" t="s">
        <v>2615</v>
      </c>
      <c r="R295" s="1" t="s">
        <v>2604</v>
      </c>
      <c r="T295" s="1"/>
    </row>
    <row r="296" spans="5:20" x14ac:dyDescent="0.35">
      <c r="E296" s="1" t="s">
        <v>2304</v>
      </c>
      <c r="F296" s="1" t="s">
        <v>85</v>
      </c>
      <c r="G296" t="s">
        <v>2805</v>
      </c>
      <c r="H296" s="1" t="s">
        <v>86</v>
      </c>
      <c r="I296" s="1" t="s">
        <v>1882</v>
      </c>
      <c r="J296" s="1" t="s">
        <v>1</v>
      </c>
      <c r="K296" s="1" t="s">
        <v>3</v>
      </c>
      <c r="L296" s="1" t="s">
        <v>1968</v>
      </c>
      <c r="M296" s="1" t="s">
        <v>87</v>
      </c>
      <c r="N296" s="1" t="s">
        <v>12</v>
      </c>
      <c r="O296" s="1" t="s">
        <v>87</v>
      </c>
      <c r="P296" s="1" t="s">
        <v>88</v>
      </c>
      <c r="Q296" s="1" t="s">
        <v>2616</v>
      </c>
      <c r="R296" s="1" t="s">
        <v>2604</v>
      </c>
      <c r="T296" s="1"/>
    </row>
    <row r="297" spans="5:20" x14ac:dyDescent="0.35">
      <c r="E297" s="1" t="s">
        <v>2304</v>
      </c>
      <c r="F297" s="1" t="s">
        <v>2162</v>
      </c>
      <c r="G297" t="s">
        <v>2805</v>
      </c>
      <c r="H297" s="1" t="s">
        <v>2163</v>
      </c>
      <c r="I297" s="1" t="s">
        <v>1878</v>
      </c>
      <c r="J297" s="1" t="s">
        <v>1</v>
      </c>
      <c r="K297" s="1" t="s">
        <v>3</v>
      </c>
      <c r="L297" s="1" t="s">
        <v>2164</v>
      </c>
      <c r="M297" s="1" t="s">
        <v>2165</v>
      </c>
      <c r="N297" s="1" t="s">
        <v>12</v>
      </c>
      <c r="O297" s="1" t="s">
        <v>2165</v>
      </c>
      <c r="P297" s="1" t="s">
        <v>2166</v>
      </c>
      <c r="Q297" s="1" t="s">
        <v>2617</v>
      </c>
      <c r="R297" s="1" t="s">
        <v>2604</v>
      </c>
      <c r="T297" s="1"/>
    </row>
    <row r="298" spans="5:20" x14ac:dyDescent="0.35">
      <c r="E298" s="1" t="s">
        <v>2304</v>
      </c>
      <c r="F298" s="1" t="s">
        <v>2132</v>
      </c>
      <c r="G298" t="s">
        <v>2805</v>
      </c>
      <c r="H298" s="1" t="s">
        <v>2138</v>
      </c>
      <c r="I298" s="1" t="s">
        <v>1120</v>
      </c>
      <c r="J298" s="1" t="s">
        <v>31</v>
      </c>
      <c r="K298" s="1" t="s">
        <v>3</v>
      </c>
      <c r="L298" s="1" t="s">
        <v>2139</v>
      </c>
      <c r="M298" s="1" t="s">
        <v>2140</v>
      </c>
      <c r="N298" s="1" t="s">
        <v>12</v>
      </c>
      <c r="O298" s="1" t="s">
        <v>2140</v>
      </c>
      <c r="P298" s="1" t="s">
        <v>2143</v>
      </c>
      <c r="Q298" s="1" t="s">
        <v>2657</v>
      </c>
      <c r="R298" s="1" t="s">
        <v>2604</v>
      </c>
      <c r="T298" s="1"/>
    </row>
    <row r="299" spans="5:20" x14ac:dyDescent="0.35">
      <c r="E299" s="1" t="s">
        <v>2304</v>
      </c>
      <c r="F299" s="1" t="s">
        <v>2023</v>
      </c>
      <c r="G299" t="s">
        <v>2805</v>
      </c>
      <c r="H299" s="1" t="s">
        <v>2031</v>
      </c>
      <c r="I299" s="1" t="s">
        <v>1878</v>
      </c>
      <c r="J299" s="1" t="s">
        <v>1</v>
      </c>
      <c r="K299" s="1" t="s">
        <v>3</v>
      </c>
      <c r="L299" s="1" t="s">
        <v>2032</v>
      </c>
      <c r="M299" s="1" t="s">
        <v>2033</v>
      </c>
      <c r="N299" s="1" t="s">
        <v>12</v>
      </c>
      <c r="O299" s="1" t="s">
        <v>2033</v>
      </c>
      <c r="P299" s="1" t="s">
        <v>2034</v>
      </c>
      <c r="Q299" s="1" t="s">
        <v>2618</v>
      </c>
      <c r="R299" s="1" t="s">
        <v>2604</v>
      </c>
      <c r="T299" s="1"/>
    </row>
    <row r="300" spans="5:20" x14ac:dyDescent="0.35">
      <c r="E300" s="1" t="s">
        <v>2304</v>
      </c>
      <c r="F300" s="1" t="s">
        <v>1904</v>
      </c>
      <c r="G300" t="s">
        <v>2805</v>
      </c>
      <c r="H300" s="1" t="s">
        <v>1905</v>
      </c>
      <c r="I300" s="1" t="s">
        <v>327</v>
      </c>
      <c r="J300" s="1" t="s">
        <v>1</v>
      </c>
      <c r="K300" s="1" t="s">
        <v>3</v>
      </c>
      <c r="L300" s="1" t="s">
        <v>1906</v>
      </c>
      <c r="M300" t="s">
        <v>1907</v>
      </c>
      <c r="N300" s="1" t="s">
        <v>12</v>
      </c>
      <c r="O300" t="s">
        <v>1907</v>
      </c>
      <c r="P300" s="1" t="s">
        <v>1908</v>
      </c>
      <c r="Q300" s="1" t="s">
        <v>2619</v>
      </c>
      <c r="R300" s="1" t="s">
        <v>2604</v>
      </c>
      <c r="T300" s="1"/>
    </row>
    <row r="301" spans="5:20" x14ac:dyDescent="0.35">
      <c r="E301" s="1" t="s">
        <v>2304</v>
      </c>
      <c r="F301" s="1" t="s">
        <v>1964</v>
      </c>
      <c r="G301" t="s">
        <v>2805</v>
      </c>
      <c r="H301" s="1" t="s">
        <v>1974</v>
      </c>
      <c r="I301" s="1" t="s">
        <v>1878</v>
      </c>
      <c r="J301" s="1" t="s">
        <v>1975</v>
      </c>
      <c r="K301" s="1" t="s">
        <v>3</v>
      </c>
      <c r="L301" s="1" t="s">
        <v>1976</v>
      </c>
      <c r="M301" t="s">
        <v>1977</v>
      </c>
      <c r="N301" s="1" t="s">
        <v>12</v>
      </c>
      <c r="O301" t="s">
        <v>1977</v>
      </c>
      <c r="P301" s="1" t="s">
        <v>1978</v>
      </c>
      <c r="Q301" s="1" t="s">
        <v>2658</v>
      </c>
      <c r="R301" s="1" t="s">
        <v>2604</v>
      </c>
      <c r="T301" s="1"/>
    </row>
    <row r="302" spans="5:20" x14ac:dyDescent="0.35">
      <c r="E302" s="1" t="s">
        <v>2304</v>
      </c>
      <c r="F302" s="1" t="s">
        <v>1949</v>
      </c>
      <c r="G302" t="s">
        <v>2806</v>
      </c>
      <c r="H302" s="1" t="s">
        <v>1979</v>
      </c>
      <c r="I302" s="1" t="s">
        <v>1878</v>
      </c>
      <c r="J302" s="1" t="s">
        <v>1</v>
      </c>
      <c r="K302" s="1" t="s">
        <v>3</v>
      </c>
      <c r="L302" s="1" t="s">
        <v>1980</v>
      </c>
      <c r="M302" t="s">
        <v>1981</v>
      </c>
      <c r="N302" s="1" t="s">
        <v>12</v>
      </c>
      <c r="O302" t="s">
        <v>1981</v>
      </c>
      <c r="P302" s="1" t="s">
        <v>1982</v>
      </c>
      <c r="Q302" s="1" t="s">
        <v>2620</v>
      </c>
      <c r="R302" s="1" t="s">
        <v>2604</v>
      </c>
      <c r="T302" s="1"/>
    </row>
    <row r="303" spans="5:20" x14ac:dyDescent="0.35">
      <c r="E303" s="1" t="s">
        <v>2304</v>
      </c>
      <c r="F303" s="1" t="s">
        <v>1909</v>
      </c>
      <c r="G303" t="s">
        <v>2806</v>
      </c>
      <c r="H303" s="1" t="s">
        <v>1910</v>
      </c>
      <c r="I303" s="1" t="s">
        <v>1878</v>
      </c>
      <c r="J303" s="1" t="s">
        <v>1</v>
      </c>
      <c r="K303" s="1" t="s">
        <v>3</v>
      </c>
      <c r="L303" s="1" t="s">
        <v>1911</v>
      </c>
      <c r="M303" t="s">
        <v>1912</v>
      </c>
      <c r="N303" s="1" t="s">
        <v>12</v>
      </c>
      <c r="O303" t="s">
        <v>1912</v>
      </c>
      <c r="P303" s="1" t="s">
        <v>1913</v>
      </c>
      <c r="Q303" s="1" t="s">
        <v>2621</v>
      </c>
      <c r="R303" s="1" t="s">
        <v>2604</v>
      </c>
      <c r="T303" s="1"/>
    </row>
    <row r="304" spans="5:20" x14ac:dyDescent="0.35">
      <c r="E304" s="1" t="s">
        <v>2304</v>
      </c>
      <c r="F304" s="1" t="s">
        <v>1973</v>
      </c>
      <c r="G304" t="s">
        <v>2806</v>
      </c>
      <c r="H304" s="1" t="s">
        <v>1984</v>
      </c>
      <c r="I304" s="1" t="s">
        <v>1882</v>
      </c>
      <c r="J304" s="1" t="s">
        <v>1</v>
      </c>
      <c r="K304" s="1" t="s">
        <v>3</v>
      </c>
      <c r="L304" s="1" t="s">
        <v>1985</v>
      </c>
      <c r="M304" t="s">
        <v>1986</v>
      </c>
      <c r="N304" s="1" t="s">
        <v>12</v>
      </c>
      <c r="O304" t="s">
        <v>1986</v>
      </c>
      <c r="P304" s="1" t="s">
        <v>1997</v>
      </c>
      <c r="Q304" s="1" t="s">
        <v>2622</v>
      </c>
      <c r="R304" s="1" t="s">
        <v>2604</v>
      </c>
      <c r="T304" s="1"/>
    </row>
    <row r="305" spans="5:20" x14ac:dyDescent="0.35">
      <c r="E305" s="1" t="s">
        <v>2304</v>
      </c>
      <c r="F305" s="1" t="s">
        <v>2043</v>
      </c>
      <c r="G305" t="s">
        <v>2806</v>
      </c>
      <c r="H305" s="1" t="s">
        <v>2049</v>
      </c>
      <c r="I305" s="1" t="s">
        <v>1878</v>
      </c>
      <c r="J305" s="1" t="s">
        <v>1</v>
      </c>
      <c r="K305" s="1" t="s">
        <v>3</v>
      </c>
      <c r="L305" s="1" t="s">
        <v>2050</v>
      </c>
      <c r="M305" t="s">
        <v>2051</v>
      </c>
      <c r="N305" s="1" t="s">
        <v>12</v>
      </c>
      <c r="O305" t="s">
        <v>2051</v>
      </c>
      <c r="P305" s="1" t="s">
        <v>2052</v>
      </c>
      <c r="Q305" s="1" t="s">
        <v>2623</v>
      </c>
      <c r="R305" s="1" t="s">
        <v>2604</v>
      </c>
      <c r="T305" s="1"/>
    </row>
    <row r="306" spans="5:20" x14ac:dyDescent="0.35">
      <c r="E306" s="1" t="s">
        <v>2304</v>
      </c>
      <c r="F306" s="1" t="s">
        <v>2022</v>
      </c>
      <c r="G306" t="s">
        <v>2806</v>
      </c>
      <c r="H306" s="1" t="s">
        <v>2035</v>
      </c>
      <c r="I306" s="1" t="s">
        <v>2036</v>
      </c>
      <c r="J306" s="1" t="s">
        <v>1</v>
      </c>
      <c r="K306" s="1" t="s">
        <v>3</v>
      </c>
      <c r="L306" s="1" t="s">
        <v>2037</v>
      </c>
      <c r="M306" t="s">
        <v>2038</v>
      </c>
      <c r="N306" s="1" t="s">
        <v>12</v>
      </c>
      <c r="O306" t="s">
        <v>2038</v>
      </c>
      <c r="P306" s="1" t="s">
        <v>2039</v>
      </c>
      <c r="Q306" s="1" t="s">
        <v>2624</v>
      </c>
      <c r="R306" s="1" t="s">
        <v>2604</v>
      </c>
      <c r="T306" s="1"/>
    </row>
    <row r="307" spans="5:20" x14ac:dyDescent="0.35">
      <c r="E307" s="1" t="s">
        <v>2304</v>
      </c>
      <c r="F307" s="1" t="s">
        <v>1951</v>
      </c>
      <c r="G307" t="s">
        <v>2999</v>
      </c>
      <c r="H307" s="1" t="s">
        <v>2000</v>
      </c>
      <c r="I307" s="1" t="s">
        <v>1880</v>
      </c>
      <c r="J307" s="1" t="s">
        <v>45</v>
      </c>
      <c r="K307" s="1" t="s">
        <v>3</v>
      </c>
      <c r="L307" s="1" t="s">
        <v>2001</v>
      </c>
      <c r="M307" t="s">
        <v>1987</v>
      </c>
      <c r="N307" s="1" t="s">
        <v>12</v>
      </c>
      <c r="O307" t="s">
        <v>1987</v>
      </c>
      <c r="P307" s="1" t="s">
        <v>2002</v>
      </c>
      <c r="Q307" s="1" t="s">
        <v>2659</v>
      </c>
      <c r="R307" s="1" t="s">
        <v>2604</v>
      </c>
      <c r="T307" s="1"/>
    </row>
    <row r="308" spans="5:20" x14ac:dyDescent="0.35">
      <c r="E308" s="1" t="s">
        <v>2304</v>
      </c>
      <c r="F308" s="1" t="s">
        <v>2042</v>
      </c>
      <c r="G308" t="s">
        <v>2999</v>
      </c>
      <c r="H308" s="1" t="s">
        <v>2053</v>
      </c>
      <c r="I308" s="1" t="s">
        <v>1642</v>
      </c>
      <c r="J308" s="1" t="s">
        <v>1</v>
      </c>
      <c r="K308" s="1" t="s">
        <v>3</v>
      </c>
      <c r="L308" s="1" t="s">
        <v>2054</v>
      </c>
      <c r="M308" t="s">
        <v>2055</v>
      </c>
      <c r="N308" s="1" t="s">
        <v>12</v>
      </c>
      <c r="O308" t="s">
        <v>2055</v>
      </c>
      <c r="P308" s="1" t="s">
        <v>2056</v>
      </c>
      <c r="Q308" s="1" t="s">
        <v>2625</v>
      </c>
      <c r="R308" s="1" t="s">
        <v>2604</v>
      </c>
      <c r="T308" s="1"/>
    </row>
    <row r="309" spans="5:20" x14ac:dyDescent="0.35">
      <c r="E309" s="1" t="s">
        <v>2304</v>
      </c>
      <c r="F309" s="1" t="s">
        <v>1914</v>
      </c>
      <c r="G309" t="s">
        <v>2999</v>
      </c>
      <c r="H309" s="1" t="s">
        <v>1915</v>
      </c>
      <c r="I309" s="1" t="s">
        <v>1642</v>
      </c>
      <c r="J309" s="1" t="s">
        <v>1</v>
      </c>
      <c r="K309" s="1" t="s">
        <v>3</v>
      </c>
      <c r="L309" s="1" t="s">
        <v>1916</v>
      </c>
      <c r="M309" t="s">
        <v>1917</v>
      </c>
      <c r="N309" s="1" t="s">
        <v>12</v>
      </c>
      <c r="O309" t="s">
        <v>1917</v>
      </c>
      <c r="P309" s="1" t="s">
        <v>1918</v>
      </c>
      <c r="Q309" s="1" t="s">
        <v>2626</v>
      </c>
      <c r="R309" s="1" t="s">
        <v>2604</v>
      </c>
      <c r="T309" s="1"/>
    </row>
    <row r="310" spans="5:20" x14ac:dyDescent="0.35">
      <c r="E310" s="1" t="s">
        <v>2304</v>
      </c>
      <c r="F310" s="1" t="s">
        <v>1919</v>
      </c>
      <c r="G310" t="s">
        <v>2999</v>
      </c>
      <c r="H310" s="1" t="s">
        <v>1920</v>
      </c>
      <c r="I310" s="1" t="s">
        <v>1120</v>
      </c>
      <c r="J310" s="1" t="s">
        <v>1</v>
      </c>
      <c r="K310" s="1" t="s">
        <v>3</v>
      </c>
      <c r="L310" s="1" t="s">
        <v>1921</v>
      </c>
      <c r="M310" t="s">
        <v>1922</v>
      </c>
      <c r="N310" s="1" t="s">
        <v>12</v>
      </c>
      <c r="O310" t="s">
        <v>1922</v>
      </c>
      <c r="P310" s="1" t="s">
        <v>1923</v>
      </c>
      <c r="Q310" s="1" t="s">
        <v>2627</v>
      </c>
      <c r="R310" s="1" t="s">
        <v>2604</v>
      </c>
      <c r="T310" s="1"/>
    </row>
    <row r="311" spans="5:20" x14ac:dyDescent="0.35">
      <c r="E311" s="1" t="s">
        <v>2304</v>
      </c>
      <c r="F311" s="1" t="s">
        <v>2129</v>
      </c>
      <c r="G311" t="s">
        <v>2999</v>
      </c>
      <c r="H311" s="1" t="s">
        <v>164</v>
      </c>
      <c r="I311" s="1" t="s">
        <v>1882</v>
      </c>
      <c r="J311" s="1" t="s">
        <v>6</v>
      </c>
      <c r="K311" s="1" t="s">
        <v>3</v>
      </c>
      <c r="L311" s="1" t="s">
        <v>2159</v>
      </c>
      <c r="M311" t="s">
        <v>2160</v>
      </c>
      <c r="N311" s="1" t="s">
        <v>12</v>
      </c>
      <c r="O311" t="s">
        <v>2160</v>
      </c>
      <c r="P311" s="1" t="s">
        <v>2161</v>
      </c>
      <c r="Q311" s="1" t="s">
        <v>2660</v>
      </c>
      <c r="R311" s="1" t="s">
        <v>2604</v>
      </c>
      <c r="T311" s="1"/>
    </row>
    <row r="312" spans="5:20" x14ac:dyDescent="0.35">
      <c r="E312" s="1" t="s">
        <v>2304</v>
      </c>
      <c r="F312" s="1" t="s">
        <v>1965</v>
      </c>
      <c r="G312" t="s">
        <v>2999</v>
      </c>
      <c r="H312" s="1" t="s">
        <v>2003</v>
      </c>
      <c r="I312" s="1" t="s">
        <v>1878</v>
      </c>
      <c r="J312" s="1" t="s">
        <v>1</v>
      </c>
      <c r="K312" s="1" t="s">
        <v>3</v>
      </c>
      <c r="L312" s="1" t="s">
        <v>2004</v>
      </c>
      <c r="M312" t="s">
        <v>1988</v>
      </c>
      <c r="N312" s="1" t="s">
        <v>12</v>
      </c>
      <c r="O312" t="s">
        <v>1988</v>
      </c>
      <c r="P312" s="1" t="s">
        <v>2005</v>
      </c>
      <c r="Q312" s="1" t="s">
        <v>2628</v>
      </c>
      <c r="R312" s="1" t="s">
        <v>2604</v>
      </c>
      <c r="T312" s="1"/>
    </row>
    <row r="313" spans="5:20" x14ac:dyDescent="0.35">
      <c r="E313" s="1" t="s">
        <v>2304</v>
      </c>
      <c r="F313" s="1" t="s">
        <v>1962</v>
      </c>
      <c r="G313" t="s">
        <v>2999</v>
      </c>
      <c r="H313" s="1" t="s">
        <v>2006</v>
      </c>
      <c r="I313" s="1" t="s">
        <v>327</v>
      </c>
      <c r="J313" s="1" t="s">
        <v>1</v>
      </c>
      <c r="K313" s="1" t="s">
        <v>3</v>
      </c>
      <c r="L313" s="1" t="s">
        <v>2007</v>
      </c>
      <c r="M313" t="s">
        <v>1989</v>
      </c>
      <c r="N313" s="1" t="s">
        <v>12</v>
      </c>
      <c r="O313" t="s">
        <v>1989</v>
      </c>
      <c r="P313" s="1" t="s">
        <v>2008</v>
      </c>
      <c r="Q313" s="1" t="s">
        <v>2629</v>
      </c>
      <c r="R313" s="1" t="s">
        <v>2604</v>
      </c>
      <c r="T313" s="1"/>
    </row>
    <row r="314" spans="5:20" x14ac:dyDescent="0.35">
      <c r="E314" s="1" t="s">
        <v>2304</v>
      </c>
      <c r="F314" s="1" t="s">
        <v>1966</v>
      </c>
      <c r="G314" t="s">
        <v>2999</v>
      </c>
      <c r="H314" s="1" t="s">
        <v>2009</v>
      </c>
      <c r="I314" s="1" t="s">
        <v>327</v>
      </c>
      <c r="J314" s="1" t="s">
        <v>1</v>
      </c>
      <c r="K314" s="1" t="s">
        <v>3</v>
      </c>
      <c r="L314" s="1" t="s">
        <v>2010</v>
      </c>
      <c r="M314" t="s">
        <v>1990</v>
      </c>
      <c r="N314" s="1" t="s">
        <v>12</v>
      </c>
      <c r="O314" t="s">
        <v>1990</v>
      </c>
      <c r="P314" s="1" t="s">
        <v>2011</v>
      </c>
      <c r="Q314" s="1" t="s">
        <v>2630</v>
      </c>
      <c r="R314" s="1" t="s">
        <v>2604</v>
      </c>
      <c r="T314" s="1"/>
    </row>
    <row r="315" spans="5:20" x14ac:dyDescent="0.35">
      <c r="E315" s="1" t="s">
        <v>2304</v>
      </c>
      <c r="F315" s="1" t="s">
        <v>1967</v>
      </c>
      <c r="G315" t="s">
        <v>2999</v>
      </c>
      <c r="H315" s="1" t="s">
        <v>2012</v>
      </c>
      <c r="I315" s="1" t="s">
        <v>1880</v>
      </c>
      <c r="J315" s="1" t="s">
        <v>1</v>
      </c>
      <c r="K315" s="1" t="s">
        <v>3</v>
      </c>
      <c r="L315" s="1" t="s">
        <v>2013</v>
      </c>
      <c r="M315" t="s">
        <v>1991</v>
      </c>
      <c r="N315" s="1" t="s">
        <v>12</v>
      </c>
      <c r="O315" t="s">
        <v>1991</v>
      </c>
      <c r="P315" s="1" t="s">
        <v>2014</v>
      </c>
      <c r="Q315" s="1" t="s">
        <v>2631</v>
      </c>
      <c r="R315" s="1" t="s">
        <v>2604</v>
      </c>
      <c r="T315" s="1"/>
    </row>
    <row r="316" spans="5:20" x14ac:dyDescent="0.35">
      <c r="E316" s="1" t="s">
        <v>2304</v>
      </c>
      <c r="F316" s="1" t="s">
        <v>1924</v>
      </c>
      <c r="G316" t="s">
        <v>2999</v>
      </c>
      <c r="H316" s="1" t="s">
        <v>1925</v>
      </c>
      <c r="I316" s="1" t="s">
        <v>1880</v>
      </c>
      <c r="J316" s="1" t="s">
        <v>1</v>
      </c>
      <c r="K316" s="1" t="s">
        <v>3</v>
      </c>
      <c r="L316" s="1" t="s">
        <v>1926</v>
      </c>
      <c r="M316" t="s">
        <v>1927</v>
      </c>
      <c r="N316" s="1" t="s">
        <v>12</v>
      </c>
      <c r="O316" t="s">
        <v>1927</v>
      </c>
      <c r="P316" s="1" t="s">
        <v>1928</v>
      </c>
      <c r="Q316" s="1" t="s">
        <v>2632</v>
      </c>
      <c r="R316" s="1" t="s">
        <v>2604</v>
      </c>
      <c r="T316" s="1"/>
    </row>
    <row r="317" spans="5:20" x14ac:dyDescent="0.35">
      <c r="E317" s="1" t="s">
        <v>2304</v>
      </c>
      <c r="F317" s="1" t="s">
        <v>1950</v>
      </c>
      <c r="G317" t="s">
        <v>2897</v>
      </c>
      <c r="H317" s="1" t="s">
        <v>2015</v>
      </c>
      <c r="I317" s="1" t="s">
        <v>1878</v>
      </c>
      <c r="J317" s="1" t="s">
        <v>1</v>
      </c>
      <c r="K317" s="1" t="s">
        <v>3</v>
      </c>
      <c r="L317" s="1" t="s">
        <v>2016</v>
      </c>
      <c r="M317" t="s">
        <v>1992</v>
      </c>
      <c r="N317" s="1" t="s">
        <v>12</v>
      </c>
      <c r="O317" t="s">
        <v>1992</v>
      </c>
      <c r="P317" s="1" t="s">
        <v>2017</v>
      </c>
      <c r="Q317" s="1" t="s">
        <v>2633</v>
      </c>
      <c r="R317" s="1" t="s">
        <v>2604</v>
      </c>
      <c r="T317" s="1"/>
    </row>
    <row r="318" spans="5:20" x14ac:dyDescent="0.35">
      <c r="E318" s="1" t="s">
        <v>2304</v>
      </c>
      <c r="F318" s="1" t="s">
        <v>1961</v>
      </c>
      <c r="G318" t="s">
        <v>2897</v>
      </c>
      <c r="H318" s="1" t="s">
        <v>2018</v>
      </c>
      <c r="I318" s="1" t="s">
        <v>1880</v>
      </c>
      <c r="J318" s="1" t="s">
        <v>1</v>
      </c>
      <c r="K318" s="1" t="s">
        <v>3</v>
      </c>
      <c r="L318" s="1" t="s">
        <v>2019</v>
      </c>
      <c r="M318" t="s">
        <v>1993</v>
      </c>
      <c r="N318" s="1" t="s">
        <v>12</v>
      </c>
      <c r="O318" t="s">
        <v>1993</v>
      </c>
      <c r="P318" s="1" t="s">
        <v>2020</v>
      </c>
      <c r="Q318" s="1" t="s">
        <v>2634</v>
      </c>
      <c r="R318" s="1" t="s">
        <v>2604</v>
      </c>
      <c r="T318" s="1"/>
    </row>
    <row r="319" spans="5:20" x14ac:dyDescent="0.35">
      <c r="E319" s="1" t="s">
        <v>2304</v>
      </c>
      <c r="F319" s="1" t="s">
        <v>1955</v>
      </c>
      <c r="G319" t="s">
        <v>2897</v>
      </c>
      <c r="H319" s="1" t="s">
        <v>2040</v>
      </c>
      <c r="I319" s="1" t="s">
        <v>1880</v>
      </c>
      <c r="J319" s="1" t="s">
        <v>1</v>
      </c>
      <c r="K319" s="1" t="s">
        <v>3</v>
      </c>
      <c r="L319" s="1" t="s">
        <v>2019</v>
      </c>
      <c r="M319" t="s">
        <v>1994</v>
      </c>
      <c r="N319" s="1" t="s">
        <v>12</v>
      </c>
      <c r="O319" t="s">
        <v>1994</v>
      </c>
      <c r="P319" s="1" t="s">
        <v>2041</v>
      </c>
      <c r="Q319" s="1" t="s">
        <v>2635</v>
      </c>
      <c r="R319" s="1" t="s">
        <v>2604</v>
      </c>
      <c r="T319" s="1"/>
    </row>
    <row r="320" spans="5:20" x14ac:dyDescent="0.35">
      <c r="E320" s="1" t="s">
        <v>2304</v>
      </c>
      <c r="F320" s="1" t="s">
        <v>1983</v>
      </c>
      <c r="G320" t="s">
        <v>2897</v>
      </c>
      <c r="H320" s="1" t="s">
        <v>2057</v>
      </c>
      <c r="I320" s="1" t="s">
        <v>327</v>
      </c>
      <c r="J320" s="1" t="s">
        <v>1</v>
      </c>
      <c r="K320" s="1" t="s">
        <v>3</v>
      </c>
      <c r="L320" s="1" t="s">
        <v>2019</v>
      </c>
      <c r="M320" t="s">
        <v>1995</v>
      </c>
      <c r="N320" s="1" t="s">
        <v>12</v>
      </c>
      <c r="O320" t="s">
        <v>1995</v>
      </c>
      <c r="P320" s="1" t="s">
        <v>2058</v>
      </c>
      <c r="Q320" s="1" t="s">
        <v>2636</v>
      </c>
      <c r="R320" s="1" t="s">
        <v>2604</v>
      </c>
      <c r="T320" s="1"/>
    </row>
    <row r="321" spans="5:20" x14ac:dyDescent="0.35">
      <c r="E321" s="1" t="s">
        <v>2304</v>
      </c>
      <c r="F321" s="1" t="s">
        <v>148</v>
      </c>
      <c r="G321" t="s">
        <v>2897</v>
      </c>
      <c r="H321" s="1" t="s">
        <v>159</v>
      </c>
      <c r="I321" s="1" t="s">
        <v>1880</v>
      </c>
      <c r="J321" s="1" t="s">
        <v>6</v>
      </c>
      <c r="K321" s="1" t="s">
        <v>3</v>
      </c>
      <c r="L321" s="1" t="s">
        <v>2134</v>
      </c>
      <c r="M321" t="s">
        <v>160</v>
      </c>
      <c r="N321" s="1" t="s">
        <v>8</v>
      </c>
      <c r="O321" t="s">
        <v>161</v>
      </c>
      <c r="P321" s="1" t="s">
        <v>162</v>
      </c>
      <c r="Q321" s="1" t="s">
        <v>2661</v>
      </c>
      <c r="R321" s="1" t="s">
        <v>2604</v>
      </c>
      <c r="T321" s="1"/>
    </row>
    <row r="322" spans="5:20" x14ac:dyDescent="0.35">
      <c r="E322" s="1" t="s">
        <v>2304</v>
      </c>
      <c r="F322" s="1" t="s">
        <v>1999</v>
      </c>
      <c r="G322" t="s">
        <v>3406</v>
      </c>
      <c r="H322" s="1" t="s">
        <v>2144</v>
      </c>
      <c r="I322" s="1" t="s">
        <v>327</v>
      </c>
      <c r="J322" s="1" t="s">
        <v>1</v>
      </c>
      <c r="K322" s="1" t="s">
        <v>3</v>
      </c>
      <c r="L322" s="1" t="s">
        <v>2145</v>
      </c>
      <c r="M322" t="s">
        <v>2135</v>
      </c>
      <c r="N322" s="1" t="s">
        <v>8</v>
      </c>
      <c r="O322" t="s">
        <v>2141</v>
      </c>
      <c r="P322" s="1" t="s">
        <v>2146</v>
      </c>
      <c r="Q322" s="1" t="s">
        <v>2637</v>
      </c>
      <c r="R322" s="1" t="s">
        <v>2604</v>
      </c>
      <c r="T322" s="1"/>
    </row>
    <row r="323" spans="5:20" x14ac:dyDescent="0.35">
      <c r="E323" s="1" t="s">
        <v>2304</v>
      </c>
      <c r="F323" s="1" t="s">
        <v>1998</v>
      </c>
      <c r="G323" t="s">
        <v>3406</v>
      </c>
      <c r="H323" s="1" t="s">
        <v>2148</v>
      </c>
      <c r="I323" s="1" t="s">
        <v>1880</v>
      </c>
      <c r="J323" s="1" t="s">
        <v>1</v>
      </c>
      <c r="K323" s="1" t="s">
        <v>3</v>
      </c>
      <c r="L323" s="1" t="s">
        <v>2149</v>
      </c>
      <c r="M323" t="s">
        <v>2136</v>
      </c>
      <c r="N323" s="1" t="s">
        <v>8</v>
      </c>
      <c r="O323" t="s">
        <v>2142</v>
      </c>
      <c r="P323" s="1" t="s">
        <v>2150</v>
      </c>
      <c r="Q323" s="1" t="s">
        <v>2638</v>
      </c>
      <c r="R323" s="1" t="s">
        <v>2604</v>
      </c>
      <c r="T323" s="1"/>
    </row>
    <row r="324" spans="5:20" x14ac:dyDescent="0.35">
      <c r="E324" s="1" t="s">
        <v>2304</v>
      </c>
      <c r="F324" s="1" t="s">
        <v>1963</v>
      </c>
      <c r="G324" t="s">
        <v>3406</v>
      </c>
      <c r="H324" s="1" t="s">
        <v>2151</v>
      </c>
      <c r="I324" s="1" t="s">
        <v>327</v>
      </c>
      <c r="J324" s="1" t="s">
        <v>1</v>
      </c>
      <c r="K324" s="1" t="s">
        <v>3</v>
      </c>
      <c r="L324" s="1" t="s">
        <v>2152</v>
      </c>
      <c r="M324" t="s">
        <v>2137</v>
      </c>
      <c r="N324" s="1" t="s">
        <v>8</v>
      </c>
      <c r="O324" t="s">
        <v>1996</v>
      </c>
      <c r="P324" s="1" t="s">
        <v>2153</v>
      </c>
      <c r="Q324" s="1" t="s">
        <v>2639</v>
      </c>
      <c r="R324" s="1" t="s">
        <v>2604</v>
      </c>
      <c r="T324" s="1"/>
    </row>
    <row r="325" spans="5:20" x14ac:dyDescent="0.35">
      <c r="E325" s="1" t="s">
        <v>2304</v>
      </c>
      <c r="F325" s="1" t="s">
        <v>158</v>
      </c>
      <c r="G325" t="s">
        <v>3406</v>
      </c>
      <c r="H325" s="1" t="s">
        <v>164</v>
      </c>
      <c r="I325" s="1" t="s">
        <v>327</v>
      </c>
      <c r="J325" s="1" t="s">
        <v>6</v>
      </c>
      <c r="K325" s="1" t="s">
        <v>3</v>
      </c>
      <c r="L325" s="1" t="s">
        <v>2158</v>
      </c>
      <c r="M325" t="s">
        <v>165</v>
      </c>
      <c r="N325" s="1" t="s">
        <v>8</v>
      </c>
      <c r="O325" t="s">
        <v>166</v>
      </c>
      <c r="P325" s="1" t="s">
        <v>167</v>
      </c>
      <c r="Q325" s="1" t="s">
        <v>2662</v>
      </c>
      <c r="R325" s="1" t="s">
        <v>2604</v>
      </c>
      <c r="T325" s="1"/>
    </row>
    <row r="326" spans="5:20" x14ac:dyDescent="0.35">
      <c r="E326" s="1" t="s">
        <v>2304</v>
      </c>
      <c r="F326" s="1" t="s">
        <v>2246</v>
      </c>
      <c r="G326" t="s">
        <v>3406</v>
      </c>
      <c r="H326" s="1" t="s">
        <v>2247</v>
      </c>
      <c r="I326" s="1" t="s">
        <v>327</v>
      </c>
      <c r="J326" s="1" t="s">
        <v>2198</v>
      </c>
      <c r="L326" s="1" t="s">
        <v>1387</v>
      </c>
      <c r="M326"/>
      <c r="O326"/>
      <c r="Q326" s="1" t="s">
        <v>2248</v>
      </c>
      <c r="R326" s="1" t="s">
        <v>98</v>
      </c>
      <c r="S326" s="1" t="s">
        <v>2249</v>
      </c>
      <c r="T326" s="1"/>
    </row>
    <row r="327" spans="5:20" x14ac:dyDescent="0.35">
      <c r="E327" s="1" t="s">
        <v>2367</v>
      </c>
      <c r="F327" s="1" t="s">
        <v>2357</v>
      </c>
      <c r="G327" t="s">
        <v>2801</v>
      </c>
      <c r="H327" s="1" t="s">
        <v>2359</v>
      </c>
      <c r="I327" s="1" t="s">
        <v>1642</v>
      </c>
      <c r="J327" s="1" t="s">
        <v>31</v>
      </c>
      <c r="K327" s="1" t="s">
        <v>1301</v>
      </c>
      <c r="L327" s="1" t="s">
        <v>2360</v>
      </c>
      <c r="M327" t="s">
        <v>2361</v>
      </c>
      <c r="N327" s="1" t="s">
        <v>12</v>
      </c>
      <c r="O327" t="s">
        <v>2361</v>
      </c>
      <c r="P327" s="1" t="s">
        <v>2362</v>
      </c>
      <c r="Q327" s="1" t="s">
        <v>2663</v>
      </c>
      <c r="R327" s="1" t="s">
        <v>2604</v>
      </c>
      <c r="T327" s="1"/>
    </row>
    <row r="328" spans="5:20" x14ac:dyDescent="0.35">
      <c r="E328" s="1" t="s">
        <v>2304</v>
      </c>
      <c r="F328" s="1" t="s">
        <v>2295</v>
      </c>
      <c r="G328" t="s">
        <v>2801</v>
      </c>
      <c r="H328" s="1" t="s">
        <v>2310</v>
      </c>
      <c r="I328" s="1" t="s">
        <v>1882</v>
      </c>
      <c r="J328" s="1" t="s">
        <v>1</v>
      </c>
      <c r="K328" s="1" t="s">
        <v>1301</v>
      </c>
      <c r="L328" s="1" t="s">
        <v>2311</v>
      </c>
      <c r="M328" t="s">
        <v>2318</v>
      </c>
      <c r="N328" s="1" t="s">
        <v>12</v>
      </c>
      <c r="O328" t="s">
        <v>2318</v>
      </c>
      <c r="P328" s="1" t="s">
        <v>2319</v>
      </c>
      <c r="Q328" s="1" t="s">
        <v>2640</v>
      </c>
      <c r="R328" s="1" t="s">
        <v>2604</v>
      </c>
      <c r="T328" s="1"/>
    </row>
    <row r="329" spans="5:20" x14ac:dyDescent="0.35">
      <c r="E329" s="1" t="s">
        <v>2304</v>
      </c>
      <c r="F329" s="1" t="s">
        <v>2296</v>
      </c>
      <c r="G329" t="s">
        <v>2801</v>
      </c>
      <c r="H329" s="1" t="s">
        <v>2320</v>
      </c>
      <c r="I329" s="1" t="s">
        <v>1886</v>
      </c>
      <c r="J329" s="1" t="s">
        <v>1</v>
      </c>
      <c r="K329" s="1" t="s">
        <v>1301</v>
      </c>
      <c r="L329" s="1" t="s">
        <v>2321</v>
      </c>
      <c r="M329" t="s">
        <v>2322</v>
      </c>
      <c r="N329" s="1" t="s">
        <v>12</v>
      </c>
      <c r="O329" t="s">
        <v>2322</v>
      </c>
      <c r="P329" s="1" t="s">
        <v>2323</v>
      </c>
      <c r="Q329" s="1" t="s">
        <v>2641</v>
      </c>
      <c r="R329" s="1" t="s">
        <v>2604</v>
      </c>
      <c r="T329" s="1"/>
    </row>
    <row r="330" spans="5:20" x14ac:dyDescent="0.35">
      <c r="E330" s="1" t="s">
        <v>2304</v>
      </c>
      <c r="F330" s="1" t="s">
        <v>2250</v>
      </c>
      <c r="G330" t="s">
        <v>2801</v>
      </c>
      <c r="H330" s="1" t="s">
        <v>2251</v>
      </c>
      <c r="I330" s="1" t="s">
        <v>1880</v>
      </c>
      <c r="J330" s="1" t="s">
        <v>45</v>
      </c>
      <c r="K330" s="1" t="s">
        <v>3</v>
      </c>
      <c r="L330" s="1" t="s">
        <v>2252</v>
      </c>
      <c r="M330" t="s">
        <v>2253</v>
      </c>
      <c r="N330" s="1" t="s">
        <v>12</v>
      </c>
      <c r="O330" t="s">
        <v>2253</v>
      </c>
      <c r="P330" s="1" t="s">
        <v>2254</v>
      </c>
      <c r="Q330" s="1" t="s">
        <v>2664</v>
      </c>
      <c r="R330" s="1" t="s">
        <v>2604</v>
      </c>
      <c r="T330" s="1"/>
    </row>
    <row r="331" spans="5:20" x14ac:dyDescent="0.35">
      <c r="E331" s="1" t="s">
        <v>2304</v>
      </c>
      <c r="F331" s="1" t="s">
        <v>2255</v>
      </c>
      <c r="G331" t="s">
        <v>2802</v>
      </c>
      <c r="H331" s="1" t="s">
        <v>35</v>
      </c>
      <c r="I331" s="1" t="s">
        <v>1120</v>
      </c>
      <c r="J331" s="1" t="s">
        <v>1</v>
      </c>
      <c r="K331" s="1" t="s">
        <v>3</v>
      </c>
      <c r="L331" s="1" t="s">
        <v>2256</v>
      </c>
      <c r="M331" t="s">
        <v>2257</v>
      </c>
      <c r="N331" s="1" t="s">
        <v>12</v>
      </c>
      <c r="O331" t="s">
        <v>2257</v>
      </c>
      <c r="P331" s="1" t="s">
        <v>2258</v>
      </c>
      <c r="Q331" s="1" t="s">
        <v>2642</v>
      </c>
      <c r="R331" s="1" t="s">
        <v>2604</v>
      </c>
      <c r="T331" s="1"/>
    </row>
    <row r="332" spans="5:20" x14ac:dyDescent="0.35">
      <c r="E332" s="1" t="s">
        <v>2304</v>
      </c>
      <c r="F332" s="1" t="s">
        <v>2269</v>
      </c>
      <c r="G332" t="s">
        <v>2802</v>
      </c>
      <c r="H332" s="1" t="s">
        <v>2280</v>
      </c>
      <c r="I332" s="1" t="s">
        <v>2036</v>
      </c>
      <c r="J332" s="1" t="s">
        <v>1</v>
      </c>
      <c r="K332" s="1" t="s">
        <v>3</v>
      </c>
      <c r="L332" s="1" t="s">
        <v>2256</v>
      </c>
      <c r="M332" t="s">
        <v>2281</v>
      </c>
      <c r="N332" s="1" t="s">
        <v>12</v>
      </c>
      <c r="O332" t="s">
        <v>2281</v>
      </c>
      <c r="P332" s="1" t="s">
        <v>2282</v>
      </c>
      <c r="Q332" s="1" t="s">
        <v>2643</v>
      </c>
      <c r="R332" s="1" t="s">
        <v>2604</v>
      </c>
      <c r="T332" s="1"/>
    </row>
    <row r="333" spans="5:20" x14ac:dyDescent="0.35">
      <c r="E333" s="1" t="s">
        <v>2304</v>
      </c>
      <c r="F333" s="1" t="s">
        <v>2381</v>
      </c>
      <c r="G333" t="s">
        <v>2802</v>
      </c>
      <c r="H333" s="1" t="s">
        <v>2382</v>
      </c>
      <c r="I333" s="1" t="s">
        <v>1120</v>
      </c>
      <c r="J333" s="1" t="s">
        <v>45</v>
      </c>
      <c r="K333" s="1" t="s">
        <v>3</v>
      </c>
      <c r="L333" s="1" t="s">
        <v>2383</v>
      </c>
      <c r="M333" t="s">
        <v>2384</v>
      </c>
      <c r="N333" s="1" t="s">
        <v>12</v>
      </c>
      <c r="O333" t="s">
        <v>2384</v>
      </c>
      <c r="P333" s="1" t="s">
        <v>2385</v>
      </c>
      <c r="Q333" s="1" t="s">
        <v>2665</v>
      </c>
      <c r="R333" s="1" t="s">
        <v>2604</v>
      </c>
      <c r="T333" s="1"/>
    </row>
    <row r="334" spans="5:20" x14ac:dyDescent="0.35">
      <c r="E334" s="1" t="s">
        <v>2367</v>
      </c>
      <c r="F334" s="1" t="s">
        <v>2358</v>
      </c>
      <c r="G334" t="s">
        <v>2802</v>
      </c>
      <c r="H334" s="1" t="s">
        <v>2363</v>
      </c>
      <c r="I334" s="1" t="s">
        <v>1878</v>
      </c>
      <c r="J334" s="1" t="s">
        <v>36</v>
      </c>
      <c r="K334" s="1" t="s">
        <v>3</v>
      </c>
      <c r="L334" s="1" t="s">
        <v>2364</v>
      </c>
      <c r="M334" t="s">
        <v>2365</v>
      </c>
      <c r="N334" s="1" t="s">
        <v>12</v>
      </c>
      <c r="O334" t="s">
        <v>2365</v>
      </c>
      <c r="P334" s="1" t="s">
        <v>2366</v>
      </c>
      <c r="Q334" s="1" t="s">
        <v>2666</v>
      </c>
      <c r="R334" s="1" t="s">
        <v>2604</v>
      </c>
      <c r="T334" s="1"/>
    </row>
    <row r="335" spans="5:20" x14ac:dyDescent="0.35">
      <c r="E335" s="1" t="s">
        <v>2304</v>
      </c>
      <c r="F335" t="s">
        <v>2300</v>
      </c>
      <c r="G335" t="s">
        <v>2802</v>
      </c>
      <c r="H335" s="1" t="s">
        <v>2324</v>
      </c>
      <c r="I335" s="1" t="s">
        <v>1120</v>
      </c>
      <c r="J335" s="1" t="s">
        <v>1</v>
      </c>
      <c r="K335" s="1" t="s">
        <v>1301</v>
      </c>
      <c r="L335" s="1" t="s">
        <v>2325</v>
      </c>
      <c r="M335" s="1" t="s">
        <v>2326</v>
      </c>
      <c r="N335" s="1" t="s">
        <v>12</v>
      </c>
      <c r="O335" s="1" t="s">
        <v>2326</v>
      </c>
      <c r="P335" s="1" t="s">
        <v>2327</v>
      </c>
      <c r="Q335" s="1" t="s">
        <v>2644</v>
      </c>
      <c r="R335" s="1" t="s">
        <v>2604</v>
      </c>
      <c r="T335" s="1"/>
    </row>
    <row r="336" spans="5:20" x14ac:dyDescent="0.35">
      <c r="E336" s="1" t="s">
        <v>2304</v>
      </c>
      <c r="F336" s="1" t="s">
        <v>2297</v>
      </c>
      <c r="G336" t="s">
        <v>2802</v>
      </c>
      <c r="H336" s="1" t="s">
        <v>2328</v>
      </c>
      <c r="I336" s="1" t="s">
        <v>1882</v>
      </c>
      <c r="J336" s="1" t="s">
        <v>36</v>
      </c>
      <c r="K336" s="1" t="s">
        <v>1301</v>
      </c>
      <c r="L336" s="1" t="s">
        <v>2329</v>
      </c>
      <c r="M336" t="s">
        <v>2330</v>
      </c>
      <c r="N336" s="1" t="s">
        <v>12</v>
      </c>
      <c r="O336" t="s">
        <v>2330</v>
      </c>
      <c r="P336" s="1" t="s">
        <v>2331</v>
      </c>
      <c r="Q336" s="1" t="s">
        <v>2645</v>
      </c>
      <c r="R336" s="1" t="s">
        <v>2604</v>
      </c>
      <c r="T336" s="1"/>
    </row>
    <row r="337" spans="5:20" x14ac:dyDescent="0.35">
      <c r="E337" s="1" t="s">
        <v>2304</v>
      </c>
      <c r="F337" s="1" t="s">
        <v>34</v>
      </c>
      <c r="G337" t="s">
        <v>2802</v>
      </c>
      <c r="H337" s="1" t="s">
        <v>35</v>
      </c>
      <c r="I337" s="1" t="s">
        <v>1882</v>
      </c>
      <c r="J337" s="1" t="s">
        <v>36</v>
      </c>
      <c r="K337" s="1" t="s">
        <v>3</v>
      </c>
      <c r="L337" s="1" t="s">
        <v>2259</v>
      </c>
      <c r="M337" t="s">
        <v>37</v>
      </c>
      <c r="N337" s="1" t="s">
        <v>12</v>
      </c>
      <c r="O337" t="s">
        <v>37</v>
      </c>
      <c r="P337" s="1" t="s">
        <v>38</v>
      </c>
      <c r="Q337" s="1" t="s">
        <v>2646</v>
      </c>
      <c r="R337" s="1" t="s">
        <v>2604</v>
      </c>
      <c r="T337" s="1"/>
    </row>
    <row r="338" spans="5:20" x14ac:dyDescent="0.35">
      <c r="E338" s="1" t="s">
        <v>2304</v>
      </c>
      <c r="F338" s="1" t="s">
        <v>39</v>
      </c>
      <c r="G338" t="s">
        <v>2802</v>
      </c>
      <c r="H338" s="1" t="s">
        <v>40</v>
      </c>
      <c r="I338" s="1" t="s">
        <v>1882</v>
      </c>
      <c r="J338" s="1" t="s">
        <v>36</v>
      </c>
      <c r="K338" s="1" t="s">
        <v>3</v>
      </c>
      <c r="L338" s="1" t="s">
        <v>2259</v>
      </c>
      <c r="M338" t="s">
        <v>41</v>
      </c>
      <c r="N338" s="1" t="s">
        <v>12</v>
      </c>
      <c r="O338" t="s">
        <v>41</v>
      </c>
      <c r="P338" s="1" t="s">
        <v>42</v>
      </c>
      <c r="Q338" s="1" t="s">
        <v>2647</v>
      </c>
      <c r="R338" s="1" t="s">
        <v>2604</v>
      </c>
      <c r="T338" s="1"/>
    </row>
    <row r="339" spans="5:20" x14ac:dyDescent="0.35">
      <c r="E339" s="1" t="s">
        <v>2304</v>
      </c>
      <c r="F339" s="1" t="s">
        <v>2435</v>
      </c>
      <c r="G339" t="s">
        <v>2802</v>
      </c>
      <c r="H339" s="1" t="s">
        <v>2437</v>
      </c>
      <c r="I339" s="1" t="s">
        <v>1120</v>
      </c>
      <c r="J339" s="1" t="s">
        <v>6</v>
      </c>
      <c r="K339" s="1" t="s">
        <v>3</v>
      </c>
      <c r="L339" s="1" t="s">
        <v>2438</v>
      </c>
      <c r="M339" t="s">
        <v>2439</v>
      </c>
      <c r="N339" s="1" t="s">
        <v>12</v>
      </c>
      <c r="O339" t="s">
        <v>2439</v>
      </c>
      <c r="P339" s="1" t="s">
        <v>2440</v>
      </c>
      <c r="Q339" s="1" t="s">
        <v>2667</v>
      </c>
      <c r="R339" s="1" t="s">
        <v>2604</v>
      </c>
      <c r="T339" s="1"/>
    </row>
    <row r="340" spans="5:20" x14ac:dyDescent="0.35">
      <c r="E340" s="1" t="s">
        <v>2304</v>
      </c>
      <c r="F340" s="1" t="s">
        <v>2436</v>
      </c>
      <c r="G340" t="s">
        <v>2802</v>
      </c>
      <c r="H340" s="1" t="s">
        <v>2441</v>
      </c>
      <c r="I340" s="1" t="s">
        <v>1120</v>
      </c>
      <c r="J340" s="1" t="s">
        <v>45</v>
      </c>
      <c r="K340" s="1" t="s">
        <v>3</v>
      </c>
      <c r="L340" s="1" t="s">
        <v>2438</v>
      </c>
      <c r="M340" t="s">
        <v>2442</v>
      </c>
      <c r="N340" s="1" t="s">
        <v>12</v>
      </c>
      <c r="O340" t="s">
        <v>2442</v>
      </c>
      <c r="P340" s="1" t="s">
        <v>2443</v>
      </c>
      <c r="Q340" s="1" t="s">
        <v>2668</v>
      </c>
      <c r="R340" s="1" t="s">
        <v>2604</v>
      </c>
      <c r="T340" s="1"/>
    </row>
    <row r="341" spans="5:20" x14ac:dyDescent="0.35">
      <c r="E341" s="1" t="s">
        <v>2304</v>
      </c>
      <c r="F341" s="1" t="s">
        <v>2305</v>
      </c>
      <c r="G341" t="s">
        <v>2802</v>
      </c>
      <c r="H341" s="1" t="s">
        <v>2332</v>
      </c>
      <c r="I341" s="1" t="s">
        <v>2036</v>
      </c>
      <c r="J341" s="1" t="s">
        <v>1</v>
      </c>
      <c r="K341" s="1" t="s">
        <v>3</v>
      </c>
      <c r="L341" s="1" t="s">
        <v>2333</v>
      </c>
      <c r="M341" t="s">
        <v>2334</v>
      </c>
      <c r="N341" s="1" t="s">
        <v>12</v>
      </c>
      <c r="O341" t="s">
        <v>2334</v>
      </c>
      <c r="P341" s="1" t="s">
        <v>2335</v>
      </c>
      <c r="Q341" s="1" t="s">
        <v>2648</v>
      </c>
      <c r="R341" s="1" t="s">
        <v>2604</v>
      </c>
      <c r="T341" s="1"/>
    </row>
    <row r="342" spans="5:20" x14ac:dyDescent="0.35">
      <c r="E342" s="1" t="s">
        <v>2304</v>
      </c>
      <c r="F342" s="1" t="s">
        <v>2260</v>
      </c>
      <c r="G342" t="s">
        <v>2802</v>
      </c>
      <c r="H342" s="1" t="s">
        <v>2285</v>
      </c>
      <c r="I342" s="1" t="s">
        <v>1878</v>
      </c>
      <c r="J342" s="1" t="s">
        <v>1</v>
      </c>
      <c r="K342" s="1" t="s">
        <v>3</v>
      </c>
      <c r="L342" s="1" t="s">
        <v>2286</v>
      </c>
      <c r="M342" t="s">
        <v>2287</v>
      </c>
      <c r="N342" s="1" t="s">
        <v>12</v>
      </c>
      <c r="O342" t="s">
        <v>2287</v>
      </c>
      <c r="P342" s="1" t="s">
        <v>2288</v>
      </c>
      <c r="Q342" s="1" t="s">
        <v>2649</v>
      </c>
      <c r="R342" s="1" t="s">
        <v>2604</v>
      </c>
      <c r="T342" s="1"/>
    </row>
    <row r="343" spans="5:20" x14ac:dyDescent="0.35">
      <c r="E343" s="1" t="s">
        <v>2304</v>
      </c>
      <c r="F343" s="1" t="s">
        <v>43</v>
      </c>
      <c r="G343" t="s">
        <v>2802</v>
      </c>
      <c r="H343" s="1" t="s">
        <v>44</v>
      </c>
      <c r="I343" s="1" t="s">
        <v>1882</v>
      </c>
      <c r="J343" s="1" t="s">
        <v>45</v>
      </c>
      <c r="K343" s="1" t="s">
        <v>3</v>
      </c>
      <c r="L343" s="1" t="s">
        <v>2286</v>
      </c>
      <c r="M343" t="s">
        <v>46</v>
      </c>
      <c r="N343" s="1" t="s">
        <v>12</v>
      </c>
      <c r="O343" t="s">
        <v>46</v>
      </c>
      <c r="P343" s="1" t="s">
        <v>47</v>
      </c>
      <c r="Q343" s="1" t="s">
        <v>2669</v>
      </c>
      <c r="R343" s="1" t="s">
        <v>2604</v>
      </c>
      <c r="T343" s="1"/>
    </row>
    <row r="344" spans="5:20" x14ac:dyDescent="0.35">
      <c r="E344" s="1" t="s">
        <v>2304</v>
      </c>
      <c r="F344" s="1" t="s">
        <v>2463</v>
      </c>
      <c r="G344" t="s">
        <v>2803</v>
      </c>
      <c r="H344" s="1" t="s">
        <v>2468</v>
      </c>
      <c r="I344" s="1" t="s">
        <v>1642</v>
      </c>
      <c r="J344" s="1" t="s">
        <v>6</v>
      </c>
      <c r="K344" s="1" t="s">
        <v>3</v>
      </c>
      <c r="L344" s="1" t="s">
        <v>2469</v>
      </c>
      <c r="M344" t="s">
        <v>2470</v>
      </c>
      <c r="N344" s="1" t="s">
        <v>12</v>
      </c>
      <c r="O344" t="s">
        <v>2470</v>
      </c>
      <c r="P344" s="1" t="s">
        <v>2471</v>
      </c>
      <c r="Q344" s="1" t="s">
        <v>2670</v>
      </c>
      <c r="R344" s="1" t="s">
        <v>2604</v>
      </c>
      <c r="T344" s="1"/>
    </row>
    <row r="345" spans="5:20" x14ac:dyDescent="0.35">
      <c r="E345" s="1" t="s">
        <v>2304</v>
      </c>
      <c r="F345" s="1" t="s">
        <v>58</v>
      </c>
      <c r="G345" t="s">
        <v>2803</v>
      </c>
      <c r="H345" s="1" t="s">
        <v>59</v>
      </c>
      <c r="I345" s="1" t="s">
        <v>1878</v>
      </c>
      <c r="J345" s="1" t="s">
        <v>49</v>
      </c>
      <c r="K345" s="1" t="s">
        <v>3</v>
      </c>
      <c r="L345" s="1" t="s">
        <v>2336</v>
      </c>
      <c r="M345" t="s">
        <v>60</v>
      </c>
      <c r="N345" s="1" t="s">
        <v>12</v>
      </c>
      <c r="O345" t="s">
        <v>60</v>
      </c>
      <c r="P345" s="1" t="s">
        <v>61</v>
      </c>
      <c r="Q345" s="1" t="s">
        <v>2650</v>
      </c>
      <c r="R345" s="1" t="s">
        <v>2604</v>
      </c>
      <c r="T345" s="1"/>
    </row>
    <row r="346" spans="5:20" x14ac:dyDescent="0.35">
      <c r="E346" s="1" t="s">
        <v>2367</v>
      </c>
      <c r="F346" s="1" t="s">
        <v>2526</v>
      </c>
      <c r="G346" t="s">
        <v>2804</v>
      </c>
      <c r="H346" s="1" t="s">
        <v>2527</v>
      </c>
      <c r="I346" s="1" t="s">
        <v>1878</v>
      </c>
      <c r="J346" s="1" t="s">
        <v>1</v>
      </c>
      <c r="K346" s="1" t="s">
        <v>3</v>
      </c>
      <c r="L346" s="1" t="s">
        <v>2528</v>
      </c>
      <c r="M346" t="s">
        <v>2529</v>
      </c>
      <c r="N346" s="1" t="s">
        <v>12</v>
      </c>
      <c r="O346" t="s">
        <v>2529</v>
      </c>
      <c r="P346" s="1" t="s">
        <v>2530</v>
      </c>
      <c r="Q346" s="1" t="s">
        <v>2671</v>
      </c>
      <c r="R346" s="1" t="s">
        <v>2604</v>
      </c>
      <c r="T346" s="1"/>
    </row>
    <row r="347" spans="5:20" x14ac:dyDescent="0.35">
      <c r="E347" s="1" t="s">
        <v>2304</v>
      </c>
      <c r="F347" t="s">
        <v>2299</v>
      </c>
      <c r="G347" t="s">
        <v>2804</v>
      </c>
      <c r="H347" s="1" t="s">
        <v>2337</v>
      </c>
      <c r="I347" s="1" t="s">
        <v>327</v>
      </c>
      <c r="J347" s="1" t="s">
        <v>1</v>
      </c>
      <c r="K347" s="1" t="s">
        <v>3</v>
      </c>
      <c r="L347" s="1" t="s">
        <v>2338</v>
      </c>
      <c r="M347" s="1" t="s">
        <v>2339</v>
      </c>
      <c r="N347" s="1" t="s">
        <v>12</v>
      </c>
      <c r="O347" s="1" t="s">
        <v>2339</v>
      </c>
      <c r="P347" s="1" t="s">
        <v>2340</v>
      </c>
      <c r="Q347" s="1" t="s">
        <v>2672</v>
      </c>
      <c r="R347" s="1" t="s">
        <v>2604</v>
      </c>
      <c r="T347" s="1"/>
    </row>
    <row r="348" spans="5:20" x14ac:dyDescent="0.35">
      <c r="E348" s="1" t="s">
        <v>2304</v>
      </c>
      <c r="F348" s="1" t="s">
        <v>2298</v>
      </c>
      <c r="G348" t="s">
        <v>2804</v>
      </c>
      <c r="H348" s="1" t="s">
        <v>2341</v>
      </c>
      <c r="I348" s="1" t="s">
        <v>327</v>
      </c>
      <c r="J348" s="1" t="s">
        <v>1</v>
      </c>
      <c r="K348" s="1" t="s">
        <v>3</v>
      </c>
      <c r="L348" s="1" t="s">
        <v>2342</v>
      </c>
      <c r="M348" t="s">
        <v>2343</v>
      </c>
      <c r="N348" s="1" t="s">
        <v>12</v>
      </c>
      <c r="O348" t="s">
        <v>2343</v>
      </c>
      <c r="P348" s="1" t="s">
        <v>2344</v>
      </c>
      <c r="Q348" s="1" t="s">
        <v>2673</v>
      </c>
      <c r="R348" s="1" t="s">
        <v>2604</v>
      </c>
      <c r="T348" s="1"/>
    </row>
    <row r="349" spans="5:20" x14ac:dyDescent="0.35">
      <c r="E349" s="1" t="s">
        <v>2304</v>
      </c>
      <c r="F349" s="1" t="s">
        <v>2430</v>
      </c>
      <c r="G349" t="s">
        <v>2804</v>
      </c>
      <c r="H349" s="1" t="s">
        <v>2431</v>
      </c>
      <c r="I349" s="1" t="s">
        <v>2036</v>
      </c>
      <c r="J349" s="1" t="s">
        <v>6</v>
      </c>
      <c r="K349" s="1" t="s">
        <v>3</v>
      </c>
      <c r="L349" s="1" t="s">
        <v>2432</v>
      </c>
      <c r="M349" t="s">
        <v>2433</v>
      </c>
      <c r="N349" s="1" t="s">
        <v>12</v>
      </c>
      <c r="O349" t="s">
        <v>2433</v>
      </c>
      <c r="P349" s="1" t="s">
        <v>2434</v>
      </c>
      <c r="Q349" s="1" t="s">
        <v>2674</v>
      </c>
      <c r="R349" s="1" t="s">
        <v>2604</v>
      </c>
      <c r="T349" s="1"/>
    </row>
    <row r="350" spans="5:20" x14ac:dyDescent="0.35">
      <c r="E350" s="1" t="s">
        <v>2304</v>
      </c>
      <c r="F350" s="1" t="s">
        <v>2261</v>
      </c>
      <c r="G350" t="s">
        <v>2805</v>
      </c>
      <c r="H350" s="1" t="s">
        <v>2291</v>
      </c>
      <c r="I350" s="1" t="s">
        <v>2036</v>
      </c>
      <c r="J350" s="1" t="s">
        <v>1</v>
      </c>
      <c r="K350" s="1" t="s">
        <v>3</v>
      </c>
      <c r="L350" s="1" t="s">
        <v>2292</v>
      </c>
      <c r="M350" t="s">
        <v>2293</v>
      </c>
      <c r="N350" s="1" t="s">
        <v>12</v>
      </c>
      <c r="O350" t="s">
        <v>2293</v>
      </c>
      <c r="P350" s="1" t="s">
        <v>2294</v>
      </c>
      <c r="Q350" s="1" t="s">
        <v>2675</v>
      </c>
      <c r="R350" s="1" t="s">
        <v>2604</v>
      </c>
      <c r="T350" s="1"/>
    </row>
    <row r="351" spans="5:20" x14ac:dyDescent="0.35">
      <c r="E351" s="1" t="s">
        <v>2304</v>
      </c>
      <c r="F351" s="1" t="s">
        <v>2597</v>
      </c>
      <c r="G351" t="s">
        <v>2806</v>
      </c>
      <c r="H351" s="1" t="s">
        <v>2598</v>
      </c>
      <c r="I351" s="1" t="s">
        <v>1880</v>
      </c>
      <c r="J351" s="1" t="s">
        <v>1</v>
      </c>
      <c r="K351" s="1" t="s">
        <v>3</v>
      </c>
      <c r="L351" s="1" t="s">
        <v>2599</v>
      </c>
      <c r="M351" t="s">
        <v>2600</v>
      </c>
      <c r="N351" s="1" t="s">
        <v>12</v>
      </c>
      <c r="O351" t="s">
        <v>2600</v>
      </c>
      <c r="P351" s="1" t="s">
        <v>2601</v>
      </c>
      <c r="Q351" s="1" t="s">
        <v>2676</v>
      </c>
      <c r="R351" s="1" t="s">
        <v>2604</v>
      </c>
      <c r="T351" s="1"/>
    </row>
    <row r="352" spans="5:20" x14ac:dyDescent="0.35">
      <c r="E352" s="1" t="s">
        <v>2304</v>
      </c>
      <c r="F352" s="1" t="s">
        <v>2301</v>
      </c>
      <c r="G352" t="s">
        <v>2806</v>
      </c>
      <c r="H352" s="1" t="s">
        <v>2346</v>
      </c>
      <c r="I352" s="1" t="s">
        <v>1880</v>
      </c>
      <c r="J352" s="1" t="s">
        <v>1</v>
      </c>
      <c r="K352" s="1" t="s">
        <v>3</v>
      </c>
      <c r="L352" s="1" t="s">
        <v>2347</v>
      </c>
      <c r="M352" t="s">
        <v>2348</v>
      </c>
      <c r="N352" s="1" t="s">
        <v>12</v>
      </c>
      <c r="O352" t="s">
        <v>2348</v>
      </c>
      <c r="P352" s="1" t="s">
        <v>2349</v>
      </c>
      <c r="Q352" s="1" t="s">
        <v>2677</v>
      </c>
      <c r="R352" s="1" t="s">
        <v>2604</v>
      </c>
      <c r="T352" s="1"/>
    </row>
    <row r="353" spans="5:20" x14ac:dyDescent="0.35">
      <c r="E353" s="1" t="s">
        <v>2304</v>
      </c>
      <c r="F353" s="1" t="s">
        <v>2262</v>
      </c>
      <c r="G353" t="s">
        <v>2806</v>
      </c>
      <c r="H353" s="1" t="s">
        <v>2350</v>
      </c>
      <c r="I353" s="1" t="s">
        <v>1880</v>
      </c>
      <c r="J353" s="1" t="s">
        <v>1</v>
      </c>
      <c r="K353" s="1" t="s">
        <v>3</v>
      </c>
      <c r="L353" s="1" t="s">
        <v>2351</v>
      </c>
      <c r="M353" t="s">
        <v>2352</v>
      </c>
      <c r="N353" s="1" t="s">
        <v>12</v>
      </c>
      <c r="O353" t="s">
        <v>2352</v>
      </c>
      <c r="P353" s="1" t="s">
        <v>2353</v>
      </c>
      <c r="Q353" s="1" t="s">
        <v>2678</v>
      </c>
      <c r="R353" s="1" t="s">
        <v>2604</v>
      </c>
      <c r="T353" s="1"/>
    </row>
    <row r="354" spans="5:20" x14ac:dyDescent="0.35">
      <c r="E354" s="1" t="s">
        <v>2304</v>
      </c>
      <c r="F354" s="1" t="s">
        <v>2302</v>
      </c>
      <c r="G354" t="s">
        <v>2806</v>
      </c>
      <c r="H354" s="1" t="s">
        <v>2354</v>
      </c>
      <c r="I354" s="1" t="s">
        <v>1880</v>
      </c>
      <c r="J354" s="1" t="s">
        <v>1</v>
      </c>
      <c r="K354" s="1" t="s">
        <v>3</v>
      </c>
      <c r="L354" s="1" t="s">
        <v>2351</v>
      </c>
      <c r="M354" t="s">
        <v>2355</v>
      </c>
      <c r="N354" s="1" t="s">
        <v>12</v>
      </c>
      <c r="O354" t="s">
        <v>2355</v>
      </c>
      <c r="P354" s="1" t="s">
        <v>2356</v>
      </c>
      <c r="Q354" s="1" t="s">
        <v>2679</v>
      </c>
      <c r="R354" s="1" t="s">
        <v>2604</v>
      </c>
      <c r="T354" s="1"/>
    </row>
    <row r="355" spans="5:20" x14ac:dyDescent="0.35">
      <c r="E355" s="1" t="s">
        <v>2304</v>
      </c>
      <c r="F355" s="1" t="s">
        <v>2263</v>
      </c>
      <c r="G355" t="s">
        <v>2806</v>
      </c>
      <c r="H355" s="1" t="s">
        <v>2368</v>
      </c>
      <c r="I355" s="1" t="s">
        <v>1880</v>
      </c>
      <c r="J355" s="1" t="s">
        <v>1</v>
      </c>
      <c r="K355" s="1" t="s">
        <v>3</v>
      </c>
      <c r="L355" s="1" t="s">
        <v>2369</v>
      </c>
      <c r="M355" t="s">
        <v>2370</v>
      </c>
      <c r="N355" s="1" t="s">
        <v>12</v>
      </c>
      <c r="O355" t="s">
        <v>2370</v>
      </c>
      <c r="P355" s="1" t="s">
        <v>2371</v>
      </c>
      <c r="Q355" s="1" t="s">
        <v>2680</v>
      </c>
      <c r="R355" s="1" t="s">
        <v>2604</v>
      </c>
      <c r="T355" s="1"/>
    </row>
    <row r="356" spans="5:20" x14ac:dyDescent="0.35">
      <c r="E356" s="1" t="s">
        <v>2304</v>
      </c>
      <c r="F356" s="1" t="s">
        <v>2307</v>
      </c>
      <c r="G356" t="s">
        <v>2806</v>
      </c>
      <c r="H356" s="1" t="s">
        <v>2372</v>
      </c>
      <c r="I356" s="1" t="s">
        <v>2036</v>
      </c>
      <c r="J356" s="1" t="s">
        <v>1</v>
      </c>
      <c r="K356" s="1" t="s">
        <v>3</v>
      </c>
      <c r="L356" s="1" t="s">
        <v>2373</v>
      </c>
      <c r="M356" t="s">
        <v>2374</v>
      </c>
      <c r="N356" s="1" t="s">
        <v>12</v>
      </c>
      <c r="O356" t="s">
        <v>2374</v>
      </c>
      <c r="P356" s="1" t="s">
        <v>2375</v>
      </c>
      <c r="Q356" s="1" t="s">
        <v>2681</v>
      </c>
      <c r="R356" s="1" t="s">
        <v>2604</v>
      </c>
      <c r="T356" s="1"/>
    </row>
    <row r="357" spans="5:20" x14ac:dyDescent="0.35">
      <c r="E357" s="1" t="s">
        <v>2304</v>
      </c>
      <c r="F357" s="1" t="s">
        <v>2264</v>
      </c>
      <c r="G357" t="s">
        <v>2999</v>
      </c>
      <c r="H357" s="1" t="s">
        <v>2376</v>
      </c>
      <c r="I357" s="1" t="s">
        <v>1882</v>
      </c>
      <c r="J357" s="1" t="s">
        <v>1</v>
      </c>
      <c r="K357" s="1" t="s">
        <v>3</v>
      </c>
      <c r="L357" s="1" t="s">
        <v>2377</v>
      </c>
      <c r="M357" t="s">
        <v>2378</v>
      </c>
      <c r="N357" s="1" t="s">
        <v>12</v>
      </c>
      <c r="O357" t="s">
        <v>2378</v>
      </c>
      <c r="P357" s="1" t="s">
        <v>2379</v>
      </c>
      <c r="Q357" s="1" t="s">
        <v>2682</v>
      </c>
      <c r="R357" s="1" t="s">
        <v>2604</v>
      </c>
      <c r="T357" s="1"/>
    </row>
    <row r="358" spans="5:20" x14ac:dyDescent="0.35">
      <c r="E358" s="1" t="s">
        <v>2304</v>
      </c>
      <c r="F358" s="1" t="s">
        <v>2265</v>
      </c>
      <c r="G358" t="s">
        <v>2999</v>
      </c>
      <c r="H358" s="1" t="s">
        <v>2386</v>
      </c>
      <c r="I358" s="1" t="s">
        <v>2036</v>
      </c>
      <c r="J358" s="1" t="s">
        <v>1</v>
      </c>
      <c r="K358" s="1" t="s">
        <v>3</v>
      </c>
      <c r="L358" s="1" t="s">
        <v>2377</v>
      </c>
      <c r="M358" t="s">
        <v>2387</v>
      </c>
      <c r="N358" s="1" t="s">
        <v>12</v>
      </c>
      <c r="O358" t="s">
        <v>2387</v>
      </c>
      <c r="P358" s="1" t="s">
        <v>2388</v>
      </c>
      <c r="Q358" s="1" t="s">
        <v>2683</v>
      </c>
      <c r="R358" s="1" t="s">
        <v>2604</v>
      </c>
      <c r="T358" s="1"/>
    </row>
    <row r="359" spans="5:20" x14ac:dyDescent="0.35">
      <c r="E359" s="1" t="s">
        <v>2304</v>
      </c>
      <c r="F359" s="1" t="s">
        <v>2266</v>
      </c>
      <c r="G359" t="s">
        <v>2999</v>
      </c>
      <c r="H359" s="1" t="s">
        <v>2389</v>
      </c>
      <c r="I359" s="1" t="s">
        <v>2036</v>
      </c>
      <c r="J359" s="1" t="s">
        <v>1</v>
      </c>
      <c r="K359" s="1" t="s">
        <v>3</v>
      </c>
      <c r="L359" s="1" t="s">
        <v>2377</v>
      </c>
      <c r="M359" t="s">
        <v>2390</v>
      </c>
      <c r="N359" s="1" t="s">
        <v>12</v>
      </c>
      <c r="O359" t="s">
        <v>2390</v>
      </c>
      <c r="P359" s="1" t="s">
        <v>2391</v>
      </c>
      <c r="Q359" s="1" t="s">
        <v>2684</v>
      </c>
      <c r="R359" s="1" t="s">
        <v>2604</v>
      </c>
      <c r="T359" s="1"/>
    </row>
    <row r="360" spans="5:20" x14ac:dyDescent="0.35">
      <c r="E360" s="1" t="s">
        <v>2304</v>
      </c>
      <c r="F360" s="1" t="s">
        <v>2267</v>
      </c>
      <c r="G360" t="s">
        <v>2999</v>
      </c>
      <c r="H360" s="1" t="s">
        <v>2392</v>
      </c>
      <c r="I360" s="1" t="s">
        <v>2036</v>
      </c>
      <c r="J360" s="1" t="s">
        <v>1</v>
      </c>
      <c r="K360" s="1" t="s">
        <v>3</v>
      </c>
      <c r="L360" s="1" t="s">
        <v>2377</v>
      </c>
      <c r="M360" t="s">
        <v>2393</v>
      </c>
      <c r="N360" s="1" t="s">
        <v>12</v>
      </c>
      <c r="O360" t="s">
        <v>2393</v>
      </c>
      <c r="P360" s="1" t="s">
        <v>2394</v>
      </c>
      <c r="Q360" s="1" t="s">
        <v>2685</v>
      </c>
      <c r="R360" s="1" t="s">
        <v>2604</v>
      </c>
      <c r="T360" s="1"/>
    </row>
    <row r="361" spans="5:20" x14ac:dyDescent="0.35">
      <c r="E361" s="1" t="s">
        <v>2304</v>
      </c>
      <c r="F361" s="1" t="s">
        <v>2268</v>
      </c>
      <c r="G361" t="s">
        <v>2999</v>
      </c>
      <c r="H361" s="1" t="s">
        <v>2395</v>
      </c>
      <c r="I361" s="1" t="s">
        <v>2036</v>
      </c>
      <c r="J361" s="1" t="s">
        <v>1</v>
      </c>
      <c r="K361" s="1" t="s">
        <v>3</v>
      </c>
      <c r="L361" s="1" t="s">
        <v>2377</v>
      </c>
      <c r="M361" t="s">
        <v>2396</v>
      </c>
      <c r="N361" s="1" t="s">
        <v>12</v>
      </c>
      <c r="O361" t="s">
        <v>2396</v>
      </c>
      <c r="P361" s="1" t="s">
        <v>2397</v>
      </c>
      <c r="Q361" s="1" t="s">
        <v>2686</v>
      </c>
      <c r="R361" s="1" t="s">
        <v>2604</v>
      </c>
      <c r="T361" s="1"/>
    </row>
    <row r="362" spans="5:20" x14ac:dyDescent="0.35">
      <c r="E362" s="1" t="s">
        <v>2304</v>
      </c>
      <c r="F362" s="1" t="s">
        <v>255</v>
      </c>
      <c r="G362" t="s">
        <v>2999</v>
      </c>
      <c r="H362" s="1" t="s">
        <v>256</v>
      </c>
      <c r="I362" s="1" t="s">
        <v>1120</v>
      </c>
      <c r="J362" s="1" t="s">
        <v>1</v>
      </c>
      <c r="K362" s="1" t="s">
        <v>3</v>
      </c>
      <c r="L362" s="1" t="s">
        <v>2377</v>
      </c>
      <c r="M362" t="s">
        <v>257</v>
      </c>
      <c r="N362" s="1" t="s">
        <v>12</v>
      </c>
      <c r="O362" t="s">
        <v>257</v>
      </c>
      <c r="P362" s="1" t="s">
        <v>258</v>
      </c>
      <c r="Q362" s="1" t="s">
        <v>2687</v>
      </c>
      <c r="R362" s="1" t="s">
        <v>2604</v>
      </c>
      <c r="T362" s="1"/>
    </row>
    <row r="363" spans="5:20" x14ac:dyDescent="0.35">
      <c r="E363" s="1" t="s">
        <v>2304</v>
      </c>
      <c r="F363" s="1" t="s">
        <v>2569</v>
      </c>
      <c r="G363" t="s">
        <v>2999</v>
      </c>
      <c r="H363" s="1" t="s">
        <v>2571</v>
      </c>
      <c r="I363" s="1" t="s">
        <v>327</v>
      </c>
      <c r="J363" s="1" t="s">
        <v>45</v>
      </c>
      <c r="K363" s="1" t="s">
        <v>3</v>
      </c>
      <c r="L363" s="1" t="s">
        <v>2377</v>
      </c>
      <c r="M363" t="s">
        <v>2572</v>
      </c>
      <c r="N363" s="1" t="s">
        <v>12</v>
      </c>
      <c r="O363" t="s">
        <v>2572</v>
      </c>
      <c r="P363" s="1" t="s">
        <v>2573</v>
      </c>
      <c r="Q363" s="1" t="s">
        <v>2688</v>
      </c>
      <c r="R363" s="1" t="s">
        <v>2604</v>
      </c>
      <c r="T363" s="1"/>
    </row>
    <row r="364" spans="5:20" x14ac:dyDescent="0.35">
      <c r="E364" s="1" t="s">
        <v>2304</v>
      </c>
      <c r="F364" s="1" t="s">
        <v>2570</v>
      </c>
      <c r="G364" t="s">
        <v>2999</v>
      </c>
      <c r="H364" s="1" t="s">
        <v>2574</v>
      </c>
      <c r="I364" s="1" t="s">
        <v>327</v>
      </c>
      <c r="J364" s="1" t="s">
        <v>45</v>
      </c>
      <c r="K364" s="1" t="s">
        <v>3</v>
      </c>
      <c r="L364" s="1" t="s">
        <v>2377</v>
      </c>
      <c r="M364" t="s">
        <v>2575</v>
      </c>
      <c r="N364" s="1" t="s">
        <v>12</v>
      </c>
      <c r="O364" t="s">
        <v>2575</v>
      </c>
      <c r="P364" s="1" t="s">
        <v>2576</v>
      </c>
      <c r="Q364" s="1" t="s">
        <v>2689</v>
      </c>
      <c r="R364" s="1" t="s">
        <v>2604</v>
      </c>
      <c r="T364" s="1"/>
    </row>
    <row r="365" spans="5:20" x14ac:dyDescent="0.35">
      <c r="E365" s="1" t="s">
        <v>2304</v>
      </c>
      <c r="F365" s="1" t="s">
        <v>2476</v>
      </c>
      <c r="G365" t="s">
        <v>2999</v>
      </c>
      <c r="H365" s="1" t="s">
        <v>2472</v>
      </c>
      <c r="I365" s="1" t="s">
        <v>1120</v>
      </c>
      <c r="J365" s="1" t="s">
        <v>1975</v>
      </c>
      <c r="K365" s="1" t="s">
        <v>3</v>
      </c>
      <c r="L365" s="1" t="s">
        <v>2377</v>
      </c>
      <c r="M365" t="s">
        <v>2477</v>
      </c>
      <c r="N365" s="1" t="s">
        <v>12</v>
      </c>
      <c r="O365" t="s">
        <v>2477</v>
      </c>
      <c r="P365" s="1" t="s">
        <v>2478</v>
      </c>
      <c r="Q365" s="1" t="s">
        <v>2690</v>
      </c>
      <c r="R365" s="1" t="s">
        <v>2604</v>
      </c>
      <c r="T365" s="1"/>
    </row>
    <row r="366" spans="5:20" x14ac:dyDescent="0.35">
      <c r="E366" s="1" t="s">
        <v>2304</v>
      </c>
      <c r="F366" s="1" t="s">
        <v>2308</v>
      </c>
      <c r="G366" t="s">
        <v>2999</v>
      </c>
      <c r="H366" s="1" t="s">
        <v>2398</v>
      </c>
      <c r="I366" s="1" t="s">
        <v>2036</v>
      </c>
      <c r="J366" s="1" t="s">
        <v>6</v>
      </c>
      <c r="K366" s="1" t="s">
        <v>3</v>
      </c>
      <c r="L366" s="1" t="s">
        <v>2399</v>
      </c>
      <c r="M366" t="s">
        <v>2400</v>
      </c>
      <c r="N366" s="1" t="s">
        <v>12</v>
      </c>
      <c r="O366" t="s">
        <v>2400</v>
      </c>
      <c r="P366" s="1" t="s">
        <v>2401</v>
      </c>
      <c r="Q366" s="1" t="s">
        <v>2691</v>
      </c>
      <c r="R366" s="1" t="s">
        <v>2604</v>
      </c>
      <c r="T366" s="1"/>
    </row>
    <row r="367" spans="5:20" x14ac:dyDescent="0.35">
      <c r="E367" s="1" t="s">
        <v>2304</v>
      </c>
      <c r="F367" s="1" t="s">
        <v>2461</v>
      </c>
      <c r="G367" t="s">
        <v>2999</v>
      </c>
      <c r="H367" s="1" t="s">
        <v>2472</v>
      </c>
      <c r="I367" s="1" t="s">
        <v>1120</v>
      </c>
      <c r="J367" s="1" t="s">
        <v>1</v>
      </c>
      <c r="K367" s="1" t="s">
        <v>3</v>
      </c>
      <c r="L367" s="1" t="s">
        <v>2473</v>
      </c>
      <c r="M367" t="s">
        <v>2474</v>
      </c>
      <c r="N367" s="1" t="s">
        <v>12</v>
      </c>
      <c r="O367" t="s">
        <v>2474</v>
      </c>
      <c r="P367" s="1" t="s">
        <v>2475</v>
      </c>
      <c r="Q367" s="1" t="s">
        <v>2692</v>
      </c>
      <c r="R367" s="1" t="s">
        <v>2604</v>
      </c>
      <c r="T367" s="1"/>
    </row>
    <row r="368" spans="5:20" x14ac:dyDescent="0.35">
      <c r="E368" s="1" t="s">
        <v>2304</v>
      </c>
      <c r="F368" s="1" t="s">
        <v>2490</v>
      </c>
      <c r="G368" t="s">
        <v>2999</v>
      </c>
      <c r="H368" s="1" t="s">
        <v>2492</v>
      </c>
      <c r="I368" s="1" t="s">
        <v>1882</v>
      </c>
      <c r="J368" s="1" t="s">
        <v>1</v>
      </c>
      <c r="K368" s="1" t="s">
        <v>3</v>
      </c>
      <c r="L368" s="1" t="s">
        <v>2493</v>
      </c>
      <c r="M368" t="s">
        <v>2494</v>
      </c>
      <c r="N368" s="1" t="s">
        <v>12</v>
      </c>
      <c r="O368" t="s">
        <v>2494</v>
      </c>
      <c r="P368" s="1" t="s">
        <v>2495</v>
      </c>
      <c r="Q368" s="1" t="s">
        <v>2693</v>
      </c>
      <c r="R368" s="1" t="s">
        <v>2604</v>
      </c>
      <c r="T368" s="1"/>
    </row>
    <row r="369" spans="5:20" x14ac:dyDescent="0.35">
      <c r="E369" s="1" t="s">
        <v>2304</v>
      </c>
      <c r="F369" s="1" t="s">
        <v>2421</v>
      </c>
      <c r="G369" t="s">
        <v>2999</v>
      </c>
      <c r="H369" s="1" t="s">
        <v>2426</v>
      </c>
      <c r="I369" s="1" t="s">
        <v>1878</v>
      </c>
      <c r="J369" s="1" t="s">
        <v>6</v>
      </c>
      <c r="K369" s="1" t="s">
        <v>3</v>
      </c>
      <c r="L369" s="1" t="s">
        <v>2427</v>
      </c>
      <c r="M369" t="s">
        <v>2428</v>
      </c>
      <c r="N369" s="1" t="s">
        <v>12</v>
      </c>
      <c r="O369" t="s">
        <v>2428</v>
      </c>
      <c r="P369" s="1" t="s">
        <v>2429</v>
      </c>
      <c r="Q369" s="1" t="s">
        <v>2694</v>
      </c>
      <c r="R369" s="1" t="s">
        <v>2604</v>
      </c>
      <c r="T369" s="1"/>
    </row>
    <row r="370" spans="5:20" x14ac:dyDescent="0.35">
      <c r="E370" s="1" t="s">
        <v>2304</v>
      </c>
      <c r="F370" s="1" t="s">
        <v>2270</v>
      </c>
      <c r="G370" t="s">
        <v>2999</v>
      </c>
      <c r="H370" s="1" t="s">
        <v>2402</v>
      </c>
      <c r="I370" s="1" t="s">
        <v>1120</v>
      </c>
      <c r="J370" s="1" t="s">
        <v>1</v>
      </c>
      <c r="K370" s="1" t="s">
        <v>3</v>
      </c>
      <c r="L370" s="1" t="s">
        <v>2403</v>
      </c>
      <c r="M370" t="s">
        <v>2404</v>
      </c>
      <c r="N370" s="1" t="s">
        <v>12</v>
      </c>
      <c r="O370" t="s">
        <v>2404</v>
      </c>
      <c r="P370" s="1" t="s">
        <v>2405</v>
      </c>
      <c r="Q370" s="1" t="s">
        <v>2695</v>
      </c>
      <c r="R370" s="1" t="s">
        <v>2604</v>
      </c>
      <c r="T370" s="1"/>
    </row>
    <row r="371" spans="5:20" x14ac:dyDescent="0.35">
      <c r="E371" s="1" t="s">
        <v>2304</v>
      </c>
      <c r="F371" s="1" t="s">
        <v>2271</v>
      </c>
      <c r="G371" t="s">
        <v>2999</v>
      </c>
      <c r="H371" s="1" t="s">
        <v>2406</v>
      </c>
      <c r="I371" s="1" t="s">
        <v>1880</v>
      </c>
      <c r="J371" s="1" t="s">
        <v>1</v>
      </c>
      <c r="K371" s="1" t="s">
        <v>3</v>
      </c>
      <c r="L371" s="1" t="s">
        <v>2403</v>
      </c>
      <c r="M371" t="s">
        <v>2407</v>
      </c>
      <c r="N371" s="1" t="s">
        <v>12</v>
      </c>
      <c r="O371" t="s">
        <v>2407</v>
      </c>
      <c r="P371" s="1" t="s">
        <v>2408</v>
      </c>
      <c r="Q371" s="1" t="s">
        <v>2696</v>
      </c>
      <c r="R371" s="1" t="s">
        <v>2604</v>
      </c>
      <c r="T371" s="1"/>
    </row>
    <row r="372" spans="5:20" x14ac:dyDescent="0.35">
      <c r="E372" s="1" t="s">
        <v>2304</v>
      </c>
      <c r="F372" s="1" t="s">
        <v>2272</v>
      </c>
      <c r="G372" t="s">
        <v>2999</v>
      </c>
      <c r="H372" s="1" t="s">
        <v>2409</v>
      </c>
      <c r="I372" s="1" t="s">
        <v>327</v>
      </c>
      <c r="J372" s="1" t="s">
        <v>1</v>
      </c>
      <c r="K372" s="1" t="s">
        <v>3</v>
      </c>
      <c r="L372" s="1" t="s">
        <v>2403</v>
      </c>
      <c r="M372" t="s">
        <v>2410</v>
      </c>
      <c r="N372" s="1" t="s">
        <v>12</v>
      </c>
      <c r="O372" t="s">
        <v>2410</v>
      </c>
      <c r="P372" s="1" t="s">
        <v>2411</v>
      </c>
      <c r="Q372" s="1" t="s">
        <v>2697</v>
      </c>
      <c r="R372" s="1" t="s">
        <v>2604</v>
      </c>
      <c r="T372" s="1"/>
    </row>
    <row r="373" spans="5:20" x14ac:dyDescent="0.35">
      <c r="E373" s="1" t="s">
        <v>2367</v>
      </c>
      <c r="F373" s="1" t="s">
        <v>2525</v>
      </c>
      <c r="G373" t="s">
        <v>2999</v>
      </c>
      <c r="H373" s="1" t="s">
        <v>2531</v>
      </c>
      <c r="I373" s="1" t="s">
        <v>1878</v>
      </c>
      <c r="J373" s="1" t="s">
        <v>1</v>
      </c>
      <c r="K373" s="1" t="s">
        <v>3</v>
      </c>
      <c r="L373" s="1" t="s">
        <v>2532</v>
      </c>
      <c r="M373" t="s">
        <v>2533</v>
      </c>
      <c r="N373" s="1" t="s">
        <v>12</v>
      </c>
      <c r="O373" t="s">
        <v>2533</v>
      </c>
      <c r="P373" s="1" t="s">
        <v>2534</v>
      </c>
      <c r="Q373" s="1" t="s">
        <v>2698</v>
      </c>
      <c r="R373" s="1" t="s">
        <v>2604</v>
      </c>
      <c r="T373" s="1"/>
    </row>
    <row r="374" spans="5:20" x14ac:dyDescent="0.35">
      <c r="E374" s="1" t="s">
        <v>2304</v>
      </c>
      <c r="F374" s="1" t="s">
        <v>2462</v>
      </c>
      <c r="G374" t="s">
        <v>2999</v>
      </c>
      <c r="H374" s="1" t="s">
        <v>2479</v>
      </c>
      <c r="I374" s="1" t="s">
        <v>1120</v>
      </c>
      <c r="J374" s="1" t="s">
        <v>1</v>
      </c>
      <c r="K374" s="1" t="s">
        <v>3</v>
      </c>
      <c r="L374" s="1" t="s">
        <v>2480</v>
      </c>
      <c r="M374" t="s">
        <v>2481</v>
      </c>
      <c r="N374" s="1" t="s">
        <v>12</v>
      </c>
      <c r="O374" t="s">
        <v>2481</v>
      </c>
      <c r="P374" s="1" t="s">
        <v>2482</v>
      </c>
      <c r="Q374" s="1" t="s">
        <v>2699</v>
      </c>
      <c r="R374" s="1" t="s">
        <v>2604</v>
      </c>
      <c r="T374" s="1"/>
    </row>
    <row r="375" spans="5:20" x14ac:dyDescent="0.35">
      <c r="E375" s="1" t="s">
        <v>2304</v>
      </c>
      <c r="F375" s="1" t="s">
        <v>2303</v>
      </c>
      <c r="G375" t="s">
        <v>2897</v>
      </c>
      <c r="H375" s="1" t="s">
        <v>2412</v>
      </c>
      <c r="I375" s="1" t="s">
        <v>1878</v>
      </c>
      <c r="J375" s="1" t="s">
        <v>1</v>
      </c>
      <c r="K375" s="1" t="s">
        <v>3</v>
      </c>
      <c r="L375" s="1" t="s">
        <v>2413</v>
      </c>
      <c r="M375" t="s">
        <v>2414</v>
      </c>
      <c r="N375" s="1" t="s">
        <v>12</v>
      </c>
      <c r="O375" t="s">
        <v>2414</v>
      </c>
      <c r="P375" s="1" t="s">
        <v>2415</v>
      </c>
      <c r="Q375" s="1" t="s">
        <v>2700</v>
      </c>
      <c r="R375" s="1" t="s">
        <v>2604</v>
      </c>
      <c r="T375" s="1"/>
    </row>
    <row r="376" spans="5:20" x14ac:dyDescent="0.35">
      <c r="E376" s="1" t="s">
        <v>2304</v>
      </c>
      <c r="F376" s="1" t="s">
        <v>2345</v>
      </c>
      <c r="G376" t="s">
        <v>2897</v>
      </c>
      <c r="H376" s="1" t="s">
        <v>2417</v>
      </c>
      <c r="I376" s="1" t="s">
        <v>327</v>
      </c>
      <c r="J376" s="1" t="s">
        <v>1</v>
      </c>
      <c r="K376" s="1" t="s">
        <v>3</v>
      </c>
      <c r="L376" s="1" t="s">
        <v>2418</v>
      </c>
      <c r="M376" t="s">
        <v>2419</v>
      </c>
      <c r="N376" s="1" t="s">
        <v>12</v>
      </c>
      <c r="O376" t="s">
        <v>2419</v>
      </c>
      <c r="P376" s="1" t="s">
        <v>2420</v>
      </c>
      <c r="Q376" s="1" t="s">
        <v>2701</v>
      </c>
      <c r="R376" s="1" t="s">
        <v>2604</v>
      </c>
      <c r="T376" s="1"/>
    </row>
    <row r="377" spans="5:20" x14ac:dyDescent="0.35">
      <c r="E377" s="1" t="s">
        <v>2304</v>
      </c>
      <c r="F377" s="1" t="s">
        <v>2489</v>
      </c>
      <c r="G377" t="s">
        <v>2897</v>
      </c>
      <c r="H377" s="1" t="s">
        <v>2496</v>
      </c>
      <c r="I377" s="1" t="s">
        <v>1120</v>
      </c>
      <c r="J377" s="1" t="s">
        <v>1</v>
      </c>
      <c r="K377" s="1" t="s">
        <v>3</v>
      </c>
      <c r="L377" s="1" t="s">
        <v>2497</v>
      </c>
      <c r="M377" t="s">
        <v>2498</v>
      </c>
      <c r="N377" s="1" t="s">
        <v>8</v>
      </c>
      <c r="O377" t="s">
        <v>2499</v>
      </c>
      <c r="P377" s="1" t="s">
        <v>2500</v>
      </c>
      <c r="Q377" s="1" t="s">
        <v>2702</v>
      </c>
      <c r="R377" s="1" t="s">
        <v>2604</v>
      </c>
      <c r="T377" s="1"/>
    </row>
    <row r="378" spans="5:20" x14ac:dyDescent="0.35">
      <c r="E378" s="1" t="s">
        <v>2304</v>
      </c>
      <c r="F378" s="1" t="s">
        <v>2306</v>
      </c>
      <c r="G378" t="s">
        <v>2897</v>
      </c>
      <c r="H378" s="1" t="s">
        <v>2398</v>
      </c>
      <c r="I378" s="1" t="s">
        <v>327</v>
      </c>
      <c r="J378" s="1" t="s">
        <v>6</v>
      </c>
      <c r="K378" s="1" t="s">
        <v>3</v>
      </c>
      <c r="L378" s="1" t="s">
        <v>2448</v>
      </c>
      <c r="M378" t="s">
        <v>2451</v>
      </c>
      <c r="N378" s="1" t="s">
        <v>8</v>
      </c>
      <c r="O378" t="s">
        <v>2449</v>
      </c>
      <c r="P378" s="1" t="s">
        <v>2450</v>
      </c>
      <c r="Q378" s="1" t="s">
        <v>2703</v>
      </c>
      <c r="R378" s="1" t="s">
        <v>2604</v>
      </c>
      <c r="T378" s="1"/>
    </row>
    <row r="379" spans="5:20" x14ac:dyDescent="0.35">
      <c r="E379" s="1" t="s">
        <v>2304</v>
      </c>
      <c r="F379" s="1" t="s">
        <v>2290</v>
      </c>
      <c r="G379" t="s">
        <v>3406</v>
      </c>
      <c r="H379" s="1" t="s">
        <v>2452</v>
      </c>
      <c r="I379" s="1" t="s">
        <v>1880</v>
      </c>
      <c r="J379" s="1" t="s">
        <v>49</v>
      </c>
      <c r="K379" s="1" t="s">
        <v>3</v>
      </c>
      <c r="L379" s="1" t="s">
        <v>2457</v>
      </c>
      <c r="M379" t="s">
        <v>2458</v>
      </c>
      <c r="N379" s="1" t="s">
        <v>8</v>
      </c>
      <c r="O379" t="s">
        <v>2459</v>
      </c>
      <c r="P379" s="1" t="s">
        <v>2460</v>
      </c>
      <c r="Q379" s="1" t="s">
        <v>2704</v>
      </c>
      <c r="R379" s="1" t="s">
        <v>2604</v>
      </c>
      <c r="T379" s="1"/>
    </row>
    <row r="380" spans="5:20" x14ac:dyDescent="0.35">
      <c r="E380" s="1" t="s">
        <v>2304</v>
      </c>
      <c r="F380" s="1" t="s">
        <v>2487</v>
      </c>
      <c r="G380" t="s">
        <v>3406</v>
      </c>
      <c r="H380" s="1" t="s">
        <v>2501</v>
      </c>
      <c r="I380" s="1" t="s">
        <v>327</v>
      </c>
      <c r="J380" s="1" t="s">
        <v>49</v>
      </c>
      <c r="K380" s="1" t="s">
        <v>3</v>
      </c>
      <c r="L380" s="1" t="s">
        <v>2457</v>
      </c>
      <c r="M380" t="s">
        <v>2502</v>
      </c>
      <c r="N380" s="1" t="s">
        <v>8</v>
      </c>
      <c r="O380" t="s">
        <v>2503</v>
      </c>
      <c r="P380" s="1" t="s">
        <v>2504</v>
      </c>
      <c r="Q380" s="1" t="s">
        <v>2705</v>
      </c>
      <c r="R380" s="1" t="s">
        <v>2604</v>
      </c>
      <c r="T380" s="1"/>
    </row>
    <row r="381" spans="5:20" x14ac:dyDescent="0.35">
      <c r="E381" s="1" t="s">
        <v>2304</v>
      </c>
      <c r="F381" s="1" t="s">
        <v>2380</v>
      </c>
      <c r="G381" t="s">
        <v>3406</v>
      </c>
      <c r="H381" s="1" t="s">
        <v>2505</v>
      </c>
      <c r="I381" s="1" t="s">
        <v>1880</v>
      </c>
      <c r="J381" s="1" t="s">
        <v>49</v>
      </c>
      <c r="K381" s="1" t="s">
        <v>3</v>
      </c>
      <c r="L381" s="1" t="s">
        <v>2457</v>
      </c>
      <c r="M381" t="s">
        <v>2509</v>
      </c>
      <c r="N381" s="1" t="s">
        <v>8</v>
      </c>
      <c r="O381" t="s">
        <v>2510</v>
      </c>
      <c r="P381" s="1" t="s">
        <v>2511</v>
      </c>
      <c r="Q381" s="1" t="s">
        <v>2706</v>
      </c>
      <c r="R381" s="1" t="s">
        <v>2604</v>
      </c>
      <c r="T381" s="1"/>
    </row>
    <row r="382" spans="5:20" x14ac:dyDescent="0.35">
      <c r="E382" s="1" t="s">
        <v>2304</v>
      </c>
      <c r="F382" s="1" t="s">
        <v>2488</v>
      </c>
      <c r="G382" t="s">
        <v>3406</v>
      </c>
      <c r="H382" s="1" t="s">
        <v>2512</v>
      </c>
      <c r="I382" s="1" t="s">
        <v>1880</v>
      </c>
      <c r="J382" s="1" t="s">
        <v>1</v>
      </c>
      <c r="K382" s="1" t="s">
        <v>3</v>
      </c>
      <c r="L382" s="1" t="s">
        <v>2457</v>
      </c>
      <c r="M382" t="s">
        <v>2513</v>
      </c>
      <c r="N382" s="1" t="s">
        <v>8</v>
      </c>
      <c r="O382" t="s">
        <v>2514</v>
      </c>
      <c r="P382" s="1" t="s">
        <v>2515</v>
      </c>
      <c r="Q382" s="1" t="s">
        <v>2707</v>
      </c>
      <c r="R382" s="1" t="s">
        <v>2604</v>
      </c>
      <c r="T382" s="1"/>
    </row>
    <row r="383" spans="5:20" x14ac:dyDescent="0.35">
      <c r="E383" s="1" t="s">
        <v>2304</v>
      </c>
      <c r="F383" s="1" t="s">
        <v>2491</v>
      </c>
      <c r="G383" t="s">
        <v>3406</v>
      </c>
      <c r="H383" s="1" t="s">
        <v>2516</v>
      </c>
      <c r="I383" s="1" t="s">
        <v>1880</v>
      </c>
      <c r="J383" s="1" t="s">
        <v>1</v>
      </c>
      <c r="K383" s="1" t="s">
        <v>3</v>
      </c>
      <c r="L383" s="1" t="s">
        <v>2457</v>
      </c>
      <c r="M383" t="s">
        <v>2517</v>
      </c>
      <c r="N383" s="1" t="s">
        <v>8</v>
      </c>
      <c r="O383" t="s">
        <v>2518</v>
      </c>
      <c r="P383" s="1" t="s">
        <v>2519</v>
      </c>
      <c r="Q383" s="1" t="s">
        <v>2708</v>
      </c>
      <c r="R383" s="1" t="s">
        <v>2604</v>
      </c>
      <c r="T383" s="1"/>
    </row>
    <row r="384" spans="5:20" x14ac:dyDescent="0.35">
      <c r="E384" s="1" t="s">
        <v>2304</v>
      </c>
      <c r="F384" s="1" t="s">
        <v>2416</v>
      </c>
      <c r="G384" t="s">
        <v>3406</v>
      </c>
      <c r="H384" s="1" t="s">
        <v>2520</v>
      </c>
      <c r="I384" s="1" t="s">
        <v>327</v>
      </c>
      <c r="J384" s="1" t="s">
        <v>1</v>
      </c>
      <c r="K384" s="1" t="s">
        <v>3</v>
      </c>
      <c r="L384" s="1" t="s">
        <v>2521</v>
      </c>
      <c r="M384" t="s">
        <v>2522</v>
      </c>
      <c r="N384" s="1" t="s">
        <v>8</v>
      </c>
      <c r="O384" t="s">
        <v>2523</v>
      </c>
      <c r="P384" s="1" t="s">
        <v>2524</v>
      </c>
      <c r="Q384" s="1" t="s">
        <v>2709</v>
      </c>
      <c r="R384" s="1" t="s">
        <v>2604</v>
      </c>
      <c r="T384" s="1"/>
    </row>
    <row r="385" spans="5:20" x14ac:dyDescent="0.35">
      <c r="G385"/>
      <c r="M385"/>
      <c r="O385"/>
      <c r="T385" s="1"/>
    </row>
    <row r="386" spans="5:20" x14ac:dyDescent="0.35">
      <c r="G386"/>
      <c r="T386" s="1"/>
    </row>
    <row r="387" spans="5:20" x14ac:dyDescent="0.35">
      <c r="E387" s="1" t="s">
        <v>954</v>
      </c>
      <c r="F387" s="1" t="s">
        <v>0</v>
      </c>
      <c r="G387" t="s">
        <v>2806</v>
      </c>
      <c r="H387" s="1" t="s">
        <v>2</v>
      </c>
      <c r="I387" s="1" t="s">
        <v>912</v>
      </c>
      <c r="J387" s="1" t="s">
        <v>1</v>
      </c>
      <c r="K387" s="1" t="s">
        <v>3</v>
      </c>
      <c r="L387" s="1" t="s">
        <v>951</v>
      </c>
      <c r="M387" s="1" t="s">
        <v>11</v>
      </c>
      <c r="N387" s="1" t="s">
        <v>12</v>
      </c>
      <c r="O387" s="1" t="s">
        <v>11</v>
      </c>
      <c r="P387" s="1" t="s">
        <v>13</v>
      </c>
      <c r="T387" s="1"/>
    </row>
    <row r="388" spans="5:20" x14ac:dyDescent="0.35">
      <c r="E388" s="1" t="s">
        <v>953</v>
      </c>
      <c r="F388" s="1" t="s">
        <v>34</v>
      </c>
      <c r="G388" t="s">
        <v>2802</v>
      </c>
      <c r="H388" s="1" t="s">
        <v>35</v>
      </c>
      <c r="I388" s="1" t="s">
        <v>914</v>
      </c>
      <c r="J388" s="1" t="s">
        <v>36</v>
      </c>
      <c r="K388" s="1" t="s">
        <v>3</v>
      </c>
      <c r="M388" s="1" t="s">
        <v>37</v>
      </c>
      <c r="N388" s="1" t="s">
        <v>12</v>
      </c>
      <c r="O388" s="1" t="s">
        <v>37</v>
      </c>
      <c r="P388" s="1" t="s">
        <v>38</v>
      </c>
      <c r="T388" s="1"/>
    </row>
    <row r="389" spans="5:20" x14ac:dyDescent="0.35">
      <c r="E389" s="1" t="s">
        <v>953</v>
      </c>
      <c r="F389" s="1" t="s">
        <v>39</v>
      </c>
      <c r="G389" t="s">
        <v>2802</v>
      </c>
      <c r="H389" s="1" t="s">
        <v>40</v>
      </c>
      <c r="I389" s="1" t="s">
        <v>914</v>
      </c>
      <c r="J389" s="1" t="s">
        <v>36</v>
      </c>
      <c r="K389" s="1" t="s">
        <v>3</v>
      </c>
      <c r="M389" s="1" t="s">
        <v>41</v>
      </c>
      <c r="N389" s="1" t="s">
        <v>12</v>
      </c>
      <c r="O389" s="1" t="s">
        <v>41</v>
      </c>
      <c r="P389" s="1" t="s">
        <v>42</v>
      </c>
      <c r="T389" s="1"/>
    </row>
    <row r="390" spans="5:20" x14ac:dyDescent="0.35">
      <c r="E390" s="1" t="s">
        <v>953</v>
      </c>
      <c r="F390" s="1" t="s">
        <v>43</v>
      </c>
      <c r="G390" t="s">
        <v>2802</v>
      </c>
      <c r="H390" s="1" t="s">
        <v>44</v>
      </c>
      <c r="I390" s="1" t="s">
        <v>914</v>
      </c>
      <c r="J390" s="1" t="s">
        <v>45</v>
      </c>
      <c r="K390" s="1" t="s">
        <v>3</v>
      </c>
      <c r="M390" s="1" t="s">
        <v>46</v>
      </c>
      <c r="N390" s="1" t="s">
        <v>12</v>
      </c>
      <c r="O390" s="1" t="s">
        <v>46</v>
      </c>
      <c r="P390" s="1" t="s">
        <v>47</v>
      </c>
      <c r="T390" s="1"/>
    </row>
    <row r="391" spans="5:20" x14ac:dyDescent="0.35">
      <c r="F391" s="1" t="s">
        <v>55</v>
      </c>
      <c r="G391" t="s">
        <v>2806</v>
      </c>
      <c r="H391" s="1" t="s">
        <v>56</v>
      </c>
      <c r="I391" s="1" t="s">
        <v>911</v>
      </c>
      <c r="J391" s="1" t="s">
        <v>49</v>
      </c>
      <c r="K391" s="1" t="s">
        <v>3</v>
      </c>
      <c r="M391" s="1" t="s">
        <v>57</v>
      </c>
      <c r="N391" s="1" t="s">
        <v>21</v>
      </c>
      <c r="T391" s="1"/>
    </row>
    <row r="392" spans="5:20" x14ac:dyDescent="0.35">
      <c r="E392" s="1" t="s">
        <v>953</v>
      </c>
      <c r="F392" s="1" t="s">
        <v>58</v>
      </c>
      <c r="G392" t="s">
        <v>2803</v>
      </c>
      <c r="H392" s="1" t="s">
        <v>59</v>
      </c>
      <c r="I392" s="1" t="s">
        <v>912</v>
      </c>
      <c r="J392" s="1" t="s">
        <v>49</v>
      </c>
      <c r="K392" s="1" t="s">
        <v>3</v>
      </c>
      <c r="M392" s="1" t="s">
        <v>60</v>
      </c>
      <c r="N392" s="1" t="s">
        <v>12</v>
      </c>
      <c r="O392" s="1" t="s">
        <v>60</v>
      </c>
      <c r="P392" s="1" t="s">
        <v>61</v>
      </c>
      <c r="T392" s="1"/>
    </row>
    <row r="393" spans="5:20" x14ac:dyDescent="0.35">
      <c r="E393" s="1" t="s">
        <v>953</v>
      </c>
      <c r="F393" s="1" t="s">
        <v>62</v>
      </c>
      <c r="G393" t="s">
        <v>2804</v>
      </c>
      <c r="H393" s="1" t="s">
        <v>63</v>
      </c>
      <c r="I393" s="1" t="s">
        <v>915</v>
      </c>
      <c r="J393" s="1" t="s">
        <v>45</v>
      </c>
      <c r="K393" s="1" t="s">
        <v>3</v>
      </c>
      <c r="M393" s="1" t="s">
        <v>64</v>
      </c>
      <c r="N393" s="1" t="s">
        <v>12</v>
      </c>
      <c r="O393" s="1" t="s">
        <v>64</v>
      </c>
      <c r="P393" s="1" t="s">
        <v>65</v>
      </c>
      <c r="T393" s="1"/>
    </row>
    <row r="394" spans="5:20" x14ac:dyDescent="0.35">
      <c r="F394" s="1" t="s">
        <v>68</v>
      </c>
      <c r="G394" t="s">
        <v>2803</v>
      </c>
      <c r="H394" s="1" t="s">
        <v>69</v>
      </c>
      <c r="I394" s="1" t="s">
        <v>911</v>
      </c>
      <c r="J394" s="1" t="s">
        <v>70</v>
      </c>
      <c r="K394" s="1" t="s">
        <v>67</v>
      </c>
      <c r="M394" s="1" t="s">
        <v>73</v>
      </c>
      <c r="N394" s="1" t="s">
        <v>21</v>
      </c>
      <c r="T394" s="1"/>
    </row>
    <row r="395" spans="5:20" x14ac:dyDescent="0.35">
      <c r="E395" s="1" t="s">
        <v>953</v>
      </c>
      <c r="F395" s="1" t="s">
        <v>66</v>
      </c>
      <c r="G395" t="s">
        <v>2804</v>
      </c>
      <c r="H395" s="1" t="s">
        <v>916</v>
      </c>
      <c r="I395" s="1" t="s">
        <v>911</v>
      </c>
      <c r="J395" s="1" t="s">
        <v>45</v>
      </c>
      <c r="K395" s="1" t="s">
        <v>67</v>
      </c>
      <c r="M395" s="1" t="s">
        <v>71</v>
      </c>
      <c r="N395" s="1" t="s">
        <v>12</v>
      </c>
      <c r="O395" s="1" t="s">
        <v>71</v>
      </c>
      <c r="P395" s="1" t="s">
        <v>72</v>
      </c>
      <c r="T395" s="1"/>
    </row>
    <row r="396" spans="5:20" x14ac:dyDescent="0.35">
      <c r="E396" s="1" t="s">
        <v>953</v>
      </c>
      <c r="F396" s="1" t="s">
        <v>74</v>
      </c>
      <c r="G396" t="s">
        <v>2805</v>
      </c>
      <c r="H396" s="1" t="s">
        <v>75</v>
      </c>
      <c r="I396" s="1" t="s">
        <v>915</v>
      </c>
      <c r="J396" s="1" t="s">
        <v>6</v>
      </c>
      <c r="K396" s="1" t="s">
        <v>3</v>
      </c>
      <c r="M396" s="1" t="s">
        <v>76</v>
      </c>
      <c r="N396" s="1" t="s">
        <v>12</v>
      </c>
      <c r="O396" s="1" t="s">
        <v>76</v>
      </c>
      <c r="P396" s="1" t="s">
        <v>77</v>
      </c>
      <c r="T396" s="1"/>
    </row>
    <row r="397" spans="5:20" x14ac:dyDescent="0.35">
      <c r="F397" s="1" t="s">
        <v>78</v>
      </c>
      <c r="G397" t="s">
        <v>2806</v>
      </c>
      <c r="H397" s="1" t="s">
        <v>79</v>
      </c>
      <c r="I397" s="1" t="s">
        <v>911</v>
      </c>
      <c r="J397" s="1" t="s">
        <v>49</v>
      </c>
      <c r="K397" s="1" t="s">
        <v>3</v>
      </c>
      <c r="M397" s="1" t="s">
        <v>82</v>
      </c>
      <c r="N397" s="1" t="s">
        <v>21</v>
      </c>
      <c r="T397" s="1"/>
    </row>
    <row r="398" spans="5:20" x14ac:dyDescent="0.35">
      <c r="E398" s="1" t="s">
        <v>953</v>
      </c>
      <c r="F398" s="1" t="s">
        <v>80</v>
      </c>
      <c r="G398" t="s">
        <v>2805</v>
      </c>
      <c r="H398" s="1" t="s">
        <v>81</v>
      </c>
      <c r="I398" s="1" t="s">
        <v>912</v>
      </c>
      <c r="J398" s="1" t="s">
        <v>49</v>
      </c>
      <c r="K398" s="1" t="s">
        <v>3</v>
      </c>
      <c r="M398" s="1" t="s">
        <v>83</v>
      </c>
      <c r="N398" s="1" t="s">
        <v>12</v>
      </c>
      <c r="O398" s="1" t="s">
        <v>83</v>
      </c>
      <c r="P398" s="1" t="s">
        <v>84</v>
      </c>
      <c r="T398" s="1"/>
    </row>
    <row r="399" spans="5:20" x14ac:dyDescent="0.35">
      <c r="E399" s="1" t="s">
        <v>953</v>
      </c>
      <c r="F399" s="1" t="s">
        <v>85</v>
      </c>
      <c r="G399" t="s">
        <v>2805</v>
      </c>
      <c r="H399" s="1" t="s">
        <v>86</v>
      </c>
      <c r="I399" s="1" t="s">
        <v>914</v>
      </c>
      <c r="J399" s="1" t="s">
        <v>1</v>
      </c>
      <c r="K399" s="1" t="s">
        <v>3</v>
      </c>
      <c r="M399" s="1" t="s">
        <v>87</v>
      </c>
      <c r="N399" s="1" t="s">
        <v>12</v>
      </c>
      <c r="O399" s="1" t="s">
        <v>87</v>
      </c>
      <c r="P399" s="1" t="s">
        <v>88</v>
      </c>
      <c r="T399" s="1"/>
    </row>
    <row r="400" spans="5:20" x14ac:dyDescent="0.35">
      <c r="E400" s="1" t="s">
        <v>953</v>
      </c>
      <c r="F400" s="1" t="s">
        <v>89</v>
      </c>
      <c r="G400" t="s">
        <v>2806</v>
      </c>
      <c r="H400" s="1" t="s">
        <v>90</v>
      </c>
      <c r="I400" s="1" t="s">
        <v>915</v>
      </c>
      <c r="J400" s="1" t="s">
        <v>1</v>
      </c>
      <c r="K400" s="1" t="s">
        <v>3</v>
      </c>
      <c r="M400" s="1" t="s">
        <v>91</v>
      </c>
      <c r="N400" s="1" t="s">
        <v>12</v>
      </c>
      <c r="O400" s="1" t="s">
        <v>91</v>
      </c>
      <c r="P400" s="1" t="s">
        <v>92</v>
      </c>
      <c r="T400" s="1"/>
    </row>
    <row r="401" spans="5:20" x14ac:dyDescent="0.35">
      <c r="E401" s="1" t="s">
        <v>953</v>
      </c>
      <c r="F401" s="1" t="s">
        <v>93</v>
      </c>
      <c r="G401" t="s">
        <v>3407</v>
      </c>
      <c r="H401" s="1" t="s">
        <v>94</v>
      </c>
      <c r="I401" s="1" t="s">
        <v>1120</v>
      </c>
      <c r="J401" s="1" t="s">
        <v>1121</v>
      </c>
      <c r="T401" s="1"/>
    </row>
    <row r="402" spans="5:20" x14ac:dyDescent="0.35">
      <c r="E402" s="1" t="s">
        <v>953</v>
      </c>
      <c r="F402" s="1" t="s">
        <v>95</v>
      </c>
      <c r="G402" t="s">
        <v>2801</v>
      </c>
      <c r="H402" s="1" t="s">
        <v>96</v>
      </c>
      <c r="I402" s="1" t="s">
        <v>917</v>
      </c>
      <c r="J402" s="1" t="s">
        <v>1121</v>
      </c>
      <c r="M402" s="1" t="s">
        <v>97</v>
      </c>
      <c r="N402" s="1" t="s">
        <v>98</v>
      </c>
      <c r="T402" s="1"/>
    </row>
    <row r="403" spans="5:20" x14ac:dyDescent="0.35">
      <c r="E403" s="1" t="s">
        <v>953</v>
      </c>
      <c r="F403" s="1" t="s">
        <v>253</v>
      </c>
      <c r="G403" t="s">
        <v>2802</v>
      </c>
      <c r="H403" s="1" t="s">
        <v>918</v>
      </c>
      <c r="I403" s="1" t="s">
        <v>911</v>
      </c>
      <c r="J403" s="1" t="s">
        <v>1121</v>
      </c>
      <c r="M403" s="1" t="s">
        <v>254</v>
      </c>
      <c r="N403" s="1" t="s">
        <v>98</v>
      </c>
      <c r="T403" s="1"/>
    </row>
    <row r="404" spans="5:20" x14ac:dyDescent="0.35">
      <c r="E404" s="1" t="s">
        <v>953</v>
      </c>
      <c r="F404" s="1" t="s">
        <v>99</v>
      </c>
      <c r="G404" t="s">
        <v>2802</v>
      </c>
      <c r="H404" s="1" t="s">
        <v>100</v>
      </c>
      <c r="I404" s="1" t="s">
        <v>911</v>
      </c>
      <c r="J404" s="1" t="s">
        <v>1121</v>
      </c>
      <c r="M404" s="1" t="s">
        <v>101</v>
      </c>
      <c r="N404" s="1" t="s">
        <v>98</v>
      </c>
      <c r="T404" s="1"/>
    </row>
    <row r="405" spans="5:20" x14ac:dyDescent="0.35">
      <c r="F405" s="1" t="s">
        <v>112</v>
      </c>
      <c r="G405" t="s">
        <v>2999</v>
      </c>
      <c r="H405" s="1" t="s">
        <v>113</v>
      </c>
      <c r="I405" s="1" t="s">
        <v>911</v>
      </c>
      <c r="J405" s="1" t="s">
        <v>1</v>
      </c>
      <c r="K405" s="1" t="s">
        <v>3</v>
      </c>
      <c r="M405" s="1" t="s">
        <v>114</v>
      </c>
      <c r="N405" s="1" t="s">
        <v>12</v>
      </c>
      <c r="O405" s="1" t="s">
        <v>114</v>
      </c>
      <c r="P405" s="1" t="s">
        <v>115</v>
      </c>
      <c r="T405" s="1"/>
    </row>
    <row r="406" spans="5:20" x14ac:dyDescent="0.35">
      <c r="F406" s="1" t="s">
        <v>125</v>
      </c>
      <c r="G406" t="s">
        <v>2806</v>
      </c>
      <c r="H406" s="1" t="s">
        <v>126</v>
      </c>
      <c r="I406" s="1" t="s">
        <v>912</v>
      </c>
      <c r="J406" s="1" t="s">
        <v>45</v>
      </c>
      <c r="K406" s="1" t="s">
        <v>3</v>
      </c>
      <c r="M406" s="1" t="s">
        <v>127</v>
      </c>
      <c r="N406" s="1" t="s">
        <v>12</v>
      </c>
      <c r="O406" s="1" t="s">
        <v>127</v>
      </c>
      <c r="P406" s="1" t="s">
        <v>128</v>
      </c>
      <c r="T406" s="1"/>
    </row>
    <row r="407" spans="5:20" x14ac:dyDescent="0.35">
      <c r="F407" s="1" t="s">
        <v>138</v>
      </c>
      <c r="G407" t="s">
        <v>2805</v>
      </c>
      <c r="H407" s="1" t="s">
        <v>139</v>
      </c>
      <c r="I407" s="1" t="s">
        <v>915</v>
      </c>
      <c r="J407" s="1" t="s">
        <v>45</v>
      </c>
      <c r="K407" s="1" t="s">
        <v>3</v>
      </c>
      <c r="M407" s="1" t="s">
        <v>140</v>
      </c>
      <c r="N407" s="1" t="s">
        <v>12</v>
      </c>
      <c r="O407" s="1" t="s">
        <v>140</v>
      </c>
      <c r="P407" s="1" t="s">
        <v>141</v>
      </c>
      <c r="T407" s="1"/>
    </row>
    <row r="408" spans="5:20" x14ac:dyDescent="0.35">
      <c r="E408" s="1" t="s">
        <v>950</v>
      </c>
      <c r="F408" s="1" t="s">
        <v>142</v>
      </c>
      <c r="G408" t="s">
        <v>2806</v>
      </c>
      <c r="H408" s="1" t="s">
        <v>143</v>
      </c>
      <c r="I408" s="1" t="s">
        <v>912</v>
      </c>
      <c r="J408" s="1" t="s">
        <v>1</v>
      </c>
      <c r="K408" s="1" t="s">
        <v>3</v>
      </c>
      <c r="M408" s="1" t="s">
        <v>144</v>
      </c>
      <c r="N408" s="1" t="s">
        <v>12</v>
      </c>
      <c r="O408" s="1" t="s">
        <v>144</v>
      </c>
      <c r="P408" s="1" t="s">
        <v>145</v>
      </c>
      <c r="T408" s="1"/>
    </row>
    <row r="409" spans="5:20" x14ac:dyDescent="0.35">
      <c r="F409" s="1" t="s">
        <v>150</v>
      </c>
      <c r="G409" t="s">
        <v>2802</v>
      </c>
      <c r="H409" s="1" t="s">
        <v>151</v>
      </c>
      <c r="I409" s="1" t="s">
        <v>911</v>
      </c>
      <c r="J409" s="1" t="s">
        <v>6</v>
      </c>
      <c r="K409" s="1" t="s">
        <v>3</v>
      </c>
      <c r="M409" s="1" t="s">
        <v>155</v>
      </c>
      <c r="N409" s="1" t="s">
        <v>21</v>
      </c>
      <c r="T409" s="1"/>
    </row>
    <row r="410" spans="5:20" x14ac:dyDescent="0.35">
      <c r="F410" s="1" t="s">
        <v>147</v>
      </c>
      <c r="G410" t="s">
        <v>2897</v>
      </c>
      <c r="H410" s="1" t="s">
        <v>152</v>
      </c>
      <c r="I410" s="1" t="s">
        <v>913</v>
      </c>
      <c r="J410" s="1" t="s">
        <v>6</v>
      </c>
      <c r="K410" s="1" t="s">
        <v>3</v>
      </c>
      <c r="M410" s="1" t="s">
        <v>153</v>
      </c>
      <c r="N410" s="1" t="s">
        <v>12</v>
      </c>
      <c r="O410" s="1" t="s">
        <v>153</v>
      </c>
      <c r="P410" s="1" t="s">
        <v>154</v>
      </c>
      <c r="T410" s="1"/>
    </row>
    <row r="411" spans="5:20" x14ac:dyDescent="0.35">
      <c r="F411" s="1" t="s">
        <v>168</v>
      </c>
      <c r="G411" t="s">
        <v>2802</v>
      </c>
      <c r="H411" s="1" t="s">
        <v>169</v>
      </c>
      <c r="I411" s="1" t="s">
        <v>911</v>
      </c>
      <c r="J411" s="1" t="s">
        <v>6</v>
      </c>
      <c r="K411" s="1" t="s">
        <v>3</v>
      </c>
      <c r="M411" s="1" t="s">
        <v>170</v>
      </c>
      <c r="N411" s="1" t="s">
        <v>21</v>
      </c>
      <c r="T411" s="1"/>
    </row>
    <row r="412" spans="5:20" x14ac:dyDescent="0.35">
      <c r="F412" s="1" t="s">
        <v>4</v>
      </c>
      <c r="G412" t="s">
        <v>3406</v>
      </c>
      <c r="H412" s="1" t="s">
        <v>5</v>
      </c>
      <c r="I412" s="1" t="s">
        <v>911</v>
      </c>
      <c r="J412" s="1" t="s">
        <v>6</v>
      </c>
      <c r="K412" s="1" t="s">
        <v>3</v>
      </c>
      <c r="M412" s="1" t="s">
        <v>7</v>
      </c>
      <c r="N412" s="1" t="s">
        <v>8</v>
      </c>
      <c r="O412" s="1" t="s">
        <v>9</v>
      </c>
      <c r="P412" s="1" t="s">
        <v>10</v>
      </c>
      <c r="T412" s="1"/>
    </row>
    <row r="413" spans="5:20" x14ac:dyDescent="0.35">
      <c r="E413" s="1" t="s">
        <v>952</v>
      </c>
      <c r="F413" s="1" t="s">
        <v>221</v>
      </c>
      <c r="G413" t="s">
        <v>3408</v>
      </c>
      <c r="H413" s="1" t="s">
        <v>226</v>
      </c>
      <c r="I413" s="1" t="s">
        <v>911</v>
      </c>
      <c r="J413" s="1" t="s">
        <v>222</v>
      </c>
      <c r="K413" s="1" t="s">
        <v>223</v>
      </c>
      <c r="M413" s="1" t="s">
        <v>224</v>
      </c>
      <c r="N413" s="1" t="s">
        <v>98</v>
      </c>
      <c r="O413" s="1" t="s">
        <v>225</v>
      </c>
      <c r="T413" s="1"/>
    </row>
    <row r="414" spans="5:20" x14ac:dyDescent="0.35">
      <c r="E414" s="1" t="s">
        <v>952</v>
      </c>
      <c r="F414" s="1" t="s">
        <v>228</v>
      </c>
      <c r="G414" t="s">
        <v>3409</v>
      </c>
      <c r="H414" s="1" t="s">
        <v>234</v>
      </c>
      <c r="I414" s="1" t="s">
        <v>911</v>
      </c>
      <c r="J414" s="1" t="s">
        <v>222</v>
      </c>
      <c r="K414" s="1" t="s">
        <v>223</v>
      </c>
      <c r="M414" s="1" t="s">
        <v>229</v>
      </c>
      <c r="N414" s="1" t="s">
        <v>98</v>
      </c>
      <c r="O414" s="1" t="s">
        <v>230</v>
      </c>
      <c r="T414" s="1"/>
    </row>
    <row r="415" spans="5:20" x14ac:dyDescent="0.35">
      <c r="E415" s="1" t="s">
        <v>952</v>
      </c>
      <c r="F415" s="1" t="s">
        <v>235</v>
      </c>
      <c r="G415" t="s">
        <v>3408</v>
      </c>
      <c r="H415" s="1" t="s">
        <v>233</v>
      </c>
      <c r="I415" s="1" t="s">
        <v>911</v>
      </c>
      <c r="J415" s="1" t="s">
        <v>222</v>
      </c>
      <c r="K415" s="1" t="s">
        <v>223</v>
      </c>
      <c r="M415" s="1" t="s">
        <v>236</v>
      </c>
      <c r="N415" s="1" t="s">
        <v>98</v>
      </c>
      <c r="O415" s="1" t="s">
        <v>237</v>
      </c>
      <c r="T415" s="1"/>
    </row>
    <row r="416" spans="5:20" x14ac:dyDescent="0.35">
      <c r="E416" s="1" t="s">
        <v>952</v>
      </c>
      <c r="F416" s="1" t="s">
        <v>240</v>
      </c>
      <c r="G416" t="s">
        <v>3410</v>
      </c>
      <c r="H416" s="1" t="s">
        <v>241</v>
      </c>
      <c r="I416" s="1" t="s">
        <v>911</v>
      </c>
      <c r="J416" s="1" t="s">
        <v>222</v>
      </c>
      <c r="K416" s="1" t="s">
        <v>223</v>
      </c>
      <c r="M416" s="1" t="s">
        <v>242</v>
      </c>
      <c r="N416" s="1" t="s">
        <v>98</v>
      </c>
      <c r="O416" s="1" t="s">
        <v>243</v>
      </c>
      <c r="T416" s="1"/>
    </row>
    <row r="417" spans="6:20" x14ac:dyDescent="0.35">
      <c r="F417" s="1" t="s">
        <v>245</v>
      </c>
      <c r="G417" t="s">
        <v>2805</v>
      </c>
      <c r="H417" s="1" t="s">
        <v>246</v>
      </c>
      <c r="I417" s="1" t="s">
        <v>912</v>
      </c>
      <c r="J417" s="1" t="s">
        <v>1</v>
      </c>
      <c r="K417" s="1" t="s">
        <v>3</v>
      </c>
      <c r="M417" s="1" t="s">
        <v>247</v>
      </c>
      <c r="N417" s="1" t="s">
        <v>12</v>
      </c>
      <c r="O417" s="1" t="s">
        <v>247</v>
      </c>
      <c r="P417" s="1" t="s">
        <v>248</v>
      </c>
      <c r="T417" s="1"/>
    </row>
    <row r="418" spans="6:20" x14ac:dyDescent="0.35">
      <c r="F418" s="1" t="s">
        <v>249</v>
      </c>
      <c r="G418" t="s">
        <v>2806</v>
      </c>
      <c r="H418" s="1" t="s">
        <v>250</v>
      </c>
      <c r="I418" s="1" t="s">
        <v>913</v>
      </c>
      <c r="J418" s="1" t="s">
        <v>1</v>
      </c>
      <c r="K418" s="1" t="s">
        <v>3</v>
      </c>
      <c r="M418" s="1" t="s">
        <v>251</v>
      </c>
      <c r="N418" s="1" t="s">
        <v>12</v>
      </c>
      <c r="O418" s="1" t="s">
        <v>251</v>
      </c>
      <c r="P418" s="1" t="s">
        <v>252</v>
      </c>
      <c r="T418" s="1"/>
    </row>
    <row r="419" spans="6:20" x14ac:dyDescent="0.35">
      <c r="F419" s="1" t="s">
        <v>255</v>
      </c>
      <c r="G419" t="s">
        <v>2999</v>
      </c>
      <c r="H419" s="1" t="s">
        <v>256</v>
      </c>
      <c r="I419" s="1" t="s">
        <v>915</v>
      </c>
      <c r="J419" s="1" t="s">
        <v>1</v>
      </c>
      <c r="K419" s="1" t="s">
        <v>3</v>
      </c>
      <c r="M419" s="1" t="s">
        <v>257</v>
      </c>
      <c r="N419" s="1" t="s">
        <v>12</v>
      </c>
      <c r="O419" s="1" t="s">
        <v>257</v>
      </c>
      <c r="P419" s="1" t="s">
        <v>258</v>
      </c>
      <c r="T419" s="1"/>
    </row>
    <row r="420" spans="6:20" x14ac:dyDescent="0.35">
      <c r="F420" s="1" t="s">
        <v>263</v>
      </c>
      <c r="G420" t="s">
        <v>2806</v>
      </c>
      <c r="H420" s="1" t="s">
        <v>267</v>
      </c>
      <c r="I420" s="1" t="s">
        <v>919</v>
      </c>
      <c r="J420" s="1" t="s">
        <v>268</v>
      </c>
      <c r="K420" s="1" t="s">
        <v>269</v>
      </c>
      <c r="M420" s="1" t="s">
        <v>270</v>
      </c>
      <c r="N420" s="1" t="s">
        <v>271</v>
      </c>
      <c r="T420" s="1"/>
    </row>
    <row r="421" spans="6:20" x14ac:dyDescent="0.35">
      <c r="F421" s="1" t="s">
        <v>264</v>
      </c>
      <c r="G421" t="s">
        <v>2801</v>
      </c>
      <c r="H421" s="1" t="s">
        <v>267</v>
      </c>
      <c r="I421" s="1" t="s">
        <v>920</v>
      </c>
      <c r="J421" s="1" t="s">
        <v>268</v>
      </c>
      <c r="K421" s="1" t="s">
        <v>269</v>
      </c>
      <c r="M421" s="1" t="s">
        <v>272</v>
      </c>
      <c r="N421" s="1" t="s">
        <v>271</v>
      </c>
      <c r="T421" s="1"/>
    </row>
    <row r="422" spans="6:20" x14ac:dyDescent="0.35">
      <c r="F422" s="1" t="s">
        <v>265</v>
      </c>
      <c r="G422" t="s">
        <v>2802</v>
      </c>
      <c r="H422" s="1" t="s">
        <v>267</v>
      </c>
      <c r="I422" s="1" t="s">
        <v>920</v>
      </c>
      <c r="J422" s="1" t="s">
        <v>268</v>
      </c>
      <c r="K422" s="1" t="s">
        <v>269</v>
      </c>
      <c r="M422" s="1" t="s">
        <v>273</v>
      </c>
      <c r="N422" s="1" t="s">
        <v>271</v>
      </c>
      <c r="T422" s="1"/>
    </row>
    <row r="423" spans="6:20" x14ac:dyDescent="0.35">
      <c r="F423" s="1" t="s">
        <v>266</v>
      </c>
      <c r="G423" t="s">
        <v>2803</v>
      </c>
      <c r="H423" s="1" t="s">
        <v>277</v>
      </c>
      <c r="I423" s="1" t="s">
        <v>123</v>
      </c>
      <c r="J423" s="1" t="s">
        <v>268</v>
      </c>
      <c r="K423" s="1" t="s">
        <v>269</v>
      </c>
      <c r="M423" s="1" t="s">
        <v>278</v>
      </c>
      <c r="N423" s="1" t="s">
        <v>271</v>
      </c>
      <c r="T423" s="1"/>
    </row>
    <row r="424" spans="6:20" x14ac:dyDescent="0.35">
      <c r="F424" s="1" t="s">
        <v>274</v>
      </c>
      <c r="G424" t="s">
        <v>2806</v>
      </c>
      <c r="H424" s="1" t="s">
        <v>279</v>
      </c>
      <c r="I424" s="1" t="s">
        <v>123</v>
      </c>
      <c r="J424" s="1" t="s">
        <v>268</v>
      </c>
      <c r="K424" s="1" t="s">
        <v>269</v>
      </c>
      <c r="M424" s="1" t="s">
        <v>280</v>
      </c>
      <c r="N424" s="1" t="s">
        <v>271</v>
      </c>
      <c r="T424" s="1"/>
    </row>
    <row r="425" spans="6:20" x14ac:dyDescent="0.35">
      <c r="F425" s="1" t="s">
        <v>275</v>
      </c>
      <c r="G425" t="s">
        <v>2806</v>
      </c>
      <c r="H425" s="1" t="s">
        <v>281</v>
      </c>
      <c r="I425" s="1" t="s">
        <v>123</v>
      </c>
      <c r="J425" s="1" t="s">
        <v>268</v>
      </c>
      <c r="K425" s="1" t="s">
        <v>269</v>
      </c>
      <c r="M425" s="1" t="s">
        <v>282</v>
      </c>
      <c r="N425" s="1" t="s">
        <v>271</v>
      </c>
      <c r="T425" s="1"/>
    </row>
    <row r="426" spans="6:20" x14ac:dyDescent="0.35">
      <c r="F426" s="1" t="s">
        <v>283</v>
      </c>
      <c r="G426" t="s">
        <v>2801</v>
      </c>
      <c r="H426" s="1" t="s">
        <v>284</v>
      </c>
      <c r="J426" s="1" t="s">
        <v>268</v>
      </c>
      <c r="K426" s="1" t="s">
        <v>269</v>
      </c>
      <c r="M426" s="1" t="s">
        <v>285</v>
      </c>
      <c r="N426" s="1" t="s">
        <v>271</v>
      </c>
      <c r="T426" s="1"/>
    </row>
    <row r="427" spans="6:20" x14ac:dyDescent="0.35">
      <c r="F427" s="1" t="s">
        <v>276</v>
      </c>
      <c r="G427" t="s">
        <v>2806</v>
      </c>
      <c r="H427" s="1" t="s">
        <v>286</v>
      </c>
      <c r="I427" s="1" t="s">
        <v>123</v>
      </c>
      <c r="J427" s="1" t="s">
        <v>268</v>
      </c>
      <c r="K427" s="1" t="s">
        <v>269</v>
      </c>
      <c r="M427" s="1" t="s">
        <v>287</v>
      </c>
      <c r="N427" s="1" t="s">
        <v>271</v>
      </c>
      <c r="T427" s="1"/>
    </row>
    <row r="428" spans="6:20" x14ac:dyDescent="0.35">
      <c r="F428" s="1" t="s">
        <v>332</v>
      </c>
      <c r="G428" t="s">
        <v>3411</v>
      </c>
      <c r="H428" s="1" t="s">
        <v>334</v>
      </c>
      <c r="I428" s="1" t="s">
        <v>911</v>
      </c>
      <c r="J428" s="1" t="s">
        <v>290</v>
      </c>
      <c r="K428" s="1" t="s">
        <v>324</v>
      </c>
      <c r="L428" s="1">
        <v>41143</v>
      </c>
      <c r="M428" s="1" t="s">
        <v>333</v>
      </c>
      <c r="N428" s="1" t="s">
        <v>271</v>
      </c>
      <c r="T428" s="1"/>
    </row>
    <row r="429" spans="6:20" x14ac:dyDescent="0.35">
      <c r="F429" s="1" t="s">
        <v>340</v>
      </c>
      <c r="G429" t="s">
        <v>2802</v>
      </c>
      <c r="H429" s="1" t="s">
        <v>341</v>
      </c>
      <c r="I429" s="1" t="s">
        <v>915</v>
      </c>
      <c r="J429" s="1" t="s">
        <v>1</v>
      </c>
      <c r="K429" s="1" t="s">
        <v>3</v>
      </c>
      <c r="L429" s="1" t="s">
        <v>342</v>
      </c>
      <c r="M429" s="1" t="s">
        <v>343</v>
      </c>
      <c r="N429" s="1" t="s">
        <v>12</v>
      </c>
      <c r="O429" s="1" t="s">
        <v>343</v>
      </c>
      <c r="P429" s="1" t="s">
        <v>344</v>
      </c>
      <c r="T429" s="1"/>
    </row>
    <row r="430" spans="6:20" x14ac:dyDescent="0.35">
      <c r="F430" s="1" t="s">
        <v>358</v>
      </c>
      <c r="G430" t="s">
        <v>2999</v>
      </c>
      <c r="H430" s="1" t="s">
        <v>362</v>
      </c>
      <c r="I430" s="1" t="s">
        <v>913</v>
      </c>
      <c r="J430" s="1" t="s">
        <v>1</v>
      </c>
      <c r="K430" s="1" t="s">
        <v>3</v>
      </c>
      <c r="L430" s="1" t="s">
        <v>350</v>
      </c>
      <c r="M430" s="1" t="s">
        <v>363</v>
      </c>
      <c r="N430" s="1" t="s">
        <v>12</v>
      </c>
      <c r="O430" s="1" t="s">
        <v>363</v>
      </c>
      <c r="P430" s="1" t="s">
        <v>364</v>
      </c>
      <c r="T430" s="1"/>
    </row>
    <row r="431" spans="6:20" x14ac:dyDescent="0.35">
      <c r="F431" s="1" t="s">
        <v>359</v>
      </c>
      <c r="G431" t="s">
        <v>2999</v>
      </c>
      <c r="H431" s="1" t="s">
        <v>365</v>
      </c>
      <c r="I431" s="1" t="s">
        <v>913</v>
      </c>
      <c r="J431" s="1" t="s">
        <v>1</v>
      </c>
      <c r="K431" s="1" t="s">
        <v>3</v>
      </c>
      <c r="L431" s="1" t="s">
        <v>350</v>
      </c>
      <c r="M431" s="1" t="s">
        <v>366</v>
      </c>
      <c r="N431" s="1" t="s">
        <v>12</v>
      </c>
      <c r="O431" s="1" t="s">
        <v>366</v>
      </c>
      <c r="P431" s="1" t="s">
        <v>367</v>
      </c>
      <c r="T431" s="1"/>
    </row>
    <row r="432" spans="6:20" x14ac:dyDescent="0.35">
      <c r="F432" s="1" t="s">
        <v>360</v>
      </c>
      <c r="G432" t="s">
        <v>2999</v>
      </c>
      <c r="H432" s="1" t="s">
        <v>368</v>
      </c>
      <c r="I432" s="1" t="s">
        <v>913</v>
      </c>
      <c r="J432" s="1" t="s">
        <v>1</v>
      </c>
      <c r="K432" s="1" t="s">
        <v>3</v>
      </c>
      <c r="L432" s="1" t="s">
        <v>350</v>
      </c>
      <c r="M432" s="1" t="s">
        <v>369</v>
      </c>
      <c r="N432" s="1" t="s">
        <v>12</v>
      </c>
      <c r="O432" s="1" t="s">
        <v>369</v>
      </c>
      <c r="P432" s="1" t="s">
        <v>370</v>
      </c>
      <c r="T432" s="1"/>
    </row>
    <row r="433" spans="6:20" x14ac:dyDescent="0.35">
      <c r="F433" s="1" t="s">
        <v>348</v>
      </c>
      <c r="G433" t="s">
        <v>2999</v>
      </c>
      <c r="H433" s="1" t="s">
        <v>349</v>
      </c>
      <c r="I433" s="1" t="s">
        <v>913</v>
      </c>
      <c r="J433" s="1" t="s">
        <v>1</v>
      </c>
      <c r="K433" s="1" t="s">
        <v>3</v>
      </c>
      <c r="L433" s="1" t="s">
        <v>350</v>
      </c>
      <c r="M433" s="1" t="s">
        <v>351</v>
      </c>
      <c r="N433" s="1" t="s">
        <v>12</v>
      </c>
      <c r="O433" s="1" t="s">
        <v>351</v>
      </c>
      <c r="P433" s="1" t="s">
        <v>352</v>
      </c>
      <c r="T433" s="1"/>
    </row>
    <row r="434" spans="6:20" x14ac:dyDescent="0.35">
      <c r="F434" s="1" t="s">
        <v>361</v>
      </c>
      <c r="G434" t="s">
        <v>2999</v>
      </c>
      <c r="H434" s="1" t="s">
        <v>371</v>
      </c>
      <c r="I434" s="1" t="s">
        <v>912</v>
      </c>
      <c r="J434" s="1" t="s">
        <v>1</v>
      </c>
      <c r="K434" s="1" t="s">
        <v>3</v>
      </c>
      <c r="L434" s="1" t="s">
        <v>350</v>
      </c>
      <c r="M434" s="1" t="s">
        <v>372</v>
      </c>
      <c r="N434" s="1" t="s">
        <v>12</v>
      </c>
      <c r="O434" s="1" t="s">
        <v>372</v>
      </c>
      <c r="P434" s="1" t="s">
        <v>373</v>
      </c>
      <c r="T434" s="1"/>
    </row>
    <row r="435" spans="6:20" x14ac:dyDescent="0.35">
      <c r="F435" s="1" t="s">
        <v>644</v>
      </c>
      <c r="G435" t="s">
        <v>2873</v>
      </c>
      <c r="H435" s="1" t="s">
        <v>645</v>
      </c>
      <c r="I435" s="1" t="s">
        <v>917</v>
      </c>
      <c r="J435" s="1" t="s">
        <v>416</v>
      </c>
      <c r="K435" s="1" t="s">
        <v>291</v>
      </c>
      <c r="L435" s="1" t="s">
        <v>646</v>
      </c>
      <c r="M435" s="1" t="s">
        <v>647</v>
      </c>
      <c r="N435" s="1" t="s">
        <v>648</v>
      </c>
      <c r="T435" s="1"/>
    </row>
    <row r="436" spans="6:20" x14ac:dyDescent="0.35">
      <c r="F436" s="1" t="s">
        <v>649</v>
      </c>
      <c r="G436" t="s">
        <v>2801</v>
      </c>
      <c r="H436" s="1" t="s">
        <v>650</v>
      </c>
      <c r="I436" s="1" t="s">
        <v>917</v>
      </c>
      <c r="J436" s="1" t="s">
        <v>416</v>
      </c>
      <c r="K436" s="1" t="s">
        <v>291</v>
      </c>
      <c r="L436" s="1" t="s">
        <v>651</v>
      </c>
      <c r="M436" s="1" t="s">
        <v>652</v>
      </c>
      <c r="N436" s="1" t="s">
        <v>648</v>
      </c>
      <c r="O436" s="1" t="s">
        <v>653</v>
      </c>
      <c r="P436" s="1" t="s">
        <v>654</v>
      </c>
      <c r="T436" s="1"/>
    </row>
    <row r="437" spans="6:20" x14ac:dyDescent="0.35">
      <c r="F437" s="1" t="s">
        <v>655</v>
      </c>
      <c r="G437" t="s">
        <v>2873</v>
      </c>
      <c r="H437" s="1" t="s">
        <v>656</v>
      </c>
      <c r="I437" s="1" t="s">
        <v>917</v>
      </c>
      <c r="J437" s="1" t="s">
        <v>416</v>
      </c>
      <c r="K437" s="1" t="s">
        <v>291</v>
      </c>
      <c r="L437" s="1">
        <v>39421</v>
      </c>
      <c r="M437" s="1" t="s">
        <v>657</v>
      </c>
      <c r="N437" s="1" t="s">
        <v>12</v>
      </c>
      <c r="O437" s="1" t="s">
        <v>657</v>
      </c>
      <c r="P437" s="1" t="s">
        <v>658</v>
      </c>
      <c r="T437" s="1"/>
    </row>
    <row r="438" spans="6:20" x14ac:dyDescent="0.35">
      <c r="F438" s="1" t="s">
        <v>664</v>
      </c>
      <c r="G438" t="s">
        <v>2873</v>
      </c>
      <c r="H438" s="1" t="s">
        <v>665</v>
      </c>
      <c r="I438" s="1" t="s">
        <v>917</v>
      </c>
      <c r="J438" s="1" t="s">
        <v>416</v>
      </c>
      <c r="K438" s="1" t="s">
        <v>291</v>
      </c>
      <c r="L438" s="1">
        <v>39421</v>
      </c>
      <c r="M438" s="1" t="s">
        <v>666</v>
      </c>
      <c r="N438" s="1" t="s">
        <v>12</v>
      </c>
      <c r="O438" s="1" t="s">
        <v>666</v>
      </c>
      <c r="P438" s="1" t="s">
        <v>667</v>
      </c>
      <c r="T438" s="1"/>
    </row>
    <row r="439" spans="6:20" x14ac:dyDescent="0.35">
      <c r="F439" s="1" t="s">
        <v>673</v>
      </c>
      <c r="G439" t="s">
        <v>2873</v>
      </c>
      <c r="H439" s="1" t="s">
        <v>674</v>
      </c>
      <c r="I439" s="1" t="s">
        <v>917</v>
      </c>
      <c r="J439" s="1" t="s">
        <v>416</v>
      </c>
      <c r="K439" s="1" t="s">
        <v>291</v>
      </c>
      <c r="L439" s="1">
        <v>39812</v>
      </c>
      <c r="M439" s="1" t="s">
        <v>675</v>
      </c>
      <c r="N439" s="1" t="s">
        <v>12</v>
      </c>
      <c r="O439" s="1" t="s">
        <v>675</v>
      </c>
      <c r="P439" s="1" t="s">
        <v>676</v>
      </c>
      <c r="T439" s="1"/>
    </row>
    <row r="440" spans="6:20" x14ac:dyDescent="0.35">
      <c r="F440" s="1" t="s">
        <v>683</v>
      </c>
      <c r="G440" t="s">
        <v>2873</v>
      </c>
      <c r="H440" s="1" t="s">
        <v>682</v>
      </c>
      <c r="I440" s="1" t="s">
        <v>917</v>
      </c>
      <c r="J440" s="1" t="s">
        <v>416</v>
      </c>
      <c r="K440" s="1" t="s">
        <v>291</v>
      </c>
      <c r="L440" s="1">
        <v>38898</v>
      </c>
      <c r="M440" s="1" t="s">
        <v>684</v>
      </c>
      <c r="N440" s="1" t="s">
        <v>12</v>
      </c>
      <c r="O440" s="1" t="s">
        <v>684</v>
      </c>
      <c r="P440" s="1" t="s">
        <v>685</v>
      </c>
      <c r="T440" s="1"/>
    </row>
    <row r="441" spans="6:20" x14ac:dyDescent="0.35">
      <c r="F441" s="1" t="s">
        <v>686</v>
      </c>
      <c r="G441" t="s">
        <v>2873</v>
      </c>
      <c r="H441" s="1" t="s">
        <v>687</v>
      </c>
      <c r="I441" s="1" t="s">
        <v>688</v>
      </c>
      <c r="J441" s="1" t="s">
        <v>290</v>
      </c>
      <c r="L441" s="1">
        <v>38794</v>
      </c>
      <c r="M441" s="1" t="s">
        <v>690</v>
      </c>
      <c r="N441" s="1" t="s">
        <v>271</v>
      </c>
      <c r="P441" s="1" t="s">
        <v>691</v>
      </c>
      <c r="Q441" s="1" t="s">
        <v>689</v>
      </c>
      <c r="R441" s="1" t="s">
        <v>271</v>
      </c>
      <c r="T441" s="1"/>
    </row>
    <row r="442" spans="6:20" x14ac:dyDescent="0.35">
      <c r="F442" s="1" t="s">
        <v>288</v>
      </c>
      <c r="G442" t="s">
        <v>2873</v>
      </c>
      <c r="H442" s="1" t="s">
        <v>289</v>
      </c>
      <c r="I442" s="1" t="s">
        <v>915</v>
      </c>
      <c r="J442" s="1" t="s">
        <v>416</v>
      </c>
      <c r="K442" s="1" t="s">
        <v>291</v>
      </c>
      <c r="L442" s="1">
        <v>41695</v>
      </c>
      <c r="M442" s="1" t="s">
        <v>292</v>
      </c>
      <c r="N442" s="1" t="s">
        <v>8</v>
      </c>
      <c r="O442" s="1" t="s">
        <v>293</v>
      </c>
      <c r="P442" s="1" t="s">
        <v>294</v>
      </c>
      <c r="T442" s="1"/>
    </row>
    <row r="443" spans="6:20" x14ac:dyDescent="0.35">
      <c r="F443" s="1" t="s">
        <v>414</v>
      </c>
      <c r="G443" t="s">
        <v>2801</v>
      </c>
      <c r="H443" s="1" t="s">
        <v>415</v>
      </c>
      <c r="I443" s="1" t="s">
        <v>915</v>
      </c>
      <c r="J443" s="1" t="s">
        <v>416</v>
      </c>
      <c r="K443" s="1" t="s">
        <v>291</v>
      </c>
      <c r="L443" s="1">
        <v>41951</v>
      </c>
      <c r="M443" s="1" t="s">
        <v>417</v>
      </c>
      <c r="N443" s="1" t="s">
        <v>8</v>
      </c>
      <c r="O443" s="1" t="s">
        <v>418</v>
      </c>
      <c r="P443" s="1" t="s">
        <v>419</v>
      </c>
      <c r="T443" s="1"/>
    </row>
    <row r="444" spans="6:20" x14ac:dyDescent="0.35">
      <c r="F444" s="1" t="s">
        <v>420</v>
      </c>
      <c r="G444" t="s">
        <v>2802</v>
      </c>
      <c r="H444" s="1" t="s">
        <v>421</v>
      </c>
      <c r="I444" s="1" t="s">
        <v>913</v>
      </c>
      <c r="J444" s="1" t="s">
        <v>416</v>
      </c>
      <c r="K444" s="1" t="s">
        <v>291</v>
      </c>
      <c r="L444" s="1">
        <v>45275</v>
      </c>
      <c r="M444" s="1" t="s">
        <v>422</v>
      </c>
      <c r="N444" s="1" t="s">
        <v>8</v>
      </c>
      <c r="O444" s="1" t="s">
        <v>465</v>
      </c>
      <c r="P444" s="1" t="s">
        <v>466</v>
      </c>
      <c r="T444" s="1"/>
    </row>
    <row r="445" spans="6:20" x14ac:dyDescent="0.35">
      <c r="F445" s="1" t="s">
        <v>423</v>
      </c>
      <c r="G445" t="s">
        <v>2802</v>
      </c>
      <c r="H445" s="1" t="s">
        <v>421</v>
      </c>
      <c r="I445" s="1" t="s">
        <v>913</v>
      </c>
      <c r="J445" s="1" t="s">
        <v>424</v>
      </c>
      <c r="K445" s="1" t="s">
        <v>425</v>
      </c>
      <c r="L445" s="1" t="s">
        <v>426</v>
      </c>
      <c r="M445" s="1" t="s">
        <v>427</v>
      </c>
      <c r="N445" s="1" t="s">
        <v>271</v>
      </c>
      <c r="T445" s="1"/>
    </row>
    <row r="446" spans="6:20" x14ac:dyDescent="0.35">
      <c r="F446" s="1" t="s">
        <v>441</v>
      </c>
      <c r="G446" t="s">
        <v>2873</v>
      </c>
      <c r="H446" s="1" t="s">
        <v>445</v>
      </c>
      <c r="I446" s="1" t="s">
        <v>915</v>
      </c>
      <c r="J446" s="1" t="s">
        <v>416</v>
      </c>
      <c r="K446" s="1" t="s">
        <v>291</v>
      </c>
      <c r="L446" s="1">
        <v>41695</v>
      </c>
      <c r="M446" s="1" t="s">
        <v>462</v>
      </c>
      <c r="N446" s="1" t="s">
        <v>8</v>
      </c>
      <c r="O446" s="1" t="s">
        <v>463</v>
      </c>
      <c r="P446" s="1" t="s">
        <v>464</v>
      </c>
      <c r="T446" s="1"/>
    </row>
    <row r="447" spans="6:20" x14ac:dyDescent="0.35">
      <c r="F447" s="1" t="s">
        <v>442</v>
      </c>
      <c r="G447" t="s">
        <v>2801</v>
      </c>
      <c r="H447" s="1" t="s">
        <v>444</v>
      </c>
      <c r="I447" s="1" t="s">
        <v>915</v>
      </c>
      <c r="J447" s="1" t="s">
        <v>416</v>
      </c>
      <c r="K447" s="1" t="s">
        <v>291</v>
      </c>
      <c r="L447" s="1">
        <v>41951</v>
      </c>
      <c r="M447" s="1" t="s">
        <v>467</v>
      </c>
      <c r="N447" s="1" t="s">
        <v>8</v>
      </c>
      <c r="O447" s="1" t="s">
        <v>468</v>
      </c>
      <c r="P447" s="1" t="s">
        <v>469</v>
      </c>
      <c r="T447" s="1"/>
    </row>
    <row r="448" spans="6:20" x14ac:dyDescent="0.35">
      <c r="F448" s="1" t="s">
        <v>443</v>
      </c>
      <c r="G448" t="s">
        <v>2802</v>
      </c>
      <c r="H448" s="1" t="s">
        <v>446</v>
      </c>
      <c r="I448" s="1" t="s">
        <v>911</v>
      </c>
      <c r="J448" s="1" t="s">
        <v>416</v>
      </c>
      <c r="K448" s="1" t="s">
        <v>291</v>
      </c>
      <c r="L448" s="1">
        <v>45275</v>
      </c>
      <c r="M448" s="1" t="s">
        <v>470</v>
      </c>
      <c r="N448" s="1" t="s">
        <v>8</v>
      </c>
      <c r="O448" s="1" t="s">
        <v>471</v>
      </c>
      <c r="P448" s="1" t="s">
        <v>472</v>
      </c>
      <c r="T448" s="1"/>
    </row>
    <row r="449" spans="6:20" x14ac:dyDescent="0.35">
      <c r="F449" s="1" t="s">
        <v>473</v>
      </c>
      <c r="G449" t="s">
        <v>2802</v>
      </c>
      <c r="H449" s="1" t="s">
        <v>446</v>
      </c>
      <c r="I449" s="1" t="s">
        <v>911</v>
      </c>
      <c r="J449" s="1" t="s">
        <v>424</v>
      </c>
      <c r="K449" s="1" t="s">
        <v>425</v>
      </c>
      <c r="L449" s="1" t="s">
        <v>426</v>
      </c>
      <c r="M449" s="1" t="s">
        <v>474</v>
      </c>
      <c r="N449" s="1" t="s">
        <v>271</v>
      </c>
      <c r="T449" s="1"/>
    </row>
    <row r="450" spans="6:20" x14ac:dyDescent="0.35">
      <c r="F450" s="1" t="s">
        <v>475</v>
      </c>
      <c r="G450" t="s">
        <v>2873</v>
      </c>
      <c r="H450" s="1" t="s">
        <v>480</v>
      </c>
      <c r="I450" s="1" t="s">
        <v>915</v>
      </c>
      <c r="J450" s="1" t="s">
        <v>416</v>
      </c>
      <c r="K450" s="1" t="s">
        <v>291</v>
      </c>
      <c r="L450" s="1">
        <v>41695</v>
      </c>
      <c r="M450" s="1" t="s">
        <v>503</v>
      </c>
      <c r="N450" s="1" t="s">
        <v>8</v>
      </c>
      <c r="O450" s="1" t="s">
        <v>504</v>
      </c>
      <c r="P450" s="1" t="s">
        <v>505</v>
      </c>
      <c r="T450" s="1"/>
    </row>
    <row r="451" spans="6:20" x14ac:dyDescent="0.35">
      <c r="F451" s="1" t="s">
        <v>476</v>
      </c>
      <c r="G451" t="s">
        <v>2801</v>
      </c>
      <c r="H451" s="1" t="s">
        <v>479</v>
      </c>
      <c r="I451" s="1" t="s">
        <v>915</v>
      </c>
      <c r="J451" s="1" t="s">
        <v>416</v>
      </c>
      <c r="K451" s="1" t="s">
        <v>291</v>
      </c>
      <c r="L451" s="1">
        <v>41951</v>
      </c>
      <c r="M451" s="1" t="s">
        <v>500</v>
      </c>
      <c r="N451" s="1" t="s">
        <v>8</v>
      </c>
      <c r="O451" s="1" t="s">
        <v>501</v>
      </c>
      <c r="P451" s="1" t="s">
        <v>502</v>
      </c>
      <c r="T451" s="1"/>
    </row>
    <row r="452" spans="6:20" x14ac:dyDescent="0.35">
      <c r="F452" s="1" t="s">
        <v>477</v>
      </c>
      <c r="G452" t="s">
        <v>2802</v>
      </c>
      <c r="H452" s="1" t="s">
        <v>478</v>
      </c>
      <c r="I452" s="1" t="s">
        <v>911</v>
      </c>
      <c r="J452" s="1" t="s">
        <v>416</v>
      </c>
      <c r="K452" s="1" t="s">
        <v>291</v>
      </c>
      <c r="L452" s="1">
        <v>45275</v>
      </c>
      <c r="M452" s="1" t="s">
        <v>497</v>
      </c>
      <c r="N452" s="1" t="s">
        <v>8</v>
      </c>
      <c r="O452" s="1" t="s">
        <v>498</v>
      </c>
      <c r="P452" s="1" t="s">
        <v>499</v>
      </c>
      <c r="T452" s="1"/>
    </row>
    <row r="453" spans="6:20" x14ac:dyDescent="0.35">
      <c r="F453" s="1" t="s">
        <v>506</v>
      </c>
      <c r="G453" t="s">
        <v>2802</v>
      </c>
      <c r="H453" s="1" t="s">
        <v>478</v>
      </c>
      <c r="I453" s="1" t="s">
        <v>911</v>
      </c>
      <c r="J453" s="1" t="s">
        <v>424</v>
      </c>
      <c r="K453" s="1" t="s">
        <v>425</v>
      </c>
      <c r="L453" s="1" t="s">
        <v>426</v>
      </c>
      <c r="M453" s="1" t="s">
        <v>507</v>
      </c>
      <c r="N453" s="1" t="s">
        <v>271</v>
      </c>
      <c r="T453" s="1"/>
    </row>
    <row r="454" spans="6:20" x14ac:dyDescent="0.35">
      <c r="F454" s="1" t="s">
        <v>508</v>
      </c>
      <c r="G454" t="s">
        <v>2873</v>
      </c>
      <c r="H454" s="1" t="s">
        <v>509</v>
      </c>
      <c r="I454" s="1" t="s">
        <v>911</v>
      </c>
      <c r="J454" s="1" t="s">
        <v>416</v>
      </c>
      <c r="K454" s="1" t="s">
        <v>291</v>
      </c>
      <c r="L454" s="1">
        <v>44816</v>
      </c>
      <c r="M454" s="1" t="s">
        <v>510</v>
      </c>
      <c r="N454" s="1" t="s">
        <v>8</v>
      </c>
      <c r="O454" s="1" t="s">
        <v>511</v>
      </c>
      <c r="P454" s="1" t="s">
        <v>512</v>
      </c>
      <c r="T454" s="1"/>
    </row>
    <row r="455" spans="6:20" x14ac:dyDescent="0.35">
      <c r="F455" s="1" t="s">
        <v>519</v>
      </c>
      <c r="G455" t="s">
        <v>2802</v>
      </c>
      <c r="H455" s="1" t="s">
        <v>509</v>
      </c>
      <c r="I455" s="1" t="s">
        <v>911</v>
      </c>
      <c r="J455" s="1" t="s">
        <v>424</v>
      </c>
      <c r="K455" s="1" t="s">
        <v>425</v>
      </c>
      <c r="L455" s="1" t="s">
        <v>426</v>
      </c>
      <c r="M455" s="1" t="s">
        <v>520</v>
      </c>
      <c r="N455" s="1" t="s">
        <v>271</v>
      </c>
      <c r="T455" s="1"/>
    </row>
    <row r="456" spans="6:20" x14ac:dyDescent="0.35">
      <c r="F456" s="1" t="s">
        <v>521</v>
      </c>
      <c r="G456" t="s">
        <v>2873</v>
      </c>
      <c r="H456" s="1" t="s">
        <v>522</v>
      </c>
      <c r="I456" s="1" t="s">
        <v>911</v>
      </c>
      <c r="J456" s="1" t="s">
        <v>416</v>
      </c>
      <c r="K456" s="1" t="s">
        <v>291</v>
      </c>
      <c r="L456" s="1">
        <v>44816</v>
      </c>
      <c r="M456" s="1" t="s">
        <v>523</v>
      </c>
      <c r="N456" s="1" t="s">
        <v>8</v>
      </c>
      <c r="O456" s="1" t="s">
        <v>524</v>
      </c>
      <c r="P456" s="1" t="s">
        <v>525</v>
      </c>
      <c r="T456" s="1"/>
    </row>
    <row r="457" spans="6:20" x14ac:dyDescent="0.35">
      <c r="F457" s="1" t="s">
        <v>531</v>
      </c>
      <c r="G457" t="s">
        <v>2802</v>
      </c>
      <c r="H457" s="1" t="s">
        <v>522</v>
      </c>
      <c r="I457" s="1" t="s">
        <v>911</v>
      </c>
      <c r="J457" s="1" t="s">
        <v>424</v>
      </c>
      <c r="K457" s="1" t="s">
        <v>425</v>
      </c>
      <c r="L457" s="1" t="s">
        <v>426</v>
      </c>
      <c r="M457" s="1" t="s">
        <v>532</v>
      </c>
      <c r="N457" s="1" t="s">
        <v>271</v>
      </c>
      <c r="T457" s="1"/>
    </row>
    <row r="458" spans="6:20" x14ac:dyDescent="0.35">
      <c r="F458" s="1" t="s">
        <v>533</v>
      </c>
      <c r="G458" t="s">
        <v>2873</v>
      </c>
      <c r="H458" s="1" t="s">
        <v>534</v>
      </c>
      <c r="I458" s="1" t="s">
        <v>911</v>
      </c>
      <c r="J458" s="1" t="s">
        <v>416</v>
      </c>
      <c r="K458" s="1" t="s">
        <v>291</v>
      </c>
      <c r="L458" s="1">
        <v>44816</v>
      </c>
      <c r="M458" s="1" t="s">
        <v>535</v>
      </c>
      <c r="N458" s="1" t="s">
        <v>8</v>
      </c>
      <c r="O458" s="1" t="s">
        <v>536</v>
      </c>
      <c r="P458" s="1" t="s">
        <v>537</v>
      </c>
      <c r="T458" s="1"/>
    </row>
    <row r="459" spans="6:20" x14ac:dyDescent="0.35">
      <c r="F459" s="1" t="s">
        <v>538</v>
      </c>
      <c r="G459" t="s">
        <v>2802</v>
      </c>
      <c r="H459" s="1" t="s">
        <v>534</v>
      </c>
      <c r="I459" s="1" t="s">
        <v>911</v>
      </c>
      <c r="J459" s="1" t="s">
        <v>424</v>
      </c>
      <c r="K459" s="1" t="s">
        <v>425</v>
      </c>
      <c r="L459" s="1" t="s">
        <v>426</v>
      </c>
      <c r="M459" s="1" t="s">
        <v>539</v>
      </c>
      <c r="N459" s="1" t="s">
        <v>271</v>
      </c>
      <c r="T459" s="1"/>
    </row>
    <row r="460" spans="6:20" x14ac:dyDescent="0.35">
      <c r="F460" s="1" t="s">
        <v>546</v>
      </c>
      <c r="G460" t="s">
        <v>2873</v>
      </c>
      <c r="H460" s="1" t="s">
        <v>549</v>
      </c>
      <c r="I460" s="1" t="s">
        <v>915</v>
      </c>
      <c r="J460" s="1" t="s">
        <v>416</v>
      </c>
      <c r="K460" s="1" t="s">
        <v>291</v>
      </c>
      <c r="L460" s="1">
        <v>44816</v>
      </c>
      <c r="M460" s="1" t="s">
        <v>550</v>
      </c>
      <c r="N460" s="1" t="s">
        <v>8</v>
      </c>
      <c r="O460" s="1" t="s">
        <v>551</v>
      </c>
      <c r="P460" s="1" t="s">
        <v>552</v>
      </c>
      <c r="T460" s="1"/>
    </row>
    <row r="461" spans="6:20" x14ac:dyDescent="0.35">
      <c r="F461" s="1" t="s">
        <v>547</v>
      </c>
      <c r="G461" t="s">
        <v>2801</v>
      </c>
      <c r="H461" s="1" t="s">
        <v>548</v>
      </c>
      <c r="I461" s="1" t="s">
        <v>911</v>
      </c>
      <c r="J461" s="1" t="s">
        <v>416</v>
      </c>
      <c r="K461" s="1" t="s">
        <v>291</v>
      </c>
      <c r="L461" s="1">
        <v>45275</v>
      </c>
      <c r="M461" s="1" t="s">
        <v>553</v>
      </c>
      <c r="N461" s="1" t="s">
        <v>8</v>
      </c>
      <c r="O461" s="1" t="s">
        <v>554</v>
      </c>
      <c r="P461" s="1" t="s">
        <v>555</v>
      </c>
      <c r="T461" s="1"/>
    </row>
    <row r="462" spans="6:20" x14ac:dyDescent="0.35">
      <c r="F462" s="1" t="s">
        <v>556</v>
      </c>
      <c r="G462" t="s">
        <v>2802</v>
      </c>
      <c r="H462" s="1" t="s">
        <v>548</v>
      </c>
      <c r="I462" s="1" t="s">
        <v>911</v>
      </c>
      <c r="J462" s="1" t="s">
        <v>424</v>
      </c>
      <c r="K462" s="1" t="s">
        <v>425</v>
      </c>
      <c r="L462" s="1" t="s">
        <v>426</v>
      </c>
      <c r="M462" s="1" t="s">
        <v>557</v>
      </c>
      <c r="N462" s="1" t="s">
        <v>271</v>
      </c>
      <c r="T462" s="1"/>
    </row>
    <row r="463" spans="6:20" x14ac:dyDescent="0.35">
      <c r="F463" s="1" t="s">
        <v>570</v>
      </c>
      <c r="G463" t="s">
        <v>2873</v>
      </c>
      <c r="H463" s="1" t="s">
        <v>571</v>
      </c>
      <c r="I463" s="1" t="s">
        <v>911</v>
      </c>
      <c r="J463" s="1" t="s">
        <v>416</v>
      </c>
      <c r="K463" s="1" t="s">
        <v>291</v>
      </c>
      <c r="L463" s="1">
        <v>41695</v>
      </c>
      <c r="M463" s="1" t="s">
        <v>572</v>
      </c>
      <c r="N463" s="1" t="s">
        <v>8</v>
      </c>
      <c r="O463" s="1" t="s">
        <v>573</v>
      </c>
      <c r="P463" s="1" t="s">
        <v>574</v>
      </c>
      <c r="T463" s="1"/>
    </row>
    <row r="464" spans="6:20" x14ac:dyDescent="0.35">
      <c r="F464" s="1" t="s">
        <v>575</v>
      </c>
      <c r="G464" t="s">
        <v>2802</v>
      </c>
      <c r="H464" s="1" t="s">
        <v>571</v>
      </c>
      <c r="I464" s="1" t="s">
        <v>911</v>
      </c>
      <c r="J464" s="1" t="s">
        <v>424</v>
      </c>
      <c r="K464" s="1" t="s">
        <v>425</v>
      </c>
      <c r="L464" s="1" t="s">
        <v>426</v>
      </c>
      <c r="M464" s="1" t="s">
        <v>576</v>
      </c>
      <c r="N464" s="1" t="s">
        <v>271</v>
      </c>
      <c r="T464" s="1"/>
    </row>
    <row r="465" spans="6:20" x14ac:dyDescent="0.35">
      <c r="F465" s="1" t="s">
        <v>583</v>
      </c>
      <c r="G465" t="s">
        <v>2873</v>
      </c>
      <c r="H465" s="1" t="s">
        <v>582</v>
      </c>
      <c r="I465" s="1" t="s">
        <v>911</v>
      </c>
      <c r="J465" s="1" t="s">
        <v>416</v>
      </c>
      <c r="K465" s="1" t="s">
        <v>291</v>
      </c>
      <c r="L465" s="1">
        <v>42121</v>
      </c>
      <c r="M465" s="1" t="s">
        <v>584</v>
      </c>
      <c r="N465" s="1" t="s">
        <v>8</v>
      </c>
      <c r="O465" s="1" t="s">
        <v>585</v>
      </c>
      <c r="P465" s="1" t="s">
        <v>586</v>
      </c>
      <c r="T465" s="1"/>
    </row>
    <row r="466" spans="6:20" x14ac:dyDescent="0.35">
      <c r="F466" s="1" t="s">
        <v>587</v>
      </c>
      <c r="G466" t="s">
        <v>2802</v>
      </c>
      <c r="H466" s="1" t="s">
        <v>582</v>
      </c>
      <c r="I466" s="1" t="s">
        <v>911</v>
      </c>
      <c r="J466" s="1" t="s">
        <v>424</v>
      </c>
      <c r="K466" s="1" t="s">
        <v>425</v>
      </c>
      <c r="L466" s="1" t="s">
        <v>426</v>
      </c>
      <c r="M466" s="1" t="s">
        <v>588</v>
      </c>
      <c r="N466" s="1" t="s">
        <v>271</v>
      </c>
      <c r="T466" s="1"/>
    </row>
    <row r="467" spans="6:20" x14ac:dyDescent="0.35">
      <c r="F467" s="1" t="s">
        <v>600</v>
      </c>
      <c r="G467" t="s">
        <v>2873</v>
      </c>
      <c r="H467" s="1" t="s">
        <v>599</v>
      </c>
      <c r="I467" s="1" t="s">
        <v>911</v>
      </c>
      <c r="J467" s="1" t="s">
        <v>416</v>
      </c>
      <c r="K467" s="1" t="s">
        <v>291</v>
      </c>
      <c r="L467" s="1">
        <v>42110</v>
      </c>
      <c r="M467" s="1" t="s">
        <v>601</v>
      </c>
      <c r="N467" s="1" t="s">
        <v>8</v>
      </c>
      <c r="O467" s="1" t="s">
        <v>602</v>
      </c>
      <c r="P467" s="1" t="s">
        <v>603</v>
      </c>
      <c r="T467" s="1"/>
    </row>
    <row r="468" spans="6:20" x14ac:dyDescent="0.35">
      <c r="F468" s="1" t="s">
        <v>610</v>
      </c>
      <c r="G468" t="s">
        <v>2873</v>
      </c>
      <c r="H468" s="1" t="s">
        <v>611</v>
      </c>
      <c r="I468" s="1" t="s">
        <v>911</v>
      </c>
      <c r="J468" s="1" t="s">
        <v>416</v>
      </c>
      <c r="K468" s="1" t="s">
        <v>291</v>
      </c>
      <c r="L468" s="1">
        <v>44882</v>
      </c>
      <c r="M468" s="1" t="s">
        <v>612</v>
      </c>
      <c r="N468" s="1" t="s">
        <v>8</v>
      </c>
      <c r="O468" s="1" t="s">
        <v>613</v>
      </c>
      <c r="P468" s="1" t="s">
        <v>614</v>
      </c>
      <c r="T468" s="1"/>
    </row>
    <row r="469" spans="6:20" x14ac:dyDescent="0.35">
      <c r="F469" s="1" t="s">
        <v>622</v>
      </c>
      <c r="G469" t="s">
        <v>2873</v>
      </c>
      <c r="H469" s="1" t="s">
        <v>621</v>
      </c>
      <c r="I469" s="1" t="s">
        <v>911</v>
      </c>
      <c r="J469" s="1" t="s">
        <v>416</v>
      </c>
      <c r="K469" s="1" t="s">
        <v>291</v>
      </c>
      <c r="L469" s="1">
        <v>44897</v>
      </c>
      <c r="M469" s="1" t="s">
        <v>623</v>
      </c>
      <c r="N469" s="1" t="s">
        <v>8</v>
      </c>
      <c r="O469" s="1" t="s">
        <v>624</v>
      </c>
      <c r="P469" s="1" t="s">
        <v>625</v>
      </c>
      <c r="T469" s="1"/>
    </row>
    <row r="470" spans="6:20" x14ac:dyDescent="0.35">
      <c r="F470" s="1" t="s">
        <v>693</v>
      </c>
      <c r="G470" t="s">
        <v>2873</v>
      </c>
      <c r="H470" s="1" t="s">
        <v>692</v>
      </c>
      <c r="I470" s="1" t="s">
        <v>917</v>
      </c>
      <c r="J470" s="1" t="s">
        <v>416</v>
      </c>
      <c r="K470" s="1" t="s">
        <v>291</v>
      </c>
      <c r="L470" s="1">
        <v>44267</v>
      </c>
      <c r="M470" s="1" t="s">
        <v>694</v>
      </c>
      <c r="N470" s="1" t="s">
        <v>8</v>
      </c>
      <c r="O470" s="1" t="s">
        <v>695</v>
      </c>
      <c r="P470" s="1" t="s">
        <v>696</v>
      </c>
      <c r="T470" s="1"/>
    </row>
    <row r="471" spans="6:20" x14ac:dyDescent="0.35">
      <c r="F471" s="1" t="s">
        <v>704</v>
      </c>
      <c r="G471" t="s">
        <v>2873</v>
      </c>
      <c r="H471" s="1" t="s">
        <v>705</v>
      </c>
      <c r="I471" s="1" t="s">
        <v>917</v>
      </c>
      <c r="J471" s="1" t="s">
        <v>416</v>
      </c>
      <c r="K471" s="1" t="s">
        <v>291</v>
      </c>
      <c r="L471" s="1">
        <v>44267</v>
      </c>
      <c r="M471" s="1" t="s">
        <v>706</v>
      </c>
      <c r="N471" s="1" t="s">
        <v>8</v>
      </c>
      <c r="O471" s="1" t="s">
        <v>707</v>
      </c>
      <c r="P471" s="1" t="s">
        <v>708</v>
      </c>
      <c r="T471" s="1"/>
    </row>
    <row r="472" spans="6:20" x14ac:dyDescent="0.35">
      <c r="F472" s="1" t="s">
        <v>713</v>
      </c>
      <c r="G472" t="s">
        <v>2873</v>
      </c>
      <c r="H472" s="1" t="s">
        <v>714</v>
      </c>
      <c r="I472" s="1" t="s">
        <v>911</v>
      </c>
      <c r="J472" s="1" t="s">
        <v>416</v>
      </c>
      <c r="K472" s="1" t="s">
        <v>291</v>
      </c>
      <c r="L472" s="1">
        <v>45710</v>
      </c>
      <c r="M472" s="1" t="s">
        <v>715</v>
      </c>
      <c r="N472" s="1" t="s">
        <v>8</v>
      </c>
      <c r="O472" s="1" t="s">
        <v>716</v>
      </c>
      <c r="P472" s="1" t="s">
        <v>717</v>
      </c>
      <c r="T472" s="1"/>
    </row>
    <row r="473" spans="6:20" x14ac:dyDescent="0.35">
      <c r="F473" s="1" t="s">
        <v>722</v>
      </c>
      <c r="G473" t="s">
        <v>2873</v>
      </c>
      <c r="H473" s="1" t="s">
        <v>723</v>
      </c>
      <c r="I473" s="1" t="s">
        <v>911</v>
      </c>
      <c r="J473" s="1" t="s">
        <v>416</v>
      </c>
      <c r="K473" s="1" t="s">
        <v>291</v>
      </c>
      <c r="L473" s="1">
        <v>45710</v>
      </c>
      <c r="M473" s="1" t="s">
        <v>724</v>
      </c>
      <c r="N473" s="1" t="s">
        <v>8</v>
      </c>
      <c r="O473" s="1" t="s">
        <v>725</v>
      </c>
      <c r="P473" s="1" t="s">
        <v>726</v>
      </c>
      <c r="T473" s="1"/>
    </row>
    <row r="474" spans="6:20" x14ac:dyDescent="0.35">
      <c r="F474" s="1" t="s">
        <v>733</v>
      </c>
      <c r="G474" t="s">
        <v>3412</v>
      </c>
      <c r="H474" s="1" t="s">
        <v>732</v>
      </c>
      <c r="I474" s="1" t="s">
        <v>911</v>
      </c>
      <c r="J474" s="1" t="s">
        <v>416</v>
      </c>
      <c r="K474" s="1" t="s">
        <v>291</v>
      </c>
      <c r="L474" s="1">
        <v>44874</v>
      </c>
      <c r="M474" s="1" t="s">
        <v>734</v>
      </c>
      <c r="N474" s="1" t="s">
        <v>8</v>
      </c>
      <c r="O474" s="1" t="s">
        <v>735</v>
      </c>
      <c r="P474" s="1" t="s">
        <v>736</v>
      </c>
      <c r="T474" s="1"/>
    </row>
    <row r="475" spans="6:20" x14ac:dyDescent="0.35">
      <c r="F475" s="1" t="s">
        <v>740</v>
      </c>
      <c r="G475" t="s">
        <v>2873</v>
      </c>
      <c r="H475" s="1" t="s">
        <v>741</v>
      </c>
      <c r="I475" s="1" t="s">
        <v>913</v>
      </c>
      <c r="J475" s="1" t="s">
        <v>416</v>
      </c>
      <c r="K475" s="1" t="s">
        <v>291</v>
      </c>
      <c r="L475" s="1">
        <v>44440</v>
      </c>
      <c r="M475" s="1" t="s">
        <v>742</v>
      </c>
      <c r="N475" s="1" t="s">
        <v>8</v>
      </c>
      <c r="O475" s="1" t="s">
        <v>743</v>
      </c>
      <c r="P475" s="1" t="s">
        <v>744</v>
      </c>
      <c r="T475" s="1"/>
    </row>
    <row r="476" spans="6:20" x14ac:dyDescent="0.35">
      <c r="F476" s="1" t="s">
        <v>750</v>
      </c>
      <c r="G476" t="s">
        <v>2873</v>
      </c>
      <c r="H476" s="1" t="s">
        <v>751</v>
      </c>
      <c r="I476" s="1" t="s">
        <v>913</v>
      </c>
      <c r="J476" s="1" t="s">
        <v>752</v>
      </c>
      <c r="K476" s="1" t="s">
        <v>753</v>
      </c>
      <c r="L476" s="1">
        <v>38426</v>
      </c>
      <c r="M476" s="1" t="s">
        <v>754</v>
      </c>
      <c r="N476" s="1" t="s">
        <v>271</v>
      </c>
      <c r="T476" s="1"/>
    </row>
    <row r="477" spans="6:20" x14ac:dyDescent="0.35">
      <c r="F477" s="1" t="s">
        <v>755</v>
      </c>
      <c r="G477" t="s">
        <v>2873</v>
      </c>
      <c r="H477" s="1" t="s">
        <v>756</v>
      </c>
      <c r="I477" s="1" t="s">
        <v>913</v>
      </c>
      <c r="J477" s="1" t="s">
        <v>752</v>
      </c>
      <c r="K477" s="1" t="s">
        <v>753</v>
      </c>
      <c r="L477" s="1">
        <v>38426</v>
      </c>
      <c r="M477" s="1" t="s">
        <v>757</v>
      </c>
      <c r="N477" s="1" t="s">
        <v>271</v>
      </c>
      <c r="T477" s="1"/>
    </row>
    <row r="478" spans="6:20" x14ac:dyDescent="0.35">
      <c r="F478" s="1" t="s">
        <v>758</v>
      </c>
      <c r="G478" t="s">
        <v>2873</v>
      </c>
      <c r="H478" s="1" t="s">
        <v>759</v>
      </c>
      <c r="I478" s="1" t="s">
        <v>913</v>
      </c>
      <c r="J478" s="1" t="s">
        <v>752</v>
      </c>
      <c r="K478" s="1" t="s">
        <v>753</v>
      </c>
      <c r="L478" s="1">
        <v>38426</v>
      </c>
      <c r="M478" s="1" t="s">
        <v>760</v>
      </c>
      <c r="N478" s="1" t="s">
        <v>271</v>
      </c>
      <c r="T478" s="1"/>
    </row>
    <row r="479" spans="6:20" x14ac:dyDescent="0.35">
      <c r="F479" s="1" t="s">
        <v>761</v>
      </c>
      <c r="G479" t="s">
        <v>2873</v>
      </c>
      <c r="H479" s="1" t="s">
        <v>762</v>
      </c>
      <c r="I479" s="1" t="s">
        <v>913</v>
      </c>
      <c r="J479" s="1" t="s">
        <v>752</v>
      </c>
      <c r="K479" s="1" t="s">
        <v>753</v>
      </c>
      <c r="L479" s="1">
        <v>38426</v>
      </c>
      <c r="M479" s="1" t="s">
        <v>763</v>
      </c>
      <c r="N479" s="1" t="s">
        <v>271</v>
      </c>
      <c r="T479" s="1"/>
    </row>
    <row r="480" spans="6:20" x14ac:dyDescent="0.35">
      <c r="F480" s="1" t="s">
        <v>764</v>
      </c>
      <c r="G480" t="s">
        <v>2873</v>
      </c>
      <c r="H480" s="1" t="s">
        <v>766</v>
      </c>
      <c r="I480" s="1" t="s">
        <v>913</v>
      </c>
      <c r="J480" s="1" t="s">
        <v>752</v>
      </c>
      <c r="K480" s="1" t="s">
        <v>753</v>
      </c>
      <c r="L480" s="1">
        <v>38426</v>
      </c>
      <c r="M480" s="1" t="s">
        <v>765</v>
      </c>
      <c r="N480" s="1" t="s">
        <v>271</v>
      </c>
      <c r="T480" s="1"/>
    </row>
    <row r="481" spans="6:20" x14ac:dyDescent="0.35">
      <c r="F481" s="1" t="s">
        <v>767</v>
      </c>
      <c r="G481" t="s">
        <v>2873</v>
      </c>
      <c r="H481" s="1" t="s">
        <v>768</v>
      </c>
      <c r="I481" s="1" t="s">
        <v>913</v>
      </c>
      <c r="J481" s="1" t="s">
        <v>752</v>
      </c>
      <c r="K481" s="1" t="s">
        <v>753</v>
      </c>
      <c r="L481" s="1">
        <v>38426</v>
      </c>
      <c r="M481" s="1" t="s">
        <v>769</v>
      </c>
      <c r="N481" s="1" t="s">
        <v>271</v>
      </c>
      <c r="T481" s="1"/>
    </row>
    <row r="482" spans="6:20" x14ac:dyDescent="0.35">
      <c r="F482" s="1" t="s">
        <v>770</v>
      </c>
      <c r="G482" t="s">
        <v>2873</v>
      </c>
      <c r="H482" s="1" t="s">
        <v>771</v>
      </c>
      <c r="I482" s="1" t="s">
        <v>913</v>
      </c>
      <c r="J482" s="1" t="s">
        <v>752</v>
      </c>
      <c r="K482" s="1" t="s">
        <v>753</v>
      </c>
      <c r="L482" s="1">
        <v>38426</v>
      </c>
      <c r="M482" s="1" t="s">
        <v>772</v>
      </c>
      <c r="N482" s="1" t="s">
        <v>271</v>
      </c>
      <c r="T482" s="1"/>
    </row>
    <row r="483" spans="6:20" x14ac:dyDescent="0.35">
      <c r="F483" s="1" t="s">
        <v>773</v>
      </c>
      <c r="G483" t="s">
        <v>2873</v>
      </c>
      <c r="H483" s="1" t="s">
        <v>774</v>
      </c>
      <c r="I483" s="1" t="s">
        <v>913</v>
      </c>
      <c r="J483" s="1" t="s">
        <v>752</v>
      </c>
      <c r="K483" s="1" t="s">
        <v>753</v>
      </c>
      <c r="L483" s="1">
        <v>38426</v>
      </c>
      <c r="M483" s="1" t="s">
        <v>775</v>
      </c>
      <c r="N483" s="1" t="s">
        <v>271</v>
      </c>
      <c r="T483" s="1"/>
    </row>
    <row r="484" spans="6:20" x14ac:dyDescent="0.35">
      <c r="F484" s="1" t="s">
        <v>776</v>
      </c>
      <c r="G484" t="s">
        <v>2873</v>
      </c>
      <c r="H484" s="1" t="s">
        <v>777</v>
      </c>
      <c r="I484" s="1" t="s">
        <v>911</v>
      </c>
      <c r="J484" s="1" t="s">
        <v>778</v>
      </c>
      <c r="K484" s="1" t="s">
        <v>753</v>
      </c>
      <c r="L484" s="1">
        <v>38426</v>
      </c>
      <c r="M484" s="1" t="s">
        <v>779</v>
      </c>
      <c r="N484" s="1" t="s">
        <v>780</v>
      </c>
      <c r="T484" s="1"/>
    </row>
    <row r="485" spans="6:20" x14ac:dyDescent="0.35">
      <c r="F485" s="1" t="s">
        <v>781</v>
      </c>
      <c r="G485" t="s">
        <v>2873</v>
      </c>
      <c r="H485" s="1" t="s">
        <v>782</v>
      </c>
      <c r="I485" s="1" t="s">
        <v>911</v>
      </c>
      <c r="J485" s="1" t="s">
        <v>778</v>
      </c>
      <c r="K485" s="1" t="s">
        <v>753</v>
      </c>
      <c r="L485" s="1">
        <v>38426</v>
      </c>
      <c r="M485" s="1" t="s">
        <v>783</v>
      </c>
      <c r="N485" s="1" t="s">
        <v>780</v>
      </c>
      <c r="T485" s="1"/>
    </row>
    <row r="486" spans="6:20" x14ac:dyDescent="0.35">
      <c r="F486" s="1" t="s">
        <v>784</v>
      </c>
      <c r="G486" t="s">
        <v>2873</v>
      </c>
      <c r="H486" s="1" t="s">
        <v>785</v>
      </c>
      <c r="I486" s="1" t="s">
        <v>911</v>
      </c>
      <c r="J486" s="1" t="s">
        <v>778</v>
      </c>
      <c r="K486" s="1" t="s">
        <v>753</v>
      </c>
      <c r="L486" s="1">
        <v>38426</v>
      </c>
      <c r="M486" s="1" t="s">
        <v>786</v>
      </c>
      <c r="N486" s="1" t="s">
        <v>780</v>
      </c>
      <c r="T486" s="1"/>
    </row>
    <row r="487" spans="6:20" x14ac:dyDescent="0.35">
      <c r="F487" s="1" t="s">
        <v>787</v>
      </c>
      <c r="G487" t="s">
        <v>2873</v>
      </c>
      <c r="H487" s="1" t="s">
        <v>788</v>
      </c>
      <c r="I487" s="1" t="s">
        <v>911</v>
      </c>
      <c r="J487" s="1" t="s">
        <v>778</v>
      </c>
      <c r="K487" s="1" t="s">
        <v>753</v>
      </c>
      <c r="L487" s="1">
        <v>38426</v>
      </c>
      <c r="M487" s="1" t="s">
        <v>789</v>
      </c>
      <c r="N487" s="1" t="s">
        <v>780</v>
      </c>
      <c r="T487" s="1"/>
    </row>
    <row r="488" spans="6:20" x14ac:dyDescent="0.35">
      <c r="F488" s="1" t="s">
        <v>790</v>
      </c>
      <c r="G488" t="s">
        <v>2873</v>
      </c>
      <c r="H488" s="1" t="s">
        <v>791</v>
      </c>
      <c r="I488" s="1" t="s">
        <v>911</v>
      </c>
      <c r="J488" s="1" t="s">
        <v>778</v>
      </c>
      <c r="K488" s="1" t="s">
        <v>753</v>
      </c>
      <c r="L488" s="1">
        <v>38426</v>
      </c>
      <c r="M488" s="1" t="s">
        <v>792</v>
      </c>
      <c r="N488" s="1" t="s">
        <v>780</v>
      </c>
      <c r="T488" s="1"/>
    </row>
    <row r="489" spans="6:20" x14ac:dyDescent="0.35">
      <c r="F489" s="1" t="s">
        <v>793</v>
      </c>
      <c r="G489" t="s">
        <v>2873</v>
      </c>
      <c r="H489" s="1" t="s">
        <v>794</v>
      </c>
      <c r="I489" s="1" t="s">
        <v>911</v>
      </c>
      <c r="J489" s="1" t="s">
        <v>778</v>
      </c>
      <c r="K489" s="1" t="s">
        <v>753</v>
      </c>
      <c r="L489" s="1">
        <v>38426</v>
      </c>
      <c r="M489" s="1" t="s">
        <v>795</v>
      </c>
      <c r="N489" s="1" t="s">
        <v>780</v>
      </c>
      <c r="T489" s="1"/>
    </row>
    <row r="490" spans="6:20" x14ac:dyDescent="0.35">
      <c r="F490" s="1" t="s">
        <v>796</v>
      </c>
      <c r="G490" t="s">
        <v>2873</v>
      </c>
      <c r="H490" s="1" t="s">
        <v>797</v>
      </c>
      <c r="I490" s="1" t="s">
        <v>911</v>
      </c>
      <c r="J490" s="1" t="s">
        <v>778</v>
      </c>
      <c r="K490" s="1" t="s">
        <v>753</v>
      </c>
      <c r="L490" s="1">
        <v>38426</v>
      </c>
      <c r="M490" s="1" t="s">
        <v>798</v>
      </c>
      <c r="N490" s="1" t="s">
        <v>780</v>
      </c>
      <c r="T490" s="1"/>
    </row>
    <row r="491" spans="6:20" x14ac:dyDescent="0.35">
      <c r="F491" s="1" t="s">
        <v>799</v>
      </c>
      <c r="G491" t="s">
        <v>2873</v>
      </c>
      <c r="H491" s="1" t="s">
        <v>800</v>
      </c>
      <c r="I491" s="1" t="s">
        <v>911</v>
      </c>
      <c r="J491" s="1" t="s">
        <v>778</v>
      </c>
      <c r="K491" s="1" t="s">
        <v>753</v>
      </c>
      <c r="L491" s="1">
        <v>38426</v>
      </c>
      <c r="M491" s="1" t="s">
        <v>801</v>
      </c>
      <c r="N491" s="1" t="s">
        <v>780</v>
      </c>
      <c r="T491" s="1"/>
    </row>
    <row r="492" spans="6:20" x14ac:dyDescent="0.35">
      <c r="F492" s="1" t="s">
        <v>802</v>
      </c>
      <c r="G492" t="s">
        <v>2873</v>
      </c>
      <c r="H492" s="1" t="s">
        <v>804</v>
      </c>
      <c r="I492" s="1" t="s">
        <v>911</v>
      </c>
      <c r="J492" s="1" t="s">
        <v>778</v>
      </c>
      <c r="K492" s="1" t="s">
        <v>753</v>
      </c>
      <c r="L492" s="1">
        <v>38426</v>
      </c>
      <c r="M492" s="1" t="s">
        <v>805</v>
      </c>
      <c r="N492" s="1" t="s">
        <v>780</v>
      </c>
      <c r="T492" s="1"/>
    </row>
    <row r="493" spans="6:20" x14ac:dyDescent="0.35">
      <c r="F493" s="1" t="s">
        <v>803</v>
      </c>
      <c r="G493" t="s">
        <v>2873</v>
      </c>
      <c r="H493" s="1" t="s">
        <v>806</v>
      </c>
      <c r="I493" s="1" t="s">
        <v>911</v>
      </c>
      <c r="J493" s="1" t="s">
        <v>778</v>
      </c>
      <c r="K493" s="1" t="s">
        <v>753</v>
      </c>
      <c r="L493" s="1">
        <v>38426</v>
      </c>
      <c r="M493" s="1" t="s">
        <v>807</v>
      </c>
      <c r="N493" s="1" t="s">
        <v>780</v>
      </c>
      <c r="T493" s="1"/>
    </row>
    <row r="494" spans="6:20" x14ac:dyDescent="0.35">
      <c r="F494" s="1" t="s">
        <v>808</v>
      </c>
      <c r="G494" t="s">
        <v>2873</v>
      </c>
      <c r="H494" s="1" t="s">
        <v>809</v>
      </c>
      <c r="I494" s="1" t="s">
        <v>911</v>
      </c>
      <c r="J494" s="1" t="s">
        <v>778</v>
      </c>
      <c r="K494" s="1" t="s">
        <v>753</v>
      </c>
      <c r="L494" s="1">
        <v>38426</v>
      </c>
      <c r="M494" s="1" t="s">
        <v>810</v>
      </c>
      <c r="N494" s="1" t="s">
        <v>780</v>
      </c>
      <c r="T494" s="1"/>
    </row>
    <row r="495" spans="6:20" x14ac:dyDescent="0.35">
      <c r="F495" s="1" t="s">
        <v>811</v>
      </c>
      <c r="G495" t="s">
        <v>2873</v>
      </c>
      <c r="H495" s="1" t="s">
        <v>812</v>
      </c>
      <c r="I495" s="1" t="s">
        <v>911</v>
      </c>
      <c r="J495" s="1" t="s">
        <v>778</v>
      </c>
      <c r="K495" s="1" t="s">
        <v>753</v>
      </c>
      <c r="L495" s="1">
        <v>38426</v>
      </c>
      <c r="M495" s="1" t="s">
        <v>813</v>
      </c>
      <c r="N495" s="1" t="s">
        <v>780</v>
      </c>
      <c r="T495" s="1"/>
    </row>
    <row r="496" spans="6:20" x14ac:dyDescent="0.35">
      <c r="F496" s="1" t="s">
        <v>814</v>
      </c>
      <c r="G496" t="s">
        <v>2873</v>
      </c>
      <c r="H496" s="1" t="s">
        <v>815</v>
      </c>
      <c r="I496" s="1" t="s">
        <v>911</v>
      </c>
      <c r="J496" s="1" t="s">
        <v>778</v>
      </c>
      <c r="K496" s="1" t="s">
        <v>753</v>
      </c>
      <c r="L496" s="1">
        <v>38426</v>
      </c>
      <c r="M496" s="1" t="s">
        <v>816</v>
      </c>
      <c r="N496" s="1" t="s">
        <v>780</v>
      </c>
      <c r="T496" s="1"/>
    </row>
    <row r="497" spans="6:20" x14ac:dyDescent="0.35">
      <c r="F497" s="1" t="s">
        <v>817</v>
      </c>
      <c r="G497" t="s">
        <v>2873</v>
      </c>
      <c r="H497" s="1" t="s">
        <v>818</v>
      </c>
      <c r="I497" s="1" t="s">
        <v>911</v>
      </c>
      <c r="J497" s="1" t="s">
        <v>778</v>
      </c>
      <c r="K497" s="1" t="s">
        <v>753</v>
      </c>
      <c r="L497" s="1">
        <v>38426</v>
      </c>
      <c r="M497" s="1" t="s">
        <v>819</v>
      </c>
      <c r="N497" s="1" t="s">
        <v>780</v>
      </c>
      <c r="T497" s="1"/>
    </row>
    <row r="498" spans="6:20" x14ac:dyDescent="0.35">
      <c r="F498" s="1" t="s">
        <v>820</v>
      </c>
      <c r="G498" t="s">
        <v>2873</v>
      </c>
      <c r="H498" s="1" t="s">
        <v>821</v>
      </c>
      <c r="I498" s="1" t="s">
        <v>911</v>
      </c>
      <c r="J498" s="1" t="s">
        <v>778</v>
      </c>
      <c r="K498" s="1" t="s">
        <v>753</v>
      </c>
      <c r="L498" s="1">
        <v>38426</v>
      </c>
      <c r="M498" s="1" t="s">
        <v>822</v>
      </c>
      <c r="N498" s="1" t="s">
        <v>780</v>
      </c>
      <c r="T498" s="1"/>
    </row>
    <row r="499" spans="6:20" x14ac:dyDescent="0.35">
      <c r="F499" s="1" t="s">
        <v>823</v>
      </c>
      <c r="G499" t="s">
        <v>2873</v>
      </c>
      <c r="H499" s="1" t="s">
        <v>824</v>
      </c>
      <c r="I499" s="1" t="s">
        <v>911</v>
      </c>
      <c r="J499" s="1" t="s">
        <v>778</v>
      </c>
      <c r="K499" s="1" t="s">
        <v>753</v>
      </c>
      <c r="L499" s="1">
        <v>38426</v>
      </c>
      <c r="M499" s="1" t="s">
        <v>825</v>
      </c>
      <c r="N499" s="1" t="s">
        <v>780</v>
      </c>
      <c r="T499" s="1"/>
    </row>
    <row r="500" spans="6:20" x14ac:dyDescent="0.35">
      <c r="F500" s="1" t="s">
        <v>826</v>
      </c>
      <c r="G500" t="s">
        <v>2873</v>
      </c>
      <c r="H500" s="1" t="s">
        <v>827</v>
      </c>
      <c r="I500" s="1" t="s">
        <v>911</v>
      </c>
      <c r="J500" s="1" t="s">
        <v>778</v>
      </c>
      <c r="K500" s="1" t="s">
        <v>753</v>
      </c>
      <c r="L500" s="1">
        <v>38426</v>
      </c>
      <c r="M500" s="1" t="s">
        <v>828</v>
      </c>
      <c r="N500" s="1" t="s">
        <v>780</v>
      </c>
      <c r="T500" s="1"/>
    </row>
    <row r="501" spans="6:20" x14ac:dyDescent="0.35">
      <c r="F501" s="1" t="s">
        <v>829</v>
      </c>
      <c r="G501" t="s">
        <v>2873</v>
      </c>
      <c r="H501" s="1" t="s">
        <v>830</v>
      </c>
      <c r="I501" s="1" t="s">
        <v>911</v>
      </c>
      <c r="J501" s="1" t="s">
        <v>778</v>
      </c>
      <c r="K501" s="1" t="s">
        <v>753</v>
      </c>
      <c r="L501" s="1">
        <v>38426</v>
      </c>
      <c r="M501" s="1" t="s">
        <v>831</v>
      </c>
      <c r="N501" s="1" t="s">
        <v>780</v>
      </c>
      <c r="T501" s="1"/>
    </row>
    <row r="502" spans="6:20" x14ac:dyDescent="0.35">
      <c r="F502" s="1" t="s">
        <v>832</v>
      </c>
      <c r="G502" t="s">
        <v>2873</v>
      </c>
      <c r="H502" s="1" t="s">
        <v>833</v>
      </c>
      <c r="I502" s="1" t="s">
        <v>911</v>
      </c>
      <c r="J502" s="1" t="s">
        <v>778</v>
      </c>
      <c r="K502" s="1" t="s">
        <v>753</v>
      </c>
      <c r="L502" s="1">
        <v>38426</v>
      </c>
      <c r="M502" s="1" t="s">
        <v>834</v>
      </c>
      <c r="N502" s="1" t="s">
        <v>780</v>
      </c>
      <c r="T502" s="1"/>
    </row>
    <row r="503" spans="6:20" x14ac:dyDescent="0.35">
      <c r="F503" s="1" t="s">
        <v>835</v>
      </c>
      <c r="G503" t="s">
        <v>2873</v>
      </c>
      <c r="H503" s="1" t="s">
        <v>836</v>
      </c>
      <c r="I503" s="1" t="s">
        <v>911</v>
      </c>
      <c r="J503" s="1" t="s">
        <v>778</v>
      </c>
      <c r="K503" s="1" t="s">
        <v>753</v>
      </c>
      <c r="L503" s="1">
        <v>38426</v>
      </c>
      <c r="M503" s="1" t="s">
        <v>837</v>
      </c>
      <c r="N503" s="1" t="s">
        <v>780</v>
      </c>
      <c r="T503" s="1"/>
    </row>
    <row r="504" spans="6:20" x14ac:dyDescent="0.35">
      <c r="F504" s="1" t="s">
        <v>838</v>
      </c>
      <c r="G504" t="s">
        <v>2873</v>
      </c>
      <c r="H504" s="1" t="s">
        <v>839</v>
      </c>
      <c r="I504" s="1" t="s">
        <v>911</v>
      </c>
      <c r="J504" s="1" t="s">
        <v>778</v>
      </c>
      <c r="K504" s="1" t="s">
        <v>753</v>
      </c>
      <c r="L504" s="1">
        <v>38426</v>
      </c>
      <c r="M504" s="1" t="s">
        <v>840</v>
      </c>
      <c r="N504" s="1" t="s">
        <v>780</v>
      </c>
      <c r="T504" s="1"/>
    </row>
    <row r="505" spans="6:20" x14ac:dyDescent="0.35">
      <c r="F505" s="1" t="s">
        <v>841</v>
      </c>
      <c r="G505" t="s">
        <v>2873</v>
      </c>
      <c r="H505" s="1" t="s">
        <v>842</v>
      </c>
      <c r="I505" s="1" t="s">
        <v>911</v>
      </c>
      <c r="J505" s="1" t="s">
        <v>778</v>
      </c>
      <c r="K505" s="1" t="s">
        <v>753</v>
      </c>
      <c r="L505" s="1">
        <v>38426</v>
      </c>
      <c r="M505" s="1" t="s">
        <v>843</v>
      </c>
      <c r="N505" s="1" t="s">
        <v>780</v>
      </c>
      <c r="T505" s="1"/>
    </row>
    <row r="506" spans="6:20" x14ac:dyDescent="0.35">
      <c r="F506" s="1" t="s">
        <v>844</v>
      </c>
      <c r="G506" t="s">
        <v>2873</v>
      </c>
      <c r="H506" s="1" t="s">
        <v>845</v>
      </c>
      <c r="I506" s="1" t="s">
        <v>911</v>
      </c>
      <c r="J506" s="1" t="s">
        <v>778</v>
      </c>
      <c r="K506" s="1" t="s">
        <v>753</v>
      </c>
      <c r="L506" s="1">
        <v>38426</v>
      </c>
      <c r="M506" s="1" t="s">
        <v>846</v>
      </c>
      <c r="N506" s="1" t="s">
        <v>780</v>
      </c>
      <c r="T506" s="1"/>
    </row>
    <row r="507" spans="6:20" x14ac:dyDescent="0.35">
      <c r="F507" s="1" t="s">
        <v>847</v>
      </c>
      <c r="G507" t="s">
        <v>2873</v>
      </c>
      <c r="H507" s="1" t="s">
        <v>848</v>
      </c>
      <c r="I507" s="1" t="s">
        <v>911</v>
      </c>
      <c r="J507" s="1" t="s">
        <v>778</v>
      </c>
      <c r="K507" s="1" t="s">
        <v>753</v>
      </c>
      <c r="L507" s="1">
        <v>38426</v>
      </c>
      <c r="M507" s="1" t="s">
        <v>849</v>
      </c>
      <c r="N507" s="1" t="s">
        <v>780</v>
      </c>
      <c r="T507" s="1"/>
    </row>
    <row r="508" spans="6:20" x14ac:dyDescent="0.35">
      <c r="F508" s="1" t="s">
        <v>850</v>
      </c>
      <c r="G508" t="s">
        <v>2873</v>
      </c>
      <c r="H508" s="1" t="s">
        <v>851</v>
      </c>
      <c r="I508" s="1" t="s">
        <v>911</v>
      </c>
      <c r="J508" s="1" t="s">
        <v>778</v>
      </c>
      <c r="K508" s="1" t="s">
        <v>753</v>
      </c>
      <c r="L508" s="1">
        <v>38426</v>
      </c>
      <c r="M508" s="1" t="s">
        <v>852</v>
      </c>
      <c r="N508" s="1" t="s">
        <v>780</v>
      </c>
      <c r="T508" s="1"/>
    </row>
    <row r="509" spans="6:20" x14ac:dyDescent="0.35">
      <c r="F509" s="1" t="s">
        <v>853</v>
      </c>
      <c r="G509" t="s">
        <v>2873</v>
      </c>
      <c r="H509" s="1" t="s">
        <v>854</v>
      </c>
      <c r="I509" s="1" t="s">
        <v>911</v>
      </c>
      <c r="J509" s="1" t="s">
        <v>778</v>
      </c>
      <c r="K509" s="1" t="s">
        <v>753</v>
      </c>
      <c r="L509" s="1">
        <v>38426</v>
      </c>
      <c r="M509" s="1" t="s">
        <v>855</v>
      </c>
      <c r="N509" s="1" t="s">
        <v>780</v>
      </c>
      <c r="T509" s="1"/>
    </row>
    <row r="510" spans="6:20" x14ac:dyDescent="0.35">
      <c r="F510" s="1" t="s">
        <v>856</v>
      </c>
      <c r="G510" t="s">
        <v>2873</v>
      </c>
      <c r="H510" s="1" t="s">
        <v>857</v>
      </c>
      <c r="I510" s="1" t="s">
        <v>911</v>
      </c>
      <c r="J510" s="1" t="s">
        <v>778</v>
      </c>
      <c r="K510" s="1" t="s">
        <v>753</v>
      </c>
      <c r="L510" s="1">
        <v>38426</v>
      </c>
      <c r="M510" s="1" t="s">
        <v>858</v>
      </c>
      <c r="N510" s="1" t="s">
        <v>780</v>
      </c>
      <c r="T510" s="1"/>
    </row>
    <row r="511" spans="6:20" x14ac:dyDescent="0.35">
      <c r="F511" s="1" t="s">
        <v>859</v>
      </c>
      <c r="G511" t="s">
        <v>2873</v>
      </c>
      <c r="H511" s="1" t="s">
        <v>860</v>
      </c>
      <c r="I511" s="1" t="s">
        <v>911</v>
      </c>
      <c r="J511" s="1" t="s">
        <v>778</v>
      </c>
      <c r="K511" s="1" t="s">
        <v>753</v>
      </c>
      <c r="L511" s="1">
        <v>38426</v>
      </c>
      <c r="M511" s="1" t="s">
        <v>861</v>
      </c>
      <c r="N511" s="1" t="s">
        <v>780</v>
      </c>
      <c r="T511" s="1"/>
    </row>
    <row r="512" spans="6:20" x14ac:dyDescent="0.35">
      <c r="F512" s="1" t="s">
        <v>862</v>
      </c>
      <c r="G512" t="s">
        <v>2873</v>
      </c>
      <c r="H512" s="1" t="s">
        <v>863</v>
      </c>
      <c r="I512" s="1" t="s">
        <v>911</v>
      </c>
      <c r="J512" s="1" t="s">
        <v>778</v>
      </c>
      <c r="K512" s="1" t="s">
        <v>753</v>
      </c>
      <c r="L512" s="1">
        <v>38426</v>
      </c>
      <c r="M512" s="1" t="s">
        <v>864</v>
      </c>
      <c r="N512" s="1" t="s">
        <v>780</v>
      </c>
      <c r="T512" s="1"/>
    </row>
    <row r="513" spans="5:20" x14ac:dyDescent="0.35">
      <c r="F513" s="1" t="s">
        <v>865</v>
      </c>
      <c r="G513" t="s">
        <v>2873</v>
      </c>
      <c r="H513" s="1" t="s">
        <v>866</v>
      </c>
      <c r="I513" s="1" t="s">
        <v>911</v>
      </c>
      <c r="J513" s="1" t="s">
        <v>778</v>
      </c>
      <c r="K513" s="1" t="s">
        <v>753</v>
      </c>
      <c r="L513" s="1">
        <v>38426</v>
      </c>
      <c r="M513" s="1" t="s">
        <v>867</v>
      </c>
      <c r="N513" s="1" t="s">
        <v>780</v>
      </c>
      <c r="T513" s="1"/>
    </row>
    <row r="514" spans="5:20" x14ac:dyDescent="0.35">
      <c r="F514" s="1" t="s">
        <v>868</v>
      </c>
      <c r="G514" t="s">
        <v>2873</v>
      </c>
      <c r="H514" s="1" t="s">
        <v>869</v>
      </c>
      <c r="I514" s="1" t="s">
        <v>911</v>
      </c>
      <c r="J514" s="1" t="s">
        <v>778</v>
      </c>
      <c r="K514" s="1" t="s">
        <v>753</v>
      </c>
      <c r="L514" s="1">
        <v>38426</v>
      </c>
      <c r="M514" s="1" t="s">
        <v>870</v>
      </c>
      <c r="N514" s="1" t="s">
        <v>780</v>
      </c>
      <c r="T514" s="1"/>
    </row>
    <row r="515" spans="5:20" x14ac:dyDescent="0.35">
      <c r="F515" s="1" t="s">
        <v>871</v>
      </c>
      <c r="G515" t="s">
        <v>2873</v>
      </c>
      <c r="H515" s="1" t="s">
        <v>872</v>
      </c>
      <c r="I515" s="1" t="s">
        <v>911</v>
      </c>
      <c r="J515" s="1" t="s">
        <v>778</v>
      </c>
      <c r="K515" s="1" t="s">
        <v>753</v>
      </c>
      <c r="L515" s="1">
        <v>38426</v>
      </c>
      <c r="M515" s="1" t="s">
        <v>873</v>
      </c>
      <c r="N515" s="1" t="s">
        <v>780</v>
      </c>
      <c r="T515" s="1"/>
    </row>
    <row r="516" spans="5:20" x14ac:dyDescent="0.35">
      <c r="F516" s="1" t="s">
        <v>874</v>
      </c>
      <c r="G516" t="s">
        <v>2873</v>
      </c>
      <c r="H516" s="1" t="s">
        <v>875</v>
      </c>
      <c r="I516" s="1" t="s">
        <v>911</v>
      </c>
      <c r="J516" s="1" t="s">
        <v>778</v>
      </c>
      <c r="K516" s="1" t="s">
        <v>753</v>
      </c>
      <c r="L516" s="1">
        <v>38426</v>
      </c>
      <c r="M516" s="1" t="s">
        <v>876</v>
      </c>
      <c r="N516" s="1" t="s">
        <v>780</v>
      </c>
      <c r="T516" s="1"/>
    </row>
    <row r="517" spans="5:20" x14ac:dyDescent="0.35">
      <c r="F517" s="1" t="s">
        <v>896</v>
      </c>
      <c r="G517" t="s">
        <v>2801</v>
      </c>
      <c r="H517" s="1" t="s">
        <v>897</v>
      </c>
      <c r="I517" s="1" t="s">
        <v>911</v>
      </c>
      <c r="J517" s="1" t="s">
        <v>271</v>
      </c>
      <c r="K517" s="1" t="s">
        <v>891</v>
      </c>
      <c r="L517" s="1" t="s">
        <v>898</v>
      </c>
      <c r="M517" s="1" t="s">
        <v>899</v>
      </c>
      <c r="N517" s="1" t="s">
        <v>271</v>
      </c>
      <c r="T517" s="1"/>
    </row>
    <row r="518" spans="5:20" x14ac:dyDescent="0.35">
      <c r="G518"/>
      <c r="T518" s="1"/>
    </row>
    <row r="519" spans="5:20" x14ac:dyDescent="0.35">
      <c r="G519"/>
      <c r="T519" s="1"/>
    </row>
    <row r="520" spans="5:20" x14ac:dyDescent="0.35">
      <c r="E520" s="1" t="s">
        <v>2367</v>
      </c>
      <c r="F520" s="13" t="s">
        <v>2059</v>
      </c>
      <c r="G520" t="s">
        <v>2803</v>
      </c>
      <c r="T520" s="1"/>
    </row>
    <row r="521" spans="5:20" x14ac:dyDescent="0.35">
      <c r="E521" s="1" t="s">
        <v>2367</v>
      </c>
      <c r="F521" s="13" t="s">
        <v>2060</v>
      </c>
      <c r="G521" t="s">
        <v>2803</v>
      </c>
      <c r="T521" s="1"/>
    </row>
    <row r="522" spans="5:20" x14ac:dyDescent="0.35">
      <c r="E522" s="1" t="s">
        <v>2367</v>
      </c>
      <c r="F522" s="13" t="s">
        <v>2061</v>
      </c>
      <c r="G522" t="s">
        <v>2803</v>
      </c>
      <c r="T522" s="1"/>
    </row>
    <row r="523" spans="5:20" x14ac:dyDescent="0.35">
      <c r="E523" s="1" t="s">
        <v>2367</v>
      </c>
      <c r="F523" s="13" t="s">
        <v>2062</v>
      </c>
      <c r="G523" t="s">
        <v>2803</v>
      </c>
      <c r="T523" s="1"/>
    </row>
    <row r="524" spans="5:20" x14ac:dyDescent="0.35">
      <c r="E524" s="1" t="s">
        <v>2367</v>
      </c>
      <c r="F524" s="13" t="s">
        <v>2063</v>
      </c>
      <c r="G524" t="s">
        <v>2803</v>
      </c>
      <c r="T524" s="1"/>
    </row>
    <row r="525" spans="5:20" x14ac:dyDescent="0.35">
      <c r="E525" s="1" t="s">
        <v>2367</v>
      </c>
      <c r="F525" s="13" t="s">
        <v>2064</v>
      </c>
      <c r="G525" t="s">
        <v>2803</v>
      </c>
      <c r="T525" s="1"/>
    </row>
    <row r="526" spans="5:20" x14ac:dyDescent="0.35">
      <c r="E526" s="1" t="s">
        <v>2367</v>
      </c>
      <c r="F526" s="13" t="s">
        <v>2065</v>
      </c>
      <c r="G526" t="s">
        <v>2803</v>
      </c>
      <c r="T526" s="1"/>
    </row>
    <row r="527" spans="5:20" x14ac:dyDescent="0.35">
      <c r="E527" s="1" t="s">
        <v>2367</v>
      </c>
      <c r="F527" s="13" t="s">
        <v>2066</v>
      </c>
      <c r="G527" t="s">
        <v>2803</v>
      </c>
      <c r="T527" s="1"/>
    </row>
    <row r="528" spans="5:20" x14ac:dyDescent="0.35">
      <c r="E528" s="1" t="s">
        <v>2367</v>
      </c>
      <c r="F528" s="13" t="s">
        <v>2067</v>
      </c>
      <c r="G528" t="s">
        <v>2803</v>
      </c>
      <c r="T528" s="1"/>
    </row>
    <row r="529" spans="5:20" x14ac:dyDescent="0.35">
      <c r="E529" s="1" t="s">
        <v>2367</v>
      </c>
      <c r="F529" s="13" t="s">
        <v>2068</v>
      </c>
      <c r="G529" t="s">
        <v>2803</v>
      </c>
      <c r="T529" s="1"/>
    </row>
    <row r="530" spans="5:20" x14ac:dyDescent="0.35">
      <c r="E530" s="1" t="s">
        <v>2367</v>
      </c>
      <c r="F530" s="13" t="s">
        <v>2069</v>
      </c>
      <c r="G530" t="s">
        <v>2803</v>
      </c>
      <c r="T530" s="1"/>
    </row>
    <row r="531" spans="5:20" x14ac:dyDescent="0.35">
      <c r="E531" s="1" t="s">
        <v>2367</v>
      </c>
      <c r="F531" s="13" t="s">
        <v>2070</v>
      </c>
      <c r="G531" t="s">
        <v>2803</v>
      </c>
      <c r="T531" s="1"/>
    </row>
    <row r="532" spans="5:20" x14ac:dyDescent="0.35">
      <c r="E532" s="1" t="s">
        <v>2367</v>
      </c>
      <c r="F532" s="13" t="s">
        <v>2071</v>
      </c>
      <c r="G532" t="s">
        <v>2803</v>
      </c>
      <c r="T532" s="1"/>
    </row>
    <row r="533" spans="5:20" x14ac:dyDescent="0.35">
      <c r="E533" s="1" t="s">
        <v>2367</v>
      </c>
      <c r="F533" s="13" t="s">
        <v>2072</v>
      </c>
      <c r="G533" t="s">
        <v>2803</v>
      </c>
      <c r="T533" s="1"/>
    </row>
    <row r="534" spans="5:20" x14ac:dyDescent="0.35">
      <c r="E534" s="1" t="s">
        <v>2367</v>
      </c>
      <c r="F534" s="13" t="s">
        <v>2073</v>
      </c>
      <c r="G534" t="s">
        <v>2803</v>
      </c>
      <c r="T534" s="1"/>
    </row>
    <row r="535" spans="5:20" x14ac:dyDescent="0.35">
      <c r="E535" s="1" t="s">
        <v>2367</v>
      </c>
      <c r="F535" s="13" t="s">
        <v>2074</v>
      </c>
      <c r="G535" t="s">
        <v>2804</v>
      </c>
      <c r="T535" s="1"/>
    </row>
    <row r="536" spans="5:20" x14ac:dyDescent="0.35">
      <c r="E536" s="1" t="s">
        <v>2367</v>
      </c>
      <c r="F536" s="13" t="s">
        <v>2075</v>
      </c>
      <c r="G536" t="s">
        <v>2804</v>
      </c>
      <c r="T536" s="1"/>
    </row>
    <row r="537" spans="5:20" x14ac:dyDescent="0.35">
      <c r="E537" s="1" t="s">
        <v>2367</v>
      </c>
      <c r="F537" s="13" t="s">
        <v>2076</v>
      </c>
      <c r="G537" t="s">
        <v>2804</v>
      </c>
      <c r="T537" s="1"/>
    </row>
    <row r="538" spans="5:20" x14ac:dyDescent="0.35">
      <c r="E538" s="1" t="s">
        <v>2367</v>
      </c>
      <c r="F538" s="13" t="s">
        <v>2077</v>
      </c>
      <c r="G538" t="s">
        <v>2804</v>
      </c>
      <c r="T538" s="1"/>
    </row>
    <row r="539" spans="5:20" x14ac:dyDescent="0.35">
      <c r="E539" s="1" t="s">
        <v>2367</v>
      </c>
      <c r="F539" s="13" t="s">
        <v>2078</v>
      </c>
      <c r="G539" t="s">
        <v>2804</v>
      </c>
      <c r="T539" s="1"/>
    </row>
    <row r="540" spans="5:20" x14ac:dyDescent="0.35">
      <c r="E540" s="1" t="s">
        <v>2367</v>
      </c>
      <c r="F540" s="13" t="s">
        <v>2079</v>
      </c>
      <c r="G540" t="s">
        <v>2804</v>
      </c>
      <c r="T540" s="1"/>
    </row>
    <row r="541" spans="5:20" x14ac:dyDescent="0.35">
      <c r="E541" s="1" t="s">
        <v>2367</v>
      </c>
      <c r="F541" s="13" t="s">
        <v>2080</v>
      </c>
      <c r="G541" t="s">
        <v>2804</v>
      </c>
      <c r="T541" s="1"/>
    </row>
    <row r="542" spans="5:20" x14ac:dyDescent="0.35">
      <c r="E542" s="1" t="s">
        <v>2367</v>
      </c>
      <c r="F542" s="13" t="s">
        <v>2081</v>
      </c>
      <c r="G542" t="s">
        <v>2804</v>
      </c>
      <c r="T542" s="1"/>
    </row>
    <row r="543" spans="5:20" x14ac:dyDescent="0.35">
      <c r="E543" s="1" t="s">
        <v>2367</v>
      </c>
      <c r="F543" s="13" t="s">
        <v>2082</v>
      </c>
      <c r="G543" t="s">
        <v>2804</v>
      </c>
      <c r="T543" s="1"/>
    </row>
    <row r="544" spans="5:20" x14ac:dyDescent="0.35">
      <c r="E544" s="1" t="s">
        <v>2367</v>
      </c>
      <c r="F544" s="13" t="s">
        <v>2083</v>
      </c>
      <c r="G544" t="s">
        <v>2804</v>
      </c>
      <c r="T544" s="1"/>
    </row>
    <row r="545" spans="5:20" x14ac:dyDescent="0.35">
      <c r="E545" s="1" t="s">
        <v>2367</v>
      </c>
      <c r="F545" s="13" t="s">
        <v>2084</v>
      </c>
      <c r="G545" t="s">
        <v>2804</v>
      </c>
      <c r="T545" s="1"/>
    </row>
    <row r="546" spans="5:20" x14ac:dyDescent="0.35">
      <c r="E546" s="1" t="s">
        <v>2367</v>
      </c>
      <c r="F546" s="13" t="s">
        <v>2085</v>
      </c>
      <c r="G546" t="s">
        <v>2804</v>
      </c>
      <c r="T546" s="1"/>
    </row>
    <row r="547" spans="5:20" x14ac:dyDescent="0.35">
      <c r="E547" s="1" t="s">
        <v>2367</v>
      </c>
      <c r="F547" s="13" t="s">
        <v>2086</v>
      </c>
      <c r="G547" t="s">
        <v>2804</v>
      </c>
      <c r="T547" s="1"/>
    </row>
    <row r="548" spans="5:20" x14ac:dyDescent="0.35">
      <c r="E548" s="1" t="s">
        <v>2367</v>
      </c>
      <c r="F548" s="13" t="s">
        <v>2087</v>
      </c>
      <c r="G548" t="s">
        <v>2804</v>
      </c>
      <c r="T548" s="1"/>
    </row>
    <row r="549" spans="5:20" x14ac:dyDescent="0.35">
      <c r="E549" s="1" t="s">
        <v>2367</v>
      </c>
      <c r="F549" s="13" t="s">
        <v>2088</v>
      </c>
      <c r="G549" t="s">
        <v>2804</v>
      </c>
      <c r="T549" s="1"/>
    </row>
    <row r="550" spans="5:20" x14ac:dyDescent="0.35">
      <c r="E550" s="1" t="s">
        <v>2367</v>
      </c>
      <c r="F550" s="13" t="s">
        <v>2089</v>
      </c>
      <c r="G550" t="s">
        <v>2804</v>
      </c>
      <c r="T550" s="1"/>
    </row>
    <row r="551" spans="5:20" x14ac:dyDescent="0.35">
      <c r="E551" s="1" t="s">
        <v>2367</v>
      </c>
      <c r="F551" s="13" t="s">
        <v>2090</v>
      </c>
      <c r="G551" t="s">
        <v>2804</v>
      </c>
      <c r="T551" s="1"/>
    </row>
    <row r="552" spans="5:20" x14ac:dyDescent="0.35">
      <c r="E552" s="1" t="s">
        <v>2367</v>
      </c>
      <c r="F552" s="13" t="s">
        <v>2091</v>
      </c>
      <c r="G552" t="s">
        <v>2804</v>
      </c>
      <c r="T552" s="1"/>
    </row>
    <row r="553" spans="5:20" x14ac:dyDescent="0.35">
      <c r="E553" s="1" t="s">
        <v>2367</v>
      </c>
      <c r="F553" s="13" t="s">
        <v>2092</v>
      </c>
      <c r="G553" t="s">
        <v>2804</v>
      </c>
      <c r="T553" s="1"/>
    </row>
    <row r="554" spans="5:20" x14ac:dyDescent="0.35">
      <c r="E554" s="1" t="s">
        <v>2367</v>
      </c>
      <c r="F554" s="13" t="s">
        <v>2093</v>
      </c>
      <c r="G554" t="s">
        <v>2804</v>
      </c>
      <c r="T554" s="1"/>
    </row>
    <row r="555" spans="5:20" x14ac:dyDescent="0.35">
      <c r="E555" s="1" t="s">
        <v>2367</v>
      </c>
      <c r="F555" s="13" t="s">
        <v>2094</v>
      </c>
      <c r="G555" t="s">
        <v>2804</v>
      </c>
      <c r="T555" s="1"/>
    </row>
    <row r="556" spans="5:20" x14ac:dyDescent="0.35">
      <c r="E556" s="1" t="s">
        <v>2367</v>
      </c>
      <c r="F556" s="13" t="s">
        <v>2095</v>
      </c>
      <c r="G556" t="s">
        <v>2804</v>
      </c>
      <c r="T556" s="1"/>
    </row>
    <row r="557" spans="5:20" x14ac:dyDescent="0.35">
      <c r="E557" s="1" t="s">
        <v>2367</v>
      </c>
      <c r="F557" s="13" t="s">
        <v>2096</v>
      </c>
      <c r="G557" t="s">
        <v>2804</v>
      </c>
      <c r="T557" s="1"/>
    </row>
    <row r="558" spans="5:20" x14ac:dyDescent="0.35">
      <c r="E558" s="1" t="s">
        <v>2367</v>
      </c>
      <c r="F558" s="13" t="s">
        <v>2097</v>
      </c>
      <c r="G558" t="s">
        <v>2804</v>
      </c>
      <c r="T558" s="1"/>
    </row>
    <row r="559" spans="5:20" x14ac:dyDescent="0.35">
      <c r="E559" s="1" t="s">
        <v>2367</v>
      </c>
      <c r="F559" s="13" t="s">
        <v>2098</v>
      </c>
      <c r="G559" t="s">
        <v>2804</v>
      </c>
      <c r="T559" s="1"/>
    </row>
    <row r="560" spans="5:20" x14ac:dyDescent="0.35">
      <c r="E560" s="1" t="s">
        <v>2367</v>
      </c>
      <c r="F560" s="13" t="s">
        <v>2099</v>
      </c>
      <c r="G560" t="s">
        <v>2804</v>
      </c>
      <c r="T560" s="1"/>
    </row>
    <row r="561" spans="5:20" x14ac:dyDescent="0.35">
      <c r="E561" s="1" t="s">
        <v>2367</v>
      </c>
      <c r="F561" s="13" t="s">
        <v>2100</v>
      </c>
      <c r="G561" t="s">
        <v>2804</v>
      </c>
      <c r="T561" s="1"/>
    </row>
    <row r="562" spans="5:20" x14ac:dyDescent="0.35">
      <c r="E562" s="1" t="s">
        <v>2367</v>
      </c>
      <c r="F562" s="13" t="s">
        <v>2101</v>
      </c>
      <c r="G562" t="s">
        <v>2805</v>
      </c>
      <c r="T562" s="1"/>
    </row>
    <row r="563" spans="5:20" x14ac:dyDescent="0.35">
      <c r="E563" s="1" t="s">
        <v>2367</v>
      </c>
      <c r="F563" s="13" t="s">
        <v>2102</v>
      </c>
      <c r="G563" t="s">
        <v>2805</v>
      </c>
      <c r="T563" s="1"/>
    </row>
    <row r="564" spans="5:20" x14ac:dyDescent="0.35">
      <c r="E564" s="1" t="s">
        <v>2367</v>
      </c>
      <c r="F564" s="13" t="s">
        <v>2103</v>
      </c>
      <c r="G564" t="s">
        <v>2805</v>
      </c>
      <c r="T564" s="1"/>
    </row>
    <row r="565" spans="5:20" x14ac:dyDescent="0.35">
      <c r="E565" s="1" t="s">
        <v>2367</v>
      </c>
      <c r="F565" s="13" t="s">
        <v>2104</v>
      </c>
      <c r="G565" t="s">
        <v>2805</v>
      </c>
      <c r="T565" s="1"/>
    </row>
    <row r="566" spans="5:20" x14ac:dyDescent="0.35">
      <c r="E566" s="1" t="s">
        <v>2367</v>
      </c>
      <c r="F566" s="13" t="s">
        <v>2105</v>
      </c>
      <c r="G566" t="s">
        <v>2805</v>
      </c>
      <c r="T566" s="1"/>
    </row>
    <row r="567" spans="5:20" x14ac:dyDescent="0.35">
      <c r="E567" s="1" t="s">
        <v>2367</v>
      </c>
      <c r="F567" s="13" t="s">
        <v>2106</v>
      </c>
      <c r="G567" t="s">
        <v>2805</v>
      </c>
      <c r="T567" s="1"/>
    </row>
    <row r="568" spans="5:20" x14ac:dyDescent="0.35">
      <c r="E568" s="1" t="s">
        <v>2367</v>
      </c>
      <c r="F568" s="13" t="s">
        <v>2107</v>
      </c>
      <c r="G568" t="s">
        <v>2805</v>
      </c>
      <c r="T568" s="1"/>
    </row>
    <row r="569" spans="5:20" x14ac:dyDescent="0.35">
      <c r="E569" s="1" t="s">
        <v>2367</v>
      </c>
      <c r="F569" s="13" t="s">
        <v>2108</v>
      </c>
      <c r="G569" t="s">
        <v>2805</v>
      </c>
      <c r="T569" s="1"/>
    </row>
    <row r="570" spans="5:20" x14ac:dyDescent="0.35">
      <c r="E570" s="1" t="s">
        <v>2367</v>
      </c>
      <c r="F570" s="13" t="s">
        <v>2109</v>
      </c>
      <c r="G570" t="s">
        <v>2805</v>
      </c>
      <c r="T570" s="1"/>
    </row>
    <row r="571" spans="5:20" x14ac:dyDescent="0.35">
      <c r="E571" s="1" t="s">
        <v>2367</v>
      </c>
      <c r="F571" s="13" t="s">
        <v>2110</v>
      </c>
      <c r="G571" t="s">
        <v>2805</v>
      </c>
      <c r="T571" s="1"/>
    </row>
    <row r="572" spans="5:20" x14ac:dyDescent="0.35">
      <c r="E572" s="1" t="s">
        <v>2367</v>
      </c>
      <c r="F572" s="13" t="s">
        <v>2111</v>
      </c>
      <c r="G572" t="s">
        <v>2805</v>
      </c>
      <c r="T572" s="1"/>
    </row>
    <row r="573" spans="5:20" x14ac:dyDescent="0.35">
      <c r="E573" s="1" t="s">
        <v>2367</v>
      </c>
      <c r="F573" s="13" t="s">
        <v>2112</v>
      </c>
      <c r="G573" t="s">
        <v>2805</v>
      </c>
      <c r="T573" s="1"/>
    </row>
    <row r="574" spans="5:20" x14ac:dyDescent="0.35">
      <c r="E574" s="1" t="s">
        <v>2367</v>
      </c>
      <c r="F574" s="13" t="s">
        <v>2113</v>
      </c>
      <c r="G574" t="s">
        <v>2805</v>
      </c>
      <c r="T574" s="1"/>
    </row>
    <row r="575" spans="5:20" x14ac:dyDescent="0.35">
      <c r="E575" s="1" t="s">
        <v>2367</v>
      </c>
      <c r="F575" s="13" t="s">
        <v>2114</v>
      </c>
      <c r="G575" t="s">
        <v>2805</v>
      </c>
      <c r="T575" s="1"/>
    </row>
    <row r="576" spans="5:20" x14ac:dyDescent="0.35">
      <c r="E576" s="1" t="s">
        <v>2367</v>
      </c>
      <c r="F576" s="13" t="s">
        <v>2115</v>
      </c>
      <c r="G576" t="s">
        <v>2805</v>
      </c>
      <c r="T576" s="1"/>
    </row>
    <row r="577" spans="5:20" x14ac:dyDescent="0.35">
      <c r="E577" s="1" t="s">
        <v>2367</v>
      </c>
      <c r="F577" s="13" t="s">
        <v>2116</v>
      </c>
      <c r="G577" t="s">
        <v>2805</v>
      </c>
      <c r="T577" s="1"/>
    </row>
    <row r="578" spans="5:20" x14ac:dyDescent="0.35">
      <c r="E578" s="1" t="s">
        <v>2367</v>
      </c>
      <c r="F578" s="13" t="s">
        <v>2117</v>
      </c>
      <c r="G578" t="s">
        <v>2805</v>
      </c>
      <c r="T578" s="1"/>
    </row>
    <row r="579" spans="5:20" x14ac:dyDescent="0.35">
      <c r="E579" s="1" t="s">
        <v>2367</v>
      </c>
      <c r="F579" s="13" t="s">
        <v>2118</v>
      </c>
      <c r="G579" t="s">
        <v>2805</v>
      </c>
      <c r="T579" s="1"/>
    </row>
    <row r="580" spans="5:20" x14ac:dyDescent="0.35">
      <c r="E580" s="1" t="s">
        <v>2367</v>
      </c>
      <c r="F580" s="13" t="s">
        <v>2119</v>
      </c>
      <c r="G580" t="s">
        <v>2806</v>
      </c>
      <c r="T580" s="1"/>
    </row>
    <row r="581" spans="5:20" x14ac:dyDescent="0.35">
      <c r="E581" s="1" t="s">
        <v>2367</v>
      </c>
      <c r="F581" s="13" t="s">
        <v>2120</v>
      </c>
      <c r="G581" t="s">
        <v>2806</v>
      </c>
      <c r="T581" s="1"/>
    </row>
    <row r="582" spans="5:20" x14ac:dyDescent="0.35">
      <c r="E582" s="1" t="s">
        <v>2367</v>
      </c>
      <c r="F582" s="13" t="s">
        <v>2121</v>
      </c>
      <c r="G582" t="s">
        <v>2806</v>
      </c>
      <c r="T582" s="1"/>
    </row>
    <row r="583" spans="5:20" x14ac:dyDescent="0.35">
      <c r="E583" s="1" t="s">
        <v>2367</v>
      </c>
      <c r="F583" s="13" t="s">
        <v>2122</v>
      </c>
      <c r="G583" t="s">
        <v>2806</v>
      </c>
      <c r="T583" s="1"/>
    </row>
    <row r="584" spans="5:20" x14ac:dyDescent="0.35">
      <c r="E584" s="1" t="s">
        <v>2367</v>
      </c>
      <c r="F584" s="13" t="s">
        <v>2301</v>
      </c>
      <c r="G584" t="s">
        <v>2806</v>
      </c>
      <c r="T584" s="1"/>
    </row>
    <row r="585" spans="5:20" x14ac:dyDescent="0.35">
      <c r="E585" s="1" t="s">
        <v>2367</v>
      </c>
      <c r="F585" s="13" t="s">
        <v>2302</v>
      </c>
      <c r="G585" t="s">
        <v>2806</v>
      </c>
      <c r="T585" s="1"/>
    </row>
    <row r="586" spans="5:20" x14ac:dyDescent="0.35">
      <c r="E586" s="1" t="s">
        <v>2367</v>
      </c>
      <c r="F586" s="13" t="s">
        <v>2123</v>
      </c>
      <c r="G586" t="s">
        <v>2806</v>
      </c>
      <c r="T586" s="1"/>
    </row>
    <row r="587" spans="5:20" x14ac:dyDescent="0.35">
      <c r="E587" s="1" t="s">
        <v>2367</v>
      </c>
      <c r="F587" s="13" t="s">
        <v>2124</v>
      </c>
      <c r="G587" t="s">
        <v>2806</v>
      </c>
      <c r="T587" s="1"/>
    </row>
    <row r="588" spans="5:20" x14ac:dyDescent="0.35">
      <c r="E588" s="1" t="s">
        <v>2367</v>
      </c>
      <c r="F588" s="13" t="s">
        <v>2125</v>
      </c>
      <c r="G588" t="s">
        <v>2806</v>
      </c>
      <c r="T588" s="1"/>
    </row>
    <row r="589" spans="5:20" x14ac:dyDescent="0.35">
      <c r="E589" s="1" t="s">
        <v>2367</v>
      </c>
      <c r="F589" s="13" t="s">
        <v>2126</v>
      </c>
      <c r="G589" t="s">
        <v>2806</v>
      </c>
      <c r="T589" s="1"/>
    </row>
    <row r="590" spans="5:20" x14ac:dyDescent="0.35">
      <c r="E590" s="1" t="s">
        <v>2367</v>
      </c>
      <c r="F590" s="13" t="s">
        <v>2127</v>
      </c>
      <c r="G590" t="s">
        <v>2806</v>
      </c>
      <c r="T590" s="1"/>
    </row>
    <row r="591" spans="5:20" x14ac:dyDescent="0.35">
      <c r="E591" s="1" t="s">
        <v>2367</v>
      </c>
      <c r="F591" s="13" t="s">
        <v>2128</v>
      </c>
      <c r="G591" t="s">
        <v>2999</v>
      </c>
      <c r="T591" s="1"/>
    </row>
    <row r="592" spans="5:20" x14ac:dyDescent="0.35">
      <c r="E592" s="1" t="s">
        <v>2367</v>
      </c>
      <c r="F592" s="13" t="s">
        <v>2130</v>
      </c>
      <c r="G592" t="s">
        <v>2999</v>
      </c>
      <c r="T592" s="1"/>
    </row>
    <row r="593" spans="5:20" x14ac:dyDescent="0.35">
      <c r="E593" s="1" t="s">
        <v>2367</v>
      </c>
      <c r="F593" s="13" t="s">
        <v>2303</v>
      </c>
      <c r="G593" t="s">
        <v>2897</v>
      </c>
      <c r="T593" s="1"/>
    </row>
    <row r="594" spans="5:20" x14ac:dyDescent="0.35">
      <c r="E594" s="1" t="s">
        <v>2367</v>
      </c>
      <c r="F594" s="13" t="s">
        <v>2131</v>
      </c>
      <c r="G594" t="s">
        <v>2897</v>
      </c>
      <c r="T594" s="1"/>
    </row>
  </sheetData>
  <phoneticPr fontId="2" type="noConversion"/>
  <dataValidations count="1">
    <dataValidation type="custom" showInputMessage="1" showErrorMessage="1" sqref="L207:L594 L2:L204" xr:uid="{6A844AD3-83E0-4863-A60F-AC60F1B169D6}">
      <formula1>__fn_val_dateFormat($L2)</formula1>
    </dataValidation>
  </dataValidations>
  <hyperlinks>
    <hyperlink ref="M179" r:id="rId1" xr:uid="{DA169D8C-DC3B-4952-B5E4-3A225F3E5A59}"/>
  </hyperlinks>
  <pageMargins left="0.7" right="0.7" top="0.75" bottom="0.75" header="0.3" footer="0.3"/>
  <pageSetup orientation="portrait" horizontalDpi="0" verticalDpi="0" r:id="rId2"/>
  <ignoredErrors>
    <ignoredError sqref="L3" numberStoredAsText="1"/>
  </ignoredError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6B2B-9932-479E-8F87-698FEFA8228C}">
  <dimension ref="A1:I26"/>
  <sheetViews>
    <sheetView workbookViewId="0">
      <selection activeCell="G26" sqref="G26"/>
    </sheetView>
    <sheetView workbookViewId="1"/>
  </sheetViews>
  <sheetFormatPr defaultRowHeight="14.5" x14ac:dyDescent="0.35"/>
  <cols>
    <col min="1" max="1" width="12.26953125" bestFit="1" customWidth="1"/>
    <col min="2" max="2" width="18.90625" bestFit="1" customWidth="1"/>
    <col min="3" max="3" width="19.6328125" bestFit="1" customWidth="1"/>
    <col min="4" max="4" width="21.453125" style="1" bestFit="1" customWidth="1"/>
    <col min="5" max="5" width="51.90625" style="1" bestFit="1" customWidth="1"/>
    <col min="6" max="6" width="72.08984375" style="1" bestFit="1" customWidth="1"/>
    <col min="7" max="7" width="32.08984375" style="1" bestFit="1" customWidth="1"/>
    <col min="8" max="8" width="53.90625" style="1" customWidth="1"/>
    <col min="9" max="9" width="60.81640625" style="1" bestFit="1" customWidth="1"/>
    <col min="10" max="10" width="40.6328125" customWidth="1"/>
  </cols>
  <sheetData>
    <row r="1" spans="1:9" x14ac:dyDescent="0.35">
      <c r="A1" t="s">
        <v>2717</v>
      </c>
      <c r="B1" t="s">
        <v>935</v>
      </c>
      <c r="C1" t="s">
        <v>936</v>
      </c>
      <c r="D1" s="1" t="s">
        <v>2718</v>
      </c>
      <c r="E1" s="1" t="s">
        <v>956</v>
      </c>
      <c r="F1" s="1" t="s">
        <v>957</v>
      </c>
      <c r="G1" s="1" t="s">
        <v>940</v>
      </c>
      <c r="H1" s="1" t="s">
        <v>1313</v>
      </c>
      <c r="I1" s="1" t="s">
        <v>1115</v>
      </c>
    </row>
    <row r="2" spans="1:9" x14ac:dyDescent="0.35">
      <c r="D2" s="1" t="s">
        <v>2719</v>
      </c>
      <c r="E2" s="1" t="s">
        <v>1119</v>
      </c>
      <c r="F2" s="1" t="s">
        <v>2729</v>
      </c>
    </row>
    <row r="3" spans="1:9" x14ac:dyDescent="0.35">
      <c r="D3" s="1" t="s">
        <v>2719</v>
      </c>
      <c r="E3" s="1" t="s">
        <v>2730</v>
      </c>
      <c r="F3" s="1" t="s">
        <v>2731</v>
      </c>
      <c r="H3" s="1" t="s">
        <v>2732</v>
      </c>
    </row>
    <row r="4" spans="1:9" x14ac:dyDescent="0.35">
      <c r="D4" s="1" t="s">
        <v>2719</v>
      </c>
      <c r="E4" s="1" t="s">
        <v>1380</v>
      </c>
      <c r="F4" s="1" t="s">
        <v>2721</v>
      </c>
      <c r="H4" s="1" t="s">
        <v>2722</v>
      </c>
    </row>
    <row r="5" spans="1:9" x14ac:dyDescent="0.35">
      <c r="D5" s="1" t="s">
        <v>2719</v>
      </c>
      <c r="E5" s="1" t="s">
        <v>2723</v>
      </c>
      <c r="F5" s="1" t="s">
        <v>2723</v>
      </c>
      <c r="H5" s="1" t="s">
        <v>2752</v>
      </c>
    </row>
    <row r="6" spans="1:9" x14ac:dyDescent="0.35">
      <c r="D6" s="1" t="s">
        <v>2719</v>
      </c>
      <c r="E6" s="1" t="s">
        <v>2724</v>
      </c>
      <c r="F6" s="1" t="s">
        <v>2759</v>
      </c>
      <c r="H6" s="1" t="s">
        <v>2753</v>
      </c>
    </row>
    <row r="7" spans="1:9" x14ac:dyDescent="0.35">
      <c r="D7" s="1" t="s">
        <v>2719</v>
      </c>
      <c r="E7" s="1" t="s">
        <v>2725</v>
      </c>
      <c r="F7" s="1" t="s">
        <v>2760</v>
      </c>
      <c r="H7" s="1" t="s">
        <v>2754</v>
      </c>
    </row>
    <row r="8" spans="1:9" x14ac:dyDescent="0.35">
      <c r="D8" s="1" t="s">
        <v>2719</v>
      </c>
      <c r="E8" s="1" t="s">
        <v>2726</v>
      </c>
      <c r="F8" s="1" t="s">
        <v>2726</v>
      </c>
      <c r="H8" s="1" t="s">
        <v>2755</v>
      </c>
    </row>
    <row r="9" spans="1:9" x14ac:dyDescent="0.35">
      <c r="D9" s="1" t="s">
        <v>2719</v>
      </c>
      <c r="E9" s="1" t="s">
        <v>2727</v>
      </c>
      <c r="F9" s="1" t="s">
        <v>2761</v>
      </c>
      <c r="H9" s="1" t="s">
        <v>2756</v>
      </c>
    </row>
    <row r="10" spans="1:9" x14ac:dyDescent="0.35">
      <c r="D10" s="1" t="s">
        <v>2719</v>
      </c>
      <c r="E10" s="1" t="s">
        <v>2728</v>
      </c>
      <c r="F10" s="1" t="s">
        <v>2762</v>
      </c>
      <c r="H10" s="1" t="s">
        <v>2757</v>
      </c>
    </row>
    <row r="11" spans="1:9" x14ac:dyDescent="0.35">
      <c r="D11" s="1" t="s">
        <v>2719</v>
      </c>
      <c r="E11" s="1" t="s">
        <v>2720</v>
      </c>
      <c r="F11" s="1" t="s">
        <v>2720</v>
      </c>
      <c r="H11" s="1" t="s">
        <v>2758</v>
      </c>
    </row>
    <row r="12" spans="1:9" x14ac:dyDescent="0.35">
      <c r="D12" s="1" t="s">
        <v>2751</v>
      </c>
      <c r="E12" s="1" t="s">
        <v>2771</v>
      </c>
      <c r="F12" s="1" t="s">
        <v>2773</v>
      </c>
    </row>
    <row r="13" spans="1:9" x14ac:dyDescent="0.35">
      <c r="D13" s="1" t="s">
        <v>2751</v>
      </c>
      <c r="E13" s="1" t="s">
        <v>2772</v>
      </c>
      <c r="F13" s="1" t="s">
        <v>2774</v>
      </c>
    </row>
    <row r="14" spans="1:9" x14ac:dyDescent="0.35">
      <c r="D14" s="1" t="s">
        <v>2739</v>
      </c>
      <c r="E14" s="1" t="s">
        <v>2738</v>
      </c>
      <c r="F14" s="1" t="s">
        <v>2775</v>
      </c>
    </row>
    <row r="15" spans="1:9" x14ac:dyDescent="0.35">
      <c r="D15" s="1" t="s">
        <v>2763</v>
      </c>
      <c r="E15" s="1" t="s">
        <v>2733</v>
      </c>
      <c r="F15" s="1" t="s">
        <v>2764</v>
      </c>
    </row>
    <row r="16" spans="1:9" x14ac:dyDescent="0.35">
      <c r="D16" s="1" t="s">
        <v>2739</v>
      </c>
      <c r="E16" s="1" t="s">
        <v>2734</v>
      </c>
      <c r="F16" s="1" t="s">
        <v>2765</v>
      </c>
    </row>
    <row r="17" spans="4:8" x14ac:dyDescent="0.35">
      <c r="D17" s="1" t="s">
        <v>2739</v>
      </c>
      <c r="E17" s="1" t="s">
        <v>2767</v>
      </c>
      <c r="F17" s="1" t="s">
        <v>2768</v>
      </c>
    </row>
    <row r="18" spans="4:8" x14ac:dyDescent="0.35">
      <c r="D18" s="1" t="s">
        <v>2739</v>
      </c>
      <c r="E18" s="1" t="s">
        <v>2735</v>
      </c>
      <c r="F18" s="1" t="s">
        <v>2766</v>
      </c>
    </row>
    <row r="19" spans="4:8" x14ac:dyDescent="0.35">
      <c r="D19" s="1" t="s">
        <v>2770</v>
      </c>
      <c r="E19" s="1" t="s">
        <v>98</v>
      </c>
      <c r="F19" s="1" t="s">
        <v>2744</v>
      </c>
    </row>
    <row r="20" spans="4:8" x14ac:dyDescent="0.35">
      <c r="D20" s="1" t="s">
        <v>2770</v>
      </c>
      <c r="E20" s="1" t="s">
        <v>2740</v>
      </c>
      <c r="F20" s="1" t="s">
        <v>2769</v>
      </c>
    </row>
    <row r="21" spans="4:8" x14ac:dyDescent="0.35">
      <c r="D21" s="1" t="s">
        <v>2739</v>
      </c>
      <c r="E21" s="1" t="s">
        <v>2736</v>
      </c>
      <c r="F21" s="1" t="s">
        <v>2745</v>
      </c>
    </row>
    <row r="22" spans="4:8" x14ac:dyDescent="0.35">
      <c r="D22" s="1" t="s">
        <v>2739</v>
      </c>
      <c r="E22" s="1" t="s">
        <v>2743</v>
      </c>
      <c r="F22" s="1" t="s">
        <v>2746</v>
      </c>
    </row>
    <row r="23" spans="4:8" x14ac:dyDescent="0.35">
      <c r="D23" s="1" t="s">
        <v>2739</v>
      </c>
      <c r="E23" s="1" t="s">
        <v>2741</v>
      </c>
      <c r="F23" s="1" t="s">
        <v>2747</v>
      </c>
    </row>
    <row r="24" spans="4:8" x14ac:dyDescent="0.35">
      <c r="D24" s="1" t="s">
        <v>2739</v>
      </c>
      <c r="E24" s="1" t="s">
        <v>2742</v>
      </c>
      <c r="F24" s="1" t="s">
        <v>2748</v>
      </c>
      <c r="H24" s="1" t="s">
        <v>2749</v>
      </c>
    </row>
    <row r="25" spans="4:8" x14ac:dyDescent="0.35">
      <c r="D25" s="1" t="s">
        <v>2739</v>
      </c>
      <c r="E25" s="1" t="s">
        <v>2737</v>
      </c>
      <c r="F25" s="1" t="s">
        <v>2750</v>
      </c>
    </row>
    <row r="26" spans="4:8" x14ac:dyDescent="0.35">
      <c r="D26" s="1" t="s">
        <v>3167</v>
      </c>
      <c r="E26" s="1" t="s">
        <v>3143</v>
      </c>
      <c r="F26" s="1" t="s">
        <v>3143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8C4A-9D30-4C8C-8415-50D8D04DAD0E}">
  <dimension ref="A1:E38"/>
  <sheetViews>
    <sheetView workbookViewId="0"/>
    <sheetView workbookViewId="1"/>
  </sheetViews>
  <sheetFormatPr defaultRowHeight="14.5" x14ac:dyDescent="0.35"/>
  <cols>
    <col min="1" max="1" width="33.7265625" bestFit="1" customWidth="1"/>
    <col min="2" max="2" width="53.90625" customWidth="1"/>
    <col min="3" max="3" width="17.6328125" customWidth="1"/>
    <col min="4" max="4" width="14.81640625" bestFit="1" customWidth="1"/>
    <col min="5" max="5" width="14.1796875" bestFit="1" customWidth="1"/>
  </cols>
  <sheetData>
    <row r="1" spans="1:5" x14ac:dyDescent="0.35">
      <c r="A1" t="s">
        <v>900</v>
      </c>
      <c r="B1" t="s">
        <v>901</v>
      </c>
      <c r="C1" t="s">
        <v>902</v>
      </c>
      <c r="D1" t="s">
        <v>903</v>
      </c>
      <c r="E1" t="s">
        <v>904</v>
      </c>
    </row>
    <row r="2" spans="1:5" x14ac:dyDescent="0.35">
      <c r="A2" t="s">
        <v>2170</v>
      </c>
      <c r="B2" t="s">
        <v>2168</v>
      </c>
      <c r="C2" t="s">
        <v>2169</v>
      </c>
      <c r="D2" t="s">
        <v>105</v>
      </c>
    </row>
    <row r="3" spans="1:5" x14ac:dyDescent="0.35">
      <c r="A3" t="s">
        <v>335</v>
      </c>
      <c r="B3" t="s">
        <v>2</v>
      </c>
      <c r="C3" t="s">
        <v>117</v>
      </c>
      <c r="D3" t="s">
        <v>105</v>
      </c>
      <c r="E3" t="s">
        <v>3</v>
      </c>
    </row>
    <row r="4" spans="1:5" x14ac:dyDescent="0.35">
      <c r="A4" t="s">
        <v>102</v>
      </c>
      <c r="B4" t="s">
        <v>111</v>
      </c>
      <c r="C4" t="s">
        <v>104</v>
      </c>
      <c r="D4" t="s">
        <v>105</v>
      </c>
      <c r="E4" t="s">
        <v>3</v>
      </c>
    </row>
    <row r="5" spans="1:5" x14ac:dyDescent="0.35">
      <c r="A5" t="s">
        <v>116</v>
      </c>
      <c r="B5" t="s">
        <v>113</v>
      </c>
      <c r="C5" t="s">
        <v>117</v>
      </c>
      <c r="D5" t="s">
        <v>105</v>
      </c>
      <c r="E5" t="s">
        <v>3</v>
      </c>
    </row>
    <row r="6" spans="1:5" x14ac:dyDescent="0.35">
      <c r="A6" t="s">
        <v>129</v>
      </c>
      <c r="B6" t="s">
        <v>126</v>
      </c>
      <c r="C6" t="s">
        <v>117</v>
      </c>
      <c r="D6" t="s">
        <v>105</v>
      </c>
      <c r="E6" t="s">
        <v>3</v>
      </c>
    </row>
    <row r="7" spans="1:5" x14ac:dyDescent="0.35">
      <c r="A7" t="s">
        <v>133</v>
      </c>
      <c r="B7" t="s">
        <v>134</v>
      </c>
      <c r="C7" t="s">
        <v>104</v>
      </c>
      <c r="D7" t="s">
        <v>105</v>
      </c>
      <c r="E7" t="s">
        <v>394</v>
      </c>
    </row>
    <row r="8" spans="1:5" x14ac:dyDescent="0.35">
      <c r="A8" t="s">
        <v>259</v>
      </c>
      <c r="B8" t="s">
        <v>256</v>
      </c>
      <c r="C8" t="s">
        <v>117</v>
      </c>
      <c r="D8" t="s">
        <v>105</v>
      </c>
      <c r="E8" t="s">
        <v>3</v>
      </c>
    </row>
    <row r="9" spans="1:5" x14ac:dyDescent="0.35">
      <c r="A9" t="s">
        <v>374</v>
      </c>
      <c r="B9" t="s">
        <v>362</v>
      </c>
      <c r="C9" t="s">
        <v>117</v>
      </c>
      <c r="D9" t="s">
        <v>105</v>
      </c>
      <c r="E9" t="s">
        <v>3</v>
      </c>
    </row>
    <row r="10" spans="1:5" x14ac:dyDescent="0.35">
      <c r="A10" t="s">
        <v>379</v>
      </c>
      <c r="B10" t="s">
        <v>365</v>
      </c>
      <c r="C10" t="s">
        <v>117</v>
      </c>
      <c r="D10" t="s">
        <v>105</v>
      </c>
      <c r="E10" t="s">
        <v>3</v>
      </c>
    </row>
    <row r="11" spans="1:5" x14ac:dyDescent="0.35">
      <c r="A11" t="s">
        <v>383</v>
      </c>
      <c r="B11" t="s">
        <v>368</v>
      </c>
      <c r="C11" t="s">
        <v>117</v>
      </c>
      <c r="D11" t="s">
        <v>105</v>
      </c>
      <c r="E11" t="s">
        <v>3</v>
      </c>
    </row>
    <row r="12" spans="1:5" x14ac:dyDescent="0.35">
      <c r="A12" t="s">
        <v>353</v>
      </c>
      <c r="B12" t="s">
        <v>349</v>
      </c>
      <c r="C12" t="s">
        <v>117</v>
      </c>
      <c r="D12" t="s">
        <v>105</v>
      </c>
      <c r="E12" t="s">
        <v>3</v>
      </c>
    </row>
    <row r="13" spans="1:5" x14ac:dyDescent="0.35">
      <c r="A13" t="s">
        <v>387</v>
      </c>
      <c r="B13" t="s">
        <v>371</v>
      </c>
      <c r="C13" t="s">
        <v>117</v>
      </c>
      <c r="D13" t="s">
        <v>105</v>
      </c>
      <c r="E13" t="s">
        <v>3</v>
      </c>
    </row>
    <row r="14" spans="1:5" x14ac:dyDescent="0.35">
      <c r="A14" t="s">
        <v>392</v>
      </c>
      <c r="B14" t="s">
        <v>393</v>
      </c>
      <c r="C14" t="s">
        <v>104</v>
      </c>
      <c r="D14" t="s">
        <v>105</v>
      </c>
      <c r="E14" t="s">
        <v>394</v>
      </c>
    </row>
    <row r="15" spans="1:5" x14ac:dyDescent="0.35">
      <c r="A15" t="s">
        <v>662</v>
      </c>
      <c r="B15" t="s">
        <v>656</v>
      </c>
      <c r="C15" t="s">
        <v>440</v>
      </c>
      <c r="D15" t="s">
        <v>431</v>
      </c>
      <c r="E15" t="s">
        <v>291</v>
      </c>
    </row>
    <row r="16" spans="1:5" x14ac:dyDescent="0.35">
      <c r="A16" t="s">
        <v>668</v>
      </c>
      <c r="B16" t="s">
        <v>669</v>
      </c>
      <c r="C16" t="s">
        <v>440</v>
      </c>
      <c r="D16" t="s">
        <v>431</v>
      </c>
      <c r="E16" t="s">
        <v>291</v>
      </c>
    </row>
    <row r="17" spans="1:5" x14ac:dyDescent="0.35">
      <c r="A17" t="s">
        <v>677</v>
      </c>
      <c r="B17" t="s">
        <v>674</v>
      </c>
      <c r="C17" t="s">
        <v>440</v>
      </c>
      <c r="D17" t="s">
        <v>431</v>
      </c>
      <c r="E17" t="s">
        <v>291</v>
      </c>
    </row>
    <row r="18" spans="1:5" x14ac:dyDescent="0.35">
      <c r="A18" t="s">
        <v>297</v>
      </c>
      <c r="B18" t="s">
        <v>296</v>
      </c>
      <c r="C18" t="s">
        <v>122</v>
      </c>
      <c r="D18" t="s">
        <v>431</v>
      </c>
      <c r="E18" t="s">
        <v>291</v>
      </c>
    </row>
    <row r="19" spans="1:5" x14ac:dyDescent="0.35">
      <c r="A19" t="s">
        <v>299</v>
      </c>
      <c r="B19" t="s">
        <v>298</v>
      </c>
      <c r="C19" t="s">
        <v>122</v>
      </c>
      <c r="D19" t="s">
        <v>431</v>
      </c>
      <c r="E19" t="s">
        <v>291</v>
      </c>
    </row>
    <row r="20" spans="1:5" x14ac:dyDescent="0.35">
      <c r="A20" t="s">
        <v>295</v>
      </c>
      <c r="B20" t="s">
        <v>289</v>
      </c>
      <c r="C20" t="s">
        <v>440</v>
      </c>
      <c r="D20" t="s">
        <v>431</v>
      </c>
      <c r="E20" t="s">
        <v>291</v>
      </c>
    </row>
    <row r="21" spans="1:5" x14ac:dyDescent="0.35">
      <c r="A21" t="s">
        <v>447</v>
      </c>
      <c r="B21" t="s">
        <v>445</v>
      </c>
      <c r="C21" t="s">
        <v>440</v>
      </c>
      <c r="D21" t="s">
        <v>431</v>
      </c>
      <c r="E21" t="s">
        <v>291</v>
      </c>
    </row>
    <row r="22" spans="1:5" x14ac:dyDescent="0.35">
      <c r="A22" t="s">
        <v>481</v>
      </c>
      <c r="B22" t="s">
        <v>480</v>
      </c>
      <c r="C22" t="s">
        <v>440</v>
      </c>
      <c r="D22" t="s">
        <v>431</v>
      </c>
      <c r="E22" t="s">
        <v>291</v>
      </c>
    </row>
    <row r="23" spans="1:5" x14ac:dyDescent="0.35">
      <c r="A23" t="s">
        <v>513</v>
      </c>
      <c r="B23" t="s">
        <v>509</v>
      </c>
      <c r="C23" t="s">
        <v>440</v>
      </c>
      <c r="D23" t="s">
        <v>431</v>
      </c>
      <c r="E23" t="s">
        <v>291</v>
      </c>
    </row>
    <row r="24" spans="1:5" x14ac:dyDescent="0.35">
      <c r="A24" t="s">
        <v>526</v>
      </c>
      <c r="B24" t="s">
        <v>522</v>
      </c>
      <c r="C24" t="s">
        <v>440</v>
      </c>
      <c r="D24" t="s">
        <v>431</v>
      </c>
      <c r="E24" t="s">
        <v>291</v>
      </c>
    </row>
    <row r="25" spans="1:5" x14ac:dyDescent="0.35">
      <c r="A25" t="s">
        <v>540</v>
      </c>
      <c r="B25" t="s">
        <v>534</v>
      </c>
      <c r="C25" t="s">
        <v>440</v>
      </c>
      <c r="D25" t="s">
        <v>431</v>
      </c>
      <c r="E25" t="s">
        <v>291</v>
      </c>
    </row>
    <row r="26" spans="1:5" x14ac:dyDescent="0.35">
      <c r="A26" t="s">
        <v>558</v>
      </c>
      <c r="B26" t="s">
        <v>549</v>
      </c>
      <c r="C26" t="s">
        <v>440</v>
      </c>
      <c r="D26" t="s">
        <v>431</v>
      </c>
      <c r="E26" t="s">
        <v>291</v>
      </c>
    </row>
    <row r="27" spans="1:5" x14ac:dyDescent="0.35">
      <c r="A27" t="s">
        <v>577</v>
      </c>
      <c r="B27" t="s">
        <v>571</v>
      </c>
      <c r="C27" t="s">
        <v>440</v>
      </c>
      <c r="D27" t="s">
        <v>431</v>
      </c>
      <c r="E27" t="s">
        <v>291</v>
      </c>
    </row>
    <row r="28" spans="1:5" x14ac:dyDescent="0.35">
      <c r="A28" t="s">
        <v>589</v>
      </c>
      <c r="B28" t="s">
        <v>582</v>
      </c>
      <c r="C28" t="s">
        <v>440</v>
      </c>
      <c r="D28" t="s">
        <v>431</v>
      </c>
      <c r="E28" t="s">
        <v>291</v>
      </c>
    </row>
    <row r="29" spans="1:5" x14ac:dyDescent="0.35">
      <c r="A29" t="s">
        <v>604</v>
      </c>
      <c r="B29" t="s">
        <v>599</v>
      </c>
      <c r="C29" t="s">
        <v>440</v>
      </c>
      <c r="D29" t="s">
        <v>431</v>
      </c>
      <c r="E29" t="s">
        <v>291</v>
      </c>
    </row>
    <row r="30" spans="1:5" x14ac:dyDescent="0.35">
      <c r="A30" t="s">
        <v>615</v>
      </c>
      <c r="B30" t="s">
        <v>611</v>
      </c>
      <c r="C30" t="s">
        <v>440</v>
      </c>
      <c r="D30" t="s">
        <v>431</v>
      </c>
      <c r="E30" t="s">
        <v>291</v>
      </c>
    </row>
    <row r="31" spans="1:5" x14ac:dyDescent="0.35">
      <c r="A31" t="s">
        <v>626</v>
      </c>
      <c r="B31" t="s">
        <v>621</v>
      </c>
      <c r="C31" t="s">
        <v>440</v>
      </c>
      <c r="D31" t="s">
        <v>431</v>
      </c>
      <c r="E31" t="s">
        <v>291</v>
      </c>
    </row>
    <row r="32" spans="1:5" x14ac:dyDescent="0.35">
      <c r="A32" t="s">
        <v>697</v>
      </c>
      <c r="B32" t="s">
        <v>692</v>
      </c>
      <c r="C32" t="s">
        <v>440</v>
      </c>
      <c r="D32" t="s">
        <v>431</v>
      </c>
      <c r="E32" t="s">
        <v>291</v>
      </c>
    </row>
    <row r="33" spans="1:5" x14ac:dyDescent="0.35">
      <c r="A33" t="s">
        <v>709</v>
      </c>
      <c r="B33" t="s">
        <v>705</v>
      </c>
      <c r="C33" t="s">
        <v>440</v>
      </c>
      <c r="D33" t="s">
        <v>431</v>
      </c>
      <c r="E33" t="s">
        <v>291</v>
      </c>
    </row>
    <row r="34" spans="1:5" x14ac:dyDescent="0.35">
      <c r="A34" t="s">
        <v>718</v>
      </c>
      <c r="B34" t="s">
        <v>714</v>
      </c>
      <c r="C34" t="s">
        <v>440</v>
      </c>
      <c r="D34" t="s">
        <v>431</v>
      </c>
      <c r="E34" t="s">
        <v>291</v>
      </c>
    </row>
    <row r="35" spans="1:5" x14ac:dyDescent="0.35">
      <c r="A35" t="s">
        <v>727</v>
      </c>
      <c r="B35" t="s">
        <v>723</v>
      </c>
      <c r="C35" t="s">
        <v>440</v>
      </c>
      <c r="D35" t="s">
        <v>431</v>
      </c>
      <c r="E35" t="s">
        <v>291</v>
      </c>
    </row>
    <row r="36" spans="1:5" x14ac:dyDescent="0.35">
      <c r="A36" t="s">
        <v>737</v>
      </c>
      <c r="B36" t="s">
        <v>732</v>
      </c>
      <c r="C36" t="s">
        <v>440</v>
      </c>
      <c r="D36" t="s">
        <v>431</v>
      </c>
      <c r="E36" t="s">
        <v>291</v>
      </c>
    </row>
    <row r="37" spans="1:5" x14ac:dyDescent="0.35">
      <c r="A37" t="s">
        <v>745</v>
      </c>
      <c r="B37" t="s">
        <v>741</v>
      </c>
      <c r="C37" t="s">
        <v>440</v>
      </c>
      <c r="D37" t="s">
        <v>431</v>
      </c>
      <c r="E37" t="s">
        <v>291</v>
      </c>
    </row>
    <row r="38" spans="1:5" x14ac:dyDescent="0.35">
      <c r="A38" t="s">
        <v>885</v>
      </c>
      <c r="B38" t="s">
        <v>886</v>
      </c>
      <c r="C38" t="s">
        <v>104</v>
      </c>
      <c r="D38" t="s">
        <v>105</v>
      </c>
      <c r="E38" t="s">
        <v>394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96B2-F086-4F61-A15F-2BC0B06C4CDA}">
  <dimension ref="A1:L49"/>
  <sheetViews>
    <sheetView workbookViewId="0"/>
    <sheetView workbookViewId="1"/>
  </sheetViews>
  <sheetFormatPr defaultRowHeight="14.5" x14ac:dyDescent="0.35"/>
  <cols>
    <col min="1" max="1" width="36.36328125" bestFit="1" customWidth="1"/>
    <col min="2" max="2" width="16.7265625" style="1" bestFit="1" customWidth="1"/>
    <col min="3" max="3" width="63.1796875" bestFit="1" customWidth="1"/>
    <col min="4" max="4" width="24.1796875" bestFit="1" customWidth="1"/>
    <col min="5" max="5" width="15.453125" customWidth="1"/>
    <col min="7" max="7" width="57.90625" bestFit="1" customWidth="1"/>
    <col min="8" max="8" width="16.54296875" customWidth="1"/>
    <col min="9" max="9" width="57.90625" bestFit="1" customWidth="1"/>
    <col min="10" max="10" width="54.36328125" bestFit="1" customWidth="1"/>
    <col min="11" max="11" width="9.453125" customWidth="1"/>
    <col min="12" max="12" width="12.90625" customWidth="1"/>
  </cols>
  <sheetData>
    <row r="1" spans="1:12" x14ac:dyDescent="0.35">
      <c r="A1" t="s">
        <v>900</v>
      </c>
      <c r="B1" s="1" t="s">
        <v>921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906</v>
      </c>
      <c r="I1" t="s">
        <v>907</v>
      </c>
      <c r="J1" t="s">
        <v>908</v>
      </c>
      <c r="K1" t="s">
        <v>909</v>
      </c>
      <c r="L1" t="s">
        <v>910</v>
      </c>
    </row>
    <row r="2" spans="1:12" x14ac:dyDescent="0.35">
      <c r="A2" t="s">
        <v>2167</v>
      </c>
      <c r="B2" s="1" t="s">
        <v>136</v>
      </c>
      <c r="C2" t="s">
        <v>2168</v>
      </c>
      <c r="D2" t="s">
        <v>2169</v>
      </c>
      <c r="E2" t="s">
        <v>105</v>
      </c>
      <c r="G2" t="s">
        <v>2171</v>
      </c>
      <c r="H2" t="s">
        <v>12</v>
      </c>
      <c r="I2" t="s">
        <v>2171</v>
      </c>
    </row>
    <row r="3" spans="1:12" x14ac:dyDescent="0.35">
      <c r="A3" t="s">
        <v>336</v>
      </c>
      <c r="B3" s="1" t="s">
        <v>337</v>
      </c>
      <c r="C3" t="s">
        <v>2</v>
      </c>
      <c r="D3" t="s">
        <v>117</v>
      </c>
      <c r="E3" t="s">
        <v>105</v>
      </c>
      <c r="F3" t="s">
        <v>3</v>
      </c>
      <c r="G3" t="s">
        <v>338</v>
      </c>
      <c r="H3" t="s">
        <v>8</v>
      </c>
      <c r="I3" t="s">
        <v>339</v>
      </c>
    </row>
    <row r="4" spans="1:12" x14ac:dyDescent="0.35">
      <c r="A4" t="s">
        <v>107</v>
      </c>
      <c r="B4" s="2" t="s">
        <v>108</v>
      </c>
      <c r="C4" t="s">
        <v>103</v>
      </c>
      <c r="D4" t="s">
        <v>104</v>
      </c>
      <c r="E4" t="s">
        <v>105</v>
      </c>
      <c r="F4" t="s">
        <v>3</v>
      </c>
      <c r="G4" t="s">
        <v>109</v>
      </c>
      <c r="H4" t="s">
        <v>12</v>
      </c>
      <c r="I4" t="s">
        <v>109</v>
      </c>
    </row>
    <row r="5" spans="1:12" x14ac:dyDescent="0.35">
      <c r="A5" t="s">
        <v>119</v>
      </c>
      <c r="B5" s="2" t="s">
        <v>120</v>
      </c>
      <c r="C5" t="s">
        <v>121</v>
      </c>
      <c r="D5" t="s">
        <v>123</v>
      </c>
      <c r="E5" t="s">
        <v>105</v>
      </c>
      <c r="F5" t="s">
        <v>3</v>
      </c>
      <c r="G5" t="s">
        <v>124</v>
      </c>
      <c r="H5" t="s">
        <v>12</v>
      </c>
      <c r="I5" t="s">
        <v>124</v>
      </c>
    </row>
    <row r="6" spans="1:12" x14ac:dyDescent="0.35">
      <c r="A6" t="s">
        <v>130</v>
      </c>
      <c r="B6" s="1" t="s">
        <v>131</v>
      </c>
      <c r="C6" t="s">
        <v>126</v>
      </c>
      <c r="D6" t="s">
        <v>117</v>
      </c>
      <c r="E6" t="s">
        <v>105</v>
      </c>
      <c r="F6" t="s">
        <v>3</v>
      </c>
      <c r="G6" t="s">
        <v>132</v>
      </c>
      <c r="H6" t="s">
        <v>12</v>
      </c>
      <c r="I6" t="s">
        <v>132</v>
      </c>
    </row>
    <row r="7" spans="1:12" x14ac:dyDescent="0.35">
      <c r="A7" t="s">
        <v>135</v>
      </c>
      <c r="B7" s="1" t="s">
        <v>136</v>
      </c>
      <c r="C7" t="s">
        <v>134</v>
      </c>
      <c r="D7" t="s">
        <v>104</v>
      </c>
      <c r="E7" t="s">
        <v>105</v>
      </c>
      <c r="F7" t="s">
        <v>3</v>
      </c>
      <c r="G7" t="s">
        <v>137</v>
      </c>
      <c r="H7" t="s">
        <v>12</v>
      </c>
      <c r="I7" t="s">
        <v>137</v>
      </c>
    </row>
    <row r="8" spans="1:12" x14ac:dyDescent="0.35">
      <c r="A8" t="s">
        <v>260</v>
      </c>
      <c r="B8" s="1" t="s">
        <v>261</v>
      </c>
      <c r="C8" t="s">
        <v>256</v>
      </c>
      <c r="D8" t="s">
        <v>123</v>
      </c>
      <c r="E8" t="s">
        <v>105</v>
      </c>
      <c r="F8" t="s">
        <v>3</v>
      </c>
      <c r="G8" t="s">
        <v>262</v>
      </c>
      <c r="H8" t="s">
        <v>12</v>
      </c>
      <c r="I8" t="s">
        <v>262</v>
      </c>
    </row>
    <row r="9" spans="1:12" x14ac:dyDescent="0.35">
      <c r="A9" t="s">
        <v>429</v>
      </c>
      <c r="B9" s="1" t="s">
        <v>430</v>
      </c>
      <c r="C9" t="s">
        <v>289</v>
      </c>
      <c r="D9" t="s">
        <v>922</v>
      </c>
      <c r="E9" t="s">
        <v>431</v>
      </c>
      <c r="F9" t="s">
        <v>291</v>
      </c>
      <c r="G9" t="s">
        <v>432</v>
      </c>
      <c r="H9" t="s">
        <v>8</v>
      </c>
      <c r="I9" t="s">
        <v>433</v>
      </c>
      <c r="J9" t="s">
        <v>434</v>
      </c>
    </row>
    <row r="10" spans="1:12" x14ac:dyDescent="0.35">
      <c r="A10" t="s">
        <v>435</v>
      </c>
      <c r="B10" s="1" t="s">
        <v>436</v>
      </c>
      <c r="C10" t="s">
        <v>289</v>
      </c>
      <c r="D10" t="s">
        <v>922</v>
      </c>
      <c r="E10" t="s">
        <v>431</v>
      </c>
      <c r="F10" t="s">
        <v>291</v>
      </c>
      <c r="G10" t="s">
        <v>437</v>
      </c>
      <c r="H10" t="s">
        <v>8</v>
      </c>
      <c r="I10" t="s">
        <v>438</v>
      </c>
      <c r="J10" t="s">
        <v>439</v>
      </c>
    </row>
    <row r="11" spans="1:12" x14ac:dyDescent="0.35">
      <c r="A11" t="s">
        <v>300</v>
      </c>
      <c r="B11" s="1" t="s">
        <v>301</v>
      </c>
      <c r="C11" t="s">
        <v>289</v>
      </c>
      <c r="D11" t="s">
        <v>922</v>
      </c>
      <c r="E11" t="s">
        <v>431</v>
      </c>
      <c r="F11" t="s">
        <v>291</v>
      </c>
      <c r="G11" t="s">
        <v>302</v>
      </c>
      <c r="H11" t="s">
        <v>8</v>
      </c>
      <c r="I11" t="s">
        <v>303</v>
      </c>
      <c r="J11" t="s">
        <v>304</v>
      </c>
    </row>
    <row r="12" spans="1:12" x14ac:dyDescent="0.35">
      <c r="A12" t="s">
        <v>305</v>
      </c>
      <c r="B12" s="1" t="s">
        <v>306</v>
      </c>
      <c r="C12" t="s">
        <v>289</v>
      </c>
      <c r="D12" t="s">
        <v>123</v>
      </c>
      <c r="E12" t="s">
        <v>431</v>
      </c>
      <c r="F12" t="s">
        <v>291</v>
      </c>
      <c r="G12" t="s">
        <v>307</v>
      </c>
      <c r="H12" t="s">
        <v>8</v>
      </c>
      <c r="I12" t="s">
        <v>308</v>
      </c>
      <c r="J12" t="s">
        <v>309</v>
      </c>
    </row>
    <row r="13" spans="1:12" x14ac:dyDescent="0.35">
      <c r="A13" t="s">
        <v>310</v>
      </c>
      <c r="B13" s="1" t="s">
        <v>261</v>
      </c>
      <c r="C13" t="s">
        <v>296</v>
      </c>
      <c r="D13" t="s">
        <v>122</v>
      </c>
      <c r="E13" t="s">
        <v>431</v>
      </c>
      <c r="F13" t="s">
        <v>291</v>
      </c>
      <c r="G13" t="s">
        <v>311</v>
      </c>
      <c r="H13" t="s">
        <v>8</v>
      </c>
      <c r="I13" t="s">
        <v>312</v>
      </c>
      <c r="J13" t="s">
        <v>313</v>
      </c>
    </row>
    <row r="14" spans="1:12" x14ac:dyDescent="0.35">
      <c r="A14" t="s">
        <v>314</v>
      </c>
      <c r="B14" s="1" t="s">
        <v>315</v>
      </c>
      <c r="C14" t="s">
        <v>298</v>
      </c>
      <c r="D14" t="s">
        <v>122</v>
      </c>
      <c r="E14" t="s">
        <v>431</v>
      </c>
      <c r="F14" t="s">
        <v>291</v>
      </c>
      <c r="G14" t="s">
        <v>316</v>
      </c>
      <c r="H14" t="s">
        <v>8</v>
      </c>
      <c r="I14" t="s">
        <v>317</v>
      </c>
      <c r="J14" t="s">
        <v>318</v>
      </c>
    </row>
    <row r="15" spans="1:12" x14ac:dyDescent="0.35">
      <c r="A15" t="s">
        <v>319</v>
      </c>
      <c r="B15" s="1" t="s">
        <v>306</v>
      </c>
      <c r="C15" t="s">
        <v>298</v>
      </c>
      <c r="D15" t="s">
        <v>123</v>
      </c>
      <c r="E15" t="s">
        <v>431</v>
      </c>
      <c r="F15" t="s">
        <v>291</v>
      </c>
      <c r="G15" t="s">
        <v>320</v>
      </c>
      <c r="H15" t="s">
        <v>12</v>
      </c>
      <c r="I15" t="s">
        <v>320</v>
      </c>
      <c r="J15" t="s">
        <v>321</v>
      </c>
    </row>
    <row r="16" spans="1:12" x14ac:dyDescent="0.35">
      <c r="A16" t="s">
        <v>375</v>
      </c>
      <c r="B16" s="1" t="s">
        <v>376</v>
      </c>
      <c r="C16" t="s">
        <v>362</v>
      </c>
      <c r="D16" t="s">
        <v>117</v>
      </c>
      <c r="E16" t="s">
        <v>105</v>
      </c>
      <c r="F16" t="s">
        <v>3</v>
      </c>
      <c r="G16" t="s">
        <v>377</v>
      </c>
      <c r="H16" t="s">
        <v>8</v>
      </c>
      <c r="I16" t="s">
        <v>378</v>
      </c>
    </row>
    <row r="17" spans="1:10" x14ac:dyDescent="0.35">
      <c r="A17" t="s">
        <v>380</v>
      </c>
      <c r="B17" s="1" t="s">
        <v>355</v>
      </c>
      <c r="C17" t="s">
        <v>365</v>
      </c>
      <c r="D17" t="s">
        <v>117</v>
      </c>
      <c r="E17" t="s">
        <v>105</v>
      </c>
      <c r="F17" t="s">
        <v>3</v>
      </c>
      <c r="G17" t="s">
        <v>381</v>
      </c>
      <c r="H17" t="s">
        <v>8</v>
      </c>
      <c r="I17" t="s">
        <v>382</v>
      </c>
    </row>
    <row r="18" spans="1:10" x14ac:dyDescent="0.35">
      <c r="A18" t="s">
        <v>384</v>
      </c>
      <c r="B18" s="1" t="s">
        <v>376</v>
      </c>
      <c r="C18" t="s">
        <v>368</v>
      </c>
      <c r="D18" t="s">
        <v>117</v>
      </c>
      <c r="E18" t="s">
        <v>105</v>
      </c>
      <c r="F18" t="s">
        <v>3</v>
      </c>
      <c r="G18" t="s">
        <v>385</v>
      </c>
      <c r="H18" t="s">
        <v>8</v>
      </c>
      <c r="I18" t="s">
        <v>386</v>
      </c>
    </row>
    <row r="19" spans="1:10" x14ac:dyDescent="0.35">
      <c r="A19" t="s">
        <v>354</v>
      </c>
      <c r="B19" s="1" t="s">
        <v>355</v>
      </c>
      <c r="C19" t="s">
        <v>349</v>
      </c>
      <c r="D19" t="s">
        <v>117</v>
      </c>
      <c r="E19" t="s">
        <v>105</v>
      </c>
      <c r="F19" t="s">
        <v>3</v>
      </c>
      <c r="G19" t="s">
        <v>356</v>
      </c>
      <c r="H19" t="s">
        <v>8</v>
      </c>
      <c r="I19" t="s">
        <v>357</v>
      </c>
    </row>
    <row r="20" spans="1:10" x14ac:dyDescent="0.35">
      <c r="A20" t="s">
        <v>388</v>
      </c>
      <c r="B20" s="1" t="s">
        <v>389</v>
      </c>
      <c r="C20" t="s">
        <v>371</v>
      </c>
      <c r="D20" t="s">
        <v>117</v>
      </c>
      <c r="E20" t="s">
        <v>105</v>
      </c>
      <c r="F20" t="s">
        <v>3</v>
      </c>
      <c r="G20" t="s">
        <v>390</v>
      </c>
      <c r="H20" t="s">
        <v>8</v>
      </c>
      <c r="I20" t="s">
        <v>391</v>
      </c>
    </row>
    <row r="21" spans="1:10" x14ac:dyDescent="0.35">
      <c r="A21" t="s">
        <v>395</v>
      </c>
      <c r="B21" s="1" t="s">
        <v>136</v>
      </c>
      <c r="C21" t="s">
        <v>393</v>
      </c>
      <c r="D21" t="s">
        <v>104</v>
      </c>
      <c r="E21" t="s">
        <v>105</v>
      </c>
      <c r="F21" t="s">
        <v>394</v>
      </c>
      <c r="G21" t="s">
        <v>396</v>
      </c>
      <c r="H21" t="s">
        <v>12</v>
      </c>
      <c r="I21" t="s">
        <v>396</v>
      </c>
    </row>
    <row r="22" spans="1:10" x14ac:dyDescent="0.35">
      <c r="A22" t="s">
        <v>448</v>
      </c>
      <c r="B22" s="1" t="s">
        <v>449</v>
      </c>
      <c r="C22" t="s">
        <v>445</v>
      </c>
      <c r="D22" t="s">
        <v>440</v>
      </c>
      <c r="E22" t="s">
        <v>431</v>
      </c>
      <c r="F22" t="s">
        <v>291</v>
      </c>
      <c r="G22" t="s">
        <v>453</v>
      </c>
      <c r="H22" t="s">
        <v>8</v>
      </c>
      <c r="I22" t="s">
        <v>454</v>
      </c>
      <c r="J22" t="s">
        <v>455</v>
      </c>
    </row>
    <row r="23" spans="1:10" x14ac:dyDescent="0.35">
      <c r="A23" t="s">
        <v>450</v>
      </c>
      <c r="B23" s="1" t="s">
        <v>451</v>
      </c>
      <c r="C23" t="s">
        <v>445</v>
      </c>
      <c r="D23" t="s">
        <v>922</v>
      </c>
      <c r="E23" t="s">
        <v>431</v>
      </c>
      <c r="F23" t="s">
        <v>291</v>
      </c>
      <c r="G23" t="s">
        <v>456</v>
      </c>
      <c r="H23" t="s">
        <v>8</v>
      </c>
      <c r="I23" t="s">
        <v>457</v>
      </c>
      <c r="J23" t="s">
        <v>458</v>
      </c>
    </row>
    <row r="24" spans="1:10" x14ac:dyDescent="0.35">
      <c r="A24" t="s">
        <v>452</v>
      </c>
      <c r="B24" s="1" t="s">
        <v>436</v>
      </c>
      <c r="C24" t="s">
        <v>445</v>
      </c>
      <c r="D24" t="s">
        <v>922</v>
      </c>
      <c r="E24" t="s">
        <v>431</v>
      </c>
      <c r="F24" t="s">
        <v>291</v>
      </c>
      <c r="G24" t="s">
        <v>459</v>
      </c>
      <c r="H24" t="s">
        <v>8</v>
      </c>
      <c r="I24" t="s">
        <v>460</v>
      </c>
      <c r="J24" t="s">
        <v>461</v>
      </c>
    </row>
    <row r="25" spans="1:10" x14ac:dyDescent="0.35">
      <c r="A25" t="s">
        <v>486</v>
      </c>
      <c r="B25" s="1" t="s">
        <v>482</v>
      </c>
      <c r="C25" s="1" t="s">
        <v>480</v>
      </c>
      <c r="D25" t="s">
        <v>440</v>
      </c>
      <c r="E25" t="s">
        <v>431</v>
      </c>
      <c r="F25" t="s">
        <v>291</v>
      </c>
      <c r="G25" t="s">
        <v>483</v>
      </c>
      <c r="H25" t="s">
        <v>8</v>
      </c>
      <c r="I25" t="s">
        <v>484</v>
      </c>
      <c r="J25" t="s">
        <v>485</v>
      </c>
    </row>
    <row r="26" spans="1:10" x14ac:dyDescent="0.35">
      <c r="A26" t="s">
        <v>487</v>
      </c>
      <c r="B26" s="1" t="s">
        <v>488</v>
      </c>
      <c r="C26" s="1" t="s">
        <v>480</v>
      </c>
      <c r="D26" t="s">
        <v>922</v>
      </c>
      <c r="E26" t="s">
        <v>431</v>
      </c>
      <c r="F26" t="s">
        <v>291</v>
      </c>
      <c r="G26" t="s">
        <v>489</v>
      </c>
      <c r="H26" t="s">
        <v>8</v>
      </c>
      <c r="I26" t="s">
        <v>490</v>
      </c>
      <c r="J26" t="s">
        <v>491</v>
      </c>
    </row>
    <row r="27" spans="1:10" x14ac:dyDescent="0.35">
      <c r="A27" t="s">
        <v>492</v>
      </c>
      <c r="B27" s="1" t="s">
        <v>493</v>
      </c>
      <c r="C27" s="1" t="s">
        <v>480</v>
      </c>
      <c r="D27" t="s">
        <v>922</v>
      </c>
      <c r="E27" t="s">
        <v>431</v>
      </c>
      <c r="F27" t="s">
        <v>291</v>
      </c>
      <c r="G27" t="s">
        <v>494</v>
      </c>
      <c r="H27" t="s">
        <v>8</v>
      </c>
      <c r="I27" t="s">
        <v>495</v>
      </c>
      <c r="J27" t="s">
        <v>496</v>
      </c>
    </row>
    <row r="28" spans="1:10" x14ac:dyDescent="0.35">
      <c r="A28" t="s">
        <v>881</v>
      </c>
      <c r="B28" s="1" t="s">
        <v>131</v>
      </c>
      <c r="C28" s="1" t="s">
        <v>480</v>
      </c>
      <c r="D28" t="s">
        <v>123</v>
      </c>
      <c r="E28" t="s">
        <v>431</v>
      </c>
      <c r="F28" t="s">
        <v>291</v>
      </c>
      <c r="G28" t="s">
        <v>882</v>
      </c>
      <c r="H28" t="s">
        <v>8</v>
      </c>
      <c r="I28" t="s">
        <v>883</v>
      </c>
      <c r="J28" t="s">
        <v>884</v>
      </c>
    </row>
    <row r="29" spans="1:10" x14ac:dyDescent="0.35">
      <c r="A29" t="s">
        <v>515</v>
      </c>
      <c r="B29" s="1" t="s">
        <v>514</v>
      </c>
      <c r="C29" s="1" t="s">
        <v>509</v>
      </c>
      <c r="D29" t="s">
        <v>440</v>
      </c>
      <c r="E29" t="s">
        <v>431</v>
      </c>
      <c r="F29" t="s">
        <v>291</v>
      </c>
      <c r="G29" t="s">
        <v>516</v>
      </c>
      <c r="H29" t="s">
        <v>8</v>
      </c>
      <c r="I29" t="s">
        <v>517</v>
      </c>
      <c r="J29" t="s">
        <v>518</v>
      </c>
    </row>
    <row r="30" spans="1:10" x14ac:dyDescent="0.35">
      <c r="A30" t="s">
        <v>527</v>
      </c>
      <c r="B30" s="1" t="s">
        <v>389</v>
      </c>
      <c r="C30" s="1" t="s">
        <v>522</v>
      </c>
      <c r="D30" t="s">
        <v>440</v>
      </c>
      <c r="E30" t="s">
        <v>431</v>
      </c>
      <c r="F30" t="s">
        <v>291</v>
      </c>
      <c r="G30" t="s">
        <v>528</v>
      </c>
      <c r="H30" t="s">
        <v>8</v>
      </c>
      <c r="I30" t="s">
        <v>529</v>
      </c>
      <c r="J30" t="s">
        <v>530</v>
      </c>
    </row>
    <row r="31" spans="1:10" x14ac:dyDescent="0.35">
      <c r="A31" t="s">
        <v>542</v>
      </c>
      <c r="B31" s="1" t="s">
        <v>541</v>
      </c>
      <c r="C31" s="1" t="s">
        <v>534</v>
      </c>
      <c r="D31" t="s">
        <v>440</v>
      </c>
      <c r="E31" t="s">
        <v>431</v>
      </c>
      <c r="F31" t="s">
        <v>291</v>
      </c>
      <c r="G31" t="s">
        <v>543</v>
      </c>
      <c r="H31" t="s">
        <v>8</v>
      </c>
      <c r="I31" t="s">
        <v>544</v>
      </c>
      <c r="J31" t="s">
        <v>545</v>
      </c>
    </row>
    <row r="32" spans="1:10" x14ac:dyDescent="0.35">
      <c r="A32" t="s">
        <v>560</v>
      </c>
      <c r="B32" s="1" t="s">
        <v>559</v>
      </c>
      <c r="C32" s="1" t="s">
        <v>549</v>
      </c>
      <c r="D32" t="s">
        <v>440</v>
      </c>
      <c r="E32" t="s">
        <v>431</v>
      </c>
      <c r="F32" t="s">
        <v>291</v>
      </c>
      <c r="G32" t="s">
        <v>561</v>
      </c>
      <c r="H32" t="s">
        <v>8</v>
      </c>
      <c r="I32" t="s">
        <v>562</v>
      </c>
      <c r="J32" t="s">
        <v>563</v>
      </c>
    </row>
    <row r="33" spans="1:10" x14ac:dyDescent="0.35">
      <c r="A33" t="s">
        <v>565</v>
      </c>
      <c r="B33" s="1" t="s">
        <v>564</v>
      </c>
      <c r="C33" s="1" t="s">
        <v>549</v>
      </c>
      <c r="D33" t="s">
        <v>440</v>
      </c>
      <c r="E33" t="s">
        <v>431</v>
      </c>
      <c r="F33" t="s">
        <v>291</v>
      </c>
      <c r="G33" t="s">
        <v>566</v>
      </c>
      <c r="H33" t="s">
        <v>8</v>
      </c>
      <c r="I33" t="s">
        <v>567</v>
      </c>
      <c r="J33" t="s">
        <v>568</v>
      </c>
    </row>
    <row r="34" spans="1:10" x14ac:dyDescent="0.35">
      <c r="A34" t="s">
        <v>578</v>
      </c>
      <c r="B34" s="1" t="s">
        <v>306</v>
      </c>
      <c r="C34" t="s">
        <v>571</v>
      </c>
      <c r="D34" t="s">
        <v>440</v>
      </c>
      <c r="E34" t="s">
        <v>431</v>
      </c>
      <c r="F34" t="s">
        <v>291</v>
      </c>
      <c r="G34" t="s">
        <v>579</v>
      </c>
      <c r="H34" t="s">
        <v>8</v>
      </c>
      <c r="I34" t="s">
        <v>580</v>
      </c>
      <c r="J34" t="s">
        <v>581</v>
      </c>
    </row>
    <row r="35" spans="1:10" x14ac:dyDescent="0.35">
      <c r="A35" t="s">
        <v>591</v>
      </c>
      <c r="B35" s="1" t="s">
        <v>590</v>
      </c>
      <c r="C35" t="s">
        <v>582</v>
      </c>
      <c r="D35" t="s">
        <v>440</v>
      </c>
      <c r="E35" t="s">
        <v>431</v>
      </c>
      <c r="F35" t="s">
        <v>291</v>
      </c>
      <c r="G35" t="s">
        <v>592</v>
      </c>
      <c r="H35" t="s">
        <v>8</v>
      </c>
      <c r="I35" t="s">
        <v>593</v>
      </c>
      <c r="J35" t="s">
        <v>594</v>
      </c>
    </row>
    <row r="36" spans="1:10" x14ac:dyDescent="0.35">
      <c r="A36" t="s">
        <v>605</v>
      </c>
      <c r="B36" s="1" t="s">
        <v>606</v>
      </c>
      <c r="C36" s="1" t="s">
        <v>599</v>
      </c>
      <c r="D36" t="s">
        <v>440</v>
      </c>
      <c r="E36" t="s">
        <v>431</v>
      </c>
      <c r="F36" t="s">
        <v>291</v>
      </c>
      <c r="G36" t="s">
        <v>607</v>
      </c>
      <c r="H36" t="s">
        <v>8</v>
      </c>
      <c r="I36" t="s">
        <v>608</v>
      </c>
      <c r="J36" t="s">
        <v>609</v>
      </c>
    </row>
    <row r="37" spans="1:10" x14ac:dyDescent="0.35">
      <c r="A37" t="s">
        <v>616</v>
      </c>
      <c r="B37" s="1" t="s">
        <v>617</v>
      </c>
      <c r="C37" s="1" t="s">
        <v>611</v>
      </c>
      <c r="D37" t="s">
        <v>440</v>
      </c>
      <c r="E37" t="s">
        <v>431</v>
      </c>
      <c r="F37" t="s">
        <v>291</v>
      </c>
      <c r="G37" t="s">
        <v>618</v>
      </c>
      <c r="H37" t="s">
        <v>8</v>
      </c>
      <c r="I37" t="s">
        <v>619</v>
      </c>
      <c r="J37" t="s">
        <v>620</v>
      </c>
    </row>
    <row r="38" spans="1:10" x14ac:dyDescent="0.35">
      <c r="A38" t="s">
        <v>627</v>
      </c>
      <c r="B38" s="1" t="s">
        <v>541</v>
      </c>
      <c r="C38" t="s">
        <v>621</v>
      </c>
      <c r="D38" t="s">
        <v>440</v>
      </c>
      <c r="E38" t="s">
        <v>431</v>
      </c>
      <c r="F38" t="s">
        <v>291</v>
      </c>
      <c r="G38" t="s">
        <v>628</v>
      </c>
      <c r="H38" t="s">
        <v>8</v>
      </c>
      <c r="I38" t="s">
        <v>629</v>
      </c>
      <c r="J38" t="s">
        <v>630</v>
      </c>
    </row>
    <row r="39" spans="1:10" x14ac:dyDescent="0.35">
      <c r="A39" t="s">
        <v>663</v>
      </c>
      <c r="B39" s="1" t="s">
        <v>306</v>
      </c>
      <c r="C39" s="1" t="s">
        <v>656</v>
      </c>
      <c r="D39" t="s">
        <v>440</v>
      </c>
      <c r="E39" t="s">
        <v>659</v>
      </c>
      <c r="F39" t="s">
        <v>291</v>
      </c>
      <c r="G39" t="s">
        <v>660</v>
      </c>
      <c r="H39" t="s">
        <v>12</v>
      </c>
      <c r="I39" t="s">
        <v>660</v>
      </c>
      <c r="J39" t="s">
        <v>661</v>
      </c>
    </row>
    <row r="40" spans="1:10" x14ac:dyDescent="0.35">
      <c r="A40" t="s">
        <v>670</v>
      </c>
      <c r="B40" s="1" t="s">
        <v>131</v>
      </c>
      <c r="C40" s="1" t="s">
        <v>669</v>
      </c>
      <c r="D40" t="s">
        <v>440</v>
      </c>
      <c r="E40" t="s">
        <v>659</v>
      </c>
      <c r="F40" t="s">
        <v>291</v>
      </c>
      <c r="G40" t="s">
        <v>671</v>
      </c>
      <c r="H40" t="s">
        <v>12</v>
      </c>
      <c r="I40" t="s">
        <v>671</v>
      </c>
      <c r="J40" t="s">
        <v>672</v>
      </c>
    </row>
    <row r="41" spans="1:10" x14ac:dyDescent="0.35">
      <c r="A41" t="s">
        <v>678</v>
      </c>
      <c r="B41" s="1" t="s">
        <v>541</v>
      </c>
      <c r="C41" t="s">
        <v>674</v>
      </c>
      <c r="D41" t="s">
        <v>440</v>
      </c>
      <c r="E41" t="s">
        <v>431</v>
      </c>
      <c r="F41" t="s">
        <v>291</v>
      </c>
      <c r="G41" t="s">
        <v>679</v>
      </c>
      <c r="H41" t="s">
        <v>8</v>
      </c>
      <c r="I41" t="s">
        <v>680</v>
      </c>
      <c r="J41" t="s">
        <v>681</v>
      </c>
    </row>
    <row r="42" spans="1:10" x14ac:dyDescent="0.35">
      <c r="A42" t="s">
        <v>698</v>
      </c>
      <c r="B42" s="1" t="s">
        <v>699</v>
      </c>
      <c r="C42" s="1" t="s">
        <v>692</v>
      </c>
      <c r="D42" t="s">
        <v>922</v>
      </c>
      <c r="E42" t="s">
        <v>431</v>
      </c>
      <c r="F42" t="s">
        <v>291</v>
      </c>
      <c r="G42" t="s">
        <v>700</v>
      </c>
      <c r="H42" t="s">
        <v>8</v>
      </c>
      <c r="I42" t="s">
        <v>701</v>
      </c>
      <c r="J42" t="s">
        <v>702</v>
      </c>
    </row>
    <row r="43" spans="1:10" x14ac:dyDescent="0.35">
      <c r="A43" t="s">
        <v>712</v>
      </c>
      <c r="B43" s="1" t="s">
        <v>699</v>
      </c>
      <c r="C43" t="s">
        <v>705</v>
      </c>
      <c r="D43" t="s">
        <v>922</v>
      </c>
      <c r="E43" t="s">
        <v>431</v>
      </c>
      <c r="F43" t="s">
        <v>291</v>
      </c>
      <c r="G43" t="s">
        <v>710</v>
      </c>
      <c r="H43" t="s">
        <v>8</v>
      </c>
      <c r="I43" t="s">
        <v>711</v>
      </c>
      <c r="J43" t="s">
        <v>711</v>
      </c>
    </row>
    <row r="44" spans="1:10" x14ac:dyDescent="0.35">
      <c r="A44" t="s">
        <v>719</v>
      </c>
      <c r="B44" s="1" t="s">
        <v>590</v>
      </c>
      <c r="C44" t="s">
        <v>714</v>
      </c>
      <c r="D44" t="s">
        <v>440</v>
      </c>
      <c r="E44" t="s">
        <v>431</v>
      </c>
      <c r="F44" t="s">
        <v>291</v>
      </c>
      <c r="G44" t="s">
        <v>721</v>
      </c>
      <c r="H44" t="s">
        <v>8</v>
      </c>
      <c r="I44" t="s">
        <v>720</v>
      </c>
      <c r="J44" t="s">
        <v>717</v>
      </c>
    </row>
    <row r="45" spans="1:10" x14ac:dyDescent="0.35">
      <c r="A45" t="s">
        <v>728</v>
      </c>
      <c r="B45" s="1" t="s">
        <v>590</v>
      </c>
      <c r="C45" t="s">
        <v>723</v>
      </c>
      <c r="D45" t="s">
        <v>440</v>
      </c>
      <c r="E45" t="s">
        <v>431</v>
      </c>
      <c r="F45" t="s">
        <v>291</v>
      </c>
      <c r="G45" t="s">
        <v>729</v>
      </c>
      <c r="H45" t="s">
        <v>8</v>
      </c>
      <c r="I45" t="s">
        <v>730</v>
      </c>
      <c r="J45" t="s">
        <v>731</v>
      </c>
    </row>
    <row r="46" spans="1:10" x14ac:dyDescent="0.35">
      <c r="A46" t="s">
        <v>738</v>
      </c>
      <c r="B46" s="1" t="s">
        <v>514</v>
      </c>
      <c r="C46" t="s">
        <v>732</v>
      </c>
      <c r="D46" t="s">
        <v>440</v>
      </c>
      <c r="E46" t="s">
        <v>431</v>
      </c>
      <c r="F46" t="s">
        <v>291</v>
      </c>
      <c r="G46" t="s">
        <v>739</v>
      </c>
      <c r="H46" t="s">
        <v>98</v>
      </c>
      <c r="J46" t="s">
        <v>739</v>
      </c>
    </row>
    <row r="47" spans="1:10" x14ac:dyDescent="0.35">
      <c r="A47" t="s">
        <v>746</v>
      </c>
      <c r="B47" s="1" t="s">
        <v>514</v>
      </c>
      <c r="C47" t="s">
        <v>741</v>
      </c>
      <c r="D47" t="s">
        <v>123</v>
      </c>
      <c r="E47" t="s">
        <v>431</v>
      </c>
      <c r="F47" t="s">
        <v>291</v>
      </c>
      <c r="G47" t="s">
        <v>747</v>
      </c>
      <c r="H47" t="s">
        <v>8</v>
      </c>
      <c r="I47" t="s">
        <v>748</v>
      </c>
      <c r="J47" t="s">
        <v>749</v>
      </c>
    </row>
    <row r="48" spans="1:10" x14ac:dyDescent="0.35">
      <c r="A48" t="s">
        <v>887</v>
      </c>
      <c r="B48" s="1" t="s">
        <v>514</v>
      </c>
      <c r="C48" s="1" t="s">
        <v>886</v>
      </c>
      <c r="D48" t="s">
        <v>104</v>
      </c>
      <c r="E48" t="s">
        <v>105</v>
      </c>
      <c r="F48" t="s">
        <v>394</v>
      </c>
      <c r="G48" t="s">
        <v>889</v>
      </c>
      <c r="H48" t="s">
        <v>12</v>
      </c>
      <c r="I48" t="s">
        <v>889</v>
      </c>
    </row>
    <row r="49" spans="1:9" x14ac:dyDescent="0.35">
      <c r="A49" t="s">
        <v>890</v>
      </c>
      <c r="B49" s="1" t="s">
        <v>136</v>
      </c>
      <c r="C49" s="1" t="s">
        <v>886</v>
      </c>
      <c r="D49" t="s">
        <v>123</v>
      </c>
      <c r="E49" t="s">
        <v>105</v>
      </c>
      <c r="F49" t="s">
        <v>394</v>
      </c>
      <c r="G49" t="s">
        <v>888</v>
      </c>
      <c r="H49" t="s">
        <v>12</v>
      </c>
      <c r="I49" t="s">
        <v>888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14BF-C218-4E44-8745-EF964EAACB23}">
  <dimension ref="A1:A5"/>
  <sheetViews>
    <sheetView workbookViewId="0"/>
    <sheetView workbookViewId="1"/>
  </sheetViews>
  <sheetFormatPr defaultRowHeight="14.5" x14ac:dyDescent="0.35"/>
  <cols>
    <col min="1" max="1" width="14.26953125" bestFit="1" customWidth="1"/>
  </cols>
  <sheetData>
    <row r="1" spans="1:1" x14ac:dyDescent="0.35">
      <c r="A1" t="s">
        <v>923</v>
      </c>
    </row>
    <row r="2" spans="1:1" x14ac:dyDescent="0.35">
      <c r="A2" t="s">
        <v>178</v>
      </c>
    </row>
    <row r="3" spans="1:1" x14ac:dyDescent="0.35">
      <c r="A3" t="s">
        <v>412</v>
      </c>
    </row>
    <row r="4" spans="1:1" x14ac:dyDescent="0.35">
      <c r="A4" t="s">
        <v>595</v>
      </c>
    </row>
    <row r="5" spans="1:1" x14ac:dyDescent="0.35">
      <c r="A5" t="s">
        <v>877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DD11-E7F9-40F5-BE22-9E6917D84083}">
  <dimension ref="A1:A9"/>
  <sheetViews>
    <sheetView workbookViewId="0"/>
    <sheetView workbookViewId="1"/>
  </sheetViews>
  <sheetFormatPr defaultRowHeight="14.5" x14ac:dyDescent="0.35"/>
  <cols>
    <col min="1" max="1" width="17.26953125" bestFit="1" customWidth="1"/>
  </cols>
  <sheetData>
    <row r="1" spans="1:1" x14ac:dyDescent="0.35">
      <c r="A1" t="s">
        <v>924</v>
      </c>
    </row>
    <row r="2" spans="1:1" x14ac:dyDescent="0.35">
      <c r="A2" t="s">
        <v>179</v>
      </c>
    </row>
    <row r="3" spans="1:1" x14ac:dyDescent="0.35">
      <c r="A3" t="s">
        <v>413</v>
      </c>
    </row>
    <row r="4" spans="1:1" x14ac:dyDescent="0.35">
      <c r="A4" t="s">
        <v>596</v>
      </c>
    </row>
    <row r="5" spans="1:1" x14ac:dyDescent="0.35">
      <c r="A5" t="s">
        <v>597</v>
      </c>
    </row>
    <row r="6" spans="1:1" x14ac:dyDescent="0.35">
      <c r="A6" t="s">
        <v>598</v>
      </c>
    </row>
    <row r="7" spans="1:1" x14ac:dyDescent="0.35">
      <c r="A7" t="s">
        <v>878</v>
      </c>
    </row>
    <row r="8" spans="1:1" x14ac:dyDescent="0.35">
      <c r="A8" t="s">
        <v>879</v>
      </c>
    </row>
    <row r="9" spans="1:1" x14ac:dyDescent="0.35">
      <c r="A9" t="s">
        <v>880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EA41-3541-4D43-818E-799AFE2E5F25}">
  <dimension ref="A1:B23"/>
  <sheetViews>
    <sheetView workbookViewId="0"/>
    <sheetView workbookViewId="1"/>
  </sheetViews>
  <sheetFormatPr defaultRowHeight="14.5" x14ac:dyDescent="0.35"/>
  <cols>
    <col min="1" max="1" width="36.26953125" customWidth="1"/>
    <col min="2" max="2" width="24.26953125" customWidth="1"/>
  </cols>
  <sheetData>
    <row r="1" spans="1:2" x14ac:dyDescent="0.35">
      <c r="A1" t="s">
        <v>923</v>
      </c>
      <c r="B1" t="s">
        <v>903</v>
      </c>
    </row>
    <row r="2" spans="1:2" x14ac:dyDescent="0.35">
      <c r="A2" t="s">
        <v>182</v>
      </c>
      <c r="B2" t="s">
        <v>186</v>
      </c>
    </row>
    <row r="3" spans="1:2" x14ac:dyDescent="0.35">
      <c r="A3" t="s">
        <v>183</v>
      </c>
      <c r="B3" t="s">
        <v>186</v>
      </c>
    </row>
    <row r="4" spans="1:2" x14ac:dyDescent="0.35">
      <c r="A4" t="s">
        <v>184</v>
      </c>
      <c r="B4" t="s">
        <v>186</v>
      </c>
    </row>
    <row r="5" spans="1:2" x14ac:dyDescent="0.35">
      <c r="A5" t="s">
        <v>185</v>
      </c>
      <c r="B5" t="s">
        <v>186</v>
      </c>
    </row>
    <row r="6" spans="1:2" x14ac:dyDescent="0.35">
      <c r="A6" t="s">
        <v>188</v>
      </c>
      <c r="B6" t="s">
        <v>187</v>
      </c>
    </row>
    <row r="7" spans="1:2" x14ac:dyDescent="0.35">
      <c r="A7" t="s">
        <v>189</v>
      </c>
      <c r="B7" t="s">
        <v>187</v>
      </c>
    </row>
    <row r="8" spans="1:2" x14ac:dyDescent="0.35">
      <c r="A8" t="s">
        <v>190</v>
      </c>
      <c r="B8" t="s">
        <v>187</v>
      </c>
    </row>
    <row r="9" spans="1:2" x14ac:dyDescent="0.35">
      <c r="A9" t="s">
        <v>191</v>
      </c>
      <c r="B9" t="s">
        <v>187</v>
      </c>
    </row>
    <row r="10" spans="1:2" x14ac:dyDescent="0.35">
      <c r="A10" t="s">
        <v>219</v>
      </c>
      <c r="B10" t="s">
        <v>187</v>
      </c>
    </row>
    <row r="11" spans="1:2" x14ac:dyDescent="0.35">
      <c r="A11" t="s">
        <v>192</v>
      </c>
      <c r="B11" t="s">
        <v>193</v>
      </c>
    </row>
    <row r="12" spans="1:2" x14ac:dyDescent="0.35">
      <c r="A12" t="s">
        <v>194</v>
      </c>
      <c r="B12" t="s">
        <v>193</v>
      </c>
    </row>
    <row r="13" spans="1:2" x14ac:dyDescent="0.35">
      <c r="A13" t="s">
        <v>195</v>
      </c>
      <c r="B13" t="s">
        <v>196</v>
      </c>
    </row>
    <row r="14" spans="1:2" x14ac:dyDescent="0.35">
      <c r="A14" t="s">
        <v>205</v>
      </c>
      <c r="B14" t="s">
        <v>196</v>
      </c>
    </row>
    <row r="15" spans="1:2" x14ac:dyDescent="0.35">
      <c r="A15" t="s">
        <v>197</v>
      </c>
      <c r="B15" t="s">
        <v>198</v>
      </c>
    </row>
    <row r="16" spans="1:2" x14ac:dyDescent="0.35">
      <c r="A16" t="s">
        <v>199</v>
      </c>
      <c r="B16" t="s">
        <v>198</v>
      </c>
    </row>
    <row r="17" spans="1:2" x14ac:dyDescent="0.35">
      <c r="A17" t="s">
        <v>200</v>
      </c>
      <c r="B17" t="s">
        <v>214</v>
      </c>
    </row>
    <row r="18" spans="1:2" x14ac:dyDescent="0.35">
      <c r="A18" t="s">
        <v>201</v>
      </c>
      <c r="B18" t="s">
        <v>214</v>
      </c>
    </row>
    <row r="19" spans="1:2" x14ac:dyDescent="0.35">
      <c r="A19" t="s">
        <v>206</v>
      </c>
      <c r="B19" t="s">
        <v>214</v>
      </c>
    </row>
    <row r="20" spans="1:2" x14ac:dyDescent="0.35">
      <c r="A20" t="s">
        <v>218</v>
      </c>
      <c r="B20" t="s">
        <v>214</v>
      </c>
    </row>
    <row r="21" spans="1:2" x14ac:dyDescent="0.35">
      <c r="A21" t="s">
        <v>215</v>
      </c>
      <c r="B21" t="s">
        <v>214</v>
      </c>
    </row>
    <row r="22" spans="1:2" x14ac:dyDescent="0.35">
      <c r="A22" t="s">
        <v>202</v>
      </c>
      <c r="B22" t="s">
        <v>203</v>
      </c>
    </row>
    <row r="23" spans="1:2" x14ac:dyDescent="0.35">
      <c r="A23" t="s">
        <v>204</v>
      </c>
      <c r="B23" t="s">
        <v>203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5BA2-2F8D-41E1-A265-D2B217FE22D4}">
  <dimension ref="A1:L14"/>
  <sheetViews>
    <sheetView workbookViewId="0">
      <selection activeCell="K7" sqref="K7"/>
    </sheetView>
    <sheetView workbookViewId="1">
      <selection activeCell="B12" sqref="B12"/>
    </sheetView>
  </sheetViews>
  <sheetFormatPr defaultRowHeight="14.5" x14ac:dyDescent="0.35"/>
  <cols>
    <col min="1" max="1" width="20.453125" bestFit="1" customWidth="1"/>
    <col min="2" max="2" width="20.453125" customWidth="1"/>
    <col min="3" max="3" width="133.36328125" bestFit="1" customWidth="1"/>
    <col min="4" max="4" width="5.6328125" customWidth="1"/>
    <col min="5" max="5" width="20.453125" bestFit="1" customWidth="1"/>
    <col min="6" max="6" width="88.54296875" bestFit="1" customWidth="1"/>
    <col min="7" max="7" width="5.6328125" customWidth="1"/>
    <col min="8" max="8" width="25.90625" bestFit="1" customWidth="1"/>
    <col min="9" max="9" width="73.7265625" bestFit="1" customWidth="1"/>
    <col min="10" max="10" width="5.6328125" customWidth="1"/>
    <col min="11" max="11" width="23.6328125" customWidth="1"/>
    <col min="12" max="12" width="124" bestFit="1" customWidth="1"/>
    <col min="13" max="13" width="5.6328125" customWidth="1"/>
  </cols>
  <sheetData>
    <row r="1" spans="1:12" s="14" customFormat="1" ht="26" x14ac:dyDescent="0.6">
      <c r="A1" s="28" t="s">
        <v>2199</v>
      </c>
      <c r="B1" s="28"/>
      <c r="C1" s="28"/>
      <c r="E1" s="28" t="s">
        <v>1359</v>
      </c>
      <c r="F1" s="28"/>
      <c r="H1" s="28" t="s">
        <v>1367</v>
      </c>
      <c r="I1" s="28"/>
      <c r="K1" s="28" t="s">
        <v>1373</v>
      </c>
      <c r="L1" s="28"/>
    </row>
    <row r="2" spans="1:12" x14ac:dyDescent="0.35">
      <c r="A2" s="30" t="s">
        <v>2200</v>
      </c>
      <c r="B2" s="30"/>
      <c r="C2" s="30"/>
      <c r="E2" s="30" t="s">
        <v>1362</v>
      </c>
      <c r="F2" s="30"/>
      <c r="H2" s="29" t="s">
        <v>1368</v>
      </c>
      <c r="I2" s="29"/>
      <c r="K2" s="29" t="s">
        <v>1374</v>
      </c>
      <c r="L2" s="29"/>
    </row>
    <row r="4" spans="1:12" x14ac:dyDescent="0.35">
      <c r="A4" t="s">
        <v>2199</v>
      </c>
      <c r="B4" t="s">
        <v>1373</v>
      </c>
      <c r="C4" t="s">
        <v>1361</v>
      </c>
      <c r="E4" t="s">
        <v>1360</v>
      </c>
      <c r="F4" t="s">
        <v>1361</v>
      </c>
      <c r="H4" t="s">
        <v>1360</v>
      </c>
      <c r="I4" t="s">
        <v>1361</v>
      </c>
      <c r="K4" t="s">
        <v>1360</v>
      </c>
      <c r="L4" t="s">
        <v>1361</v>
      </c>
    </row>
    <row r="5" spans="1:12" x14ac:dyDescent="0.35">
      <c r="A5" t="s">
        <v>327</v>
      </c>
      <c r="C5" t="s">
        <v>2208</v>
      </c>
      <c r="E5" t="s">
        <v>1212</v>
      </c>
      <c r="F5" t="s">
        <v>1363</v>
      </c>
      <c r="H5" t="s">
        <v>1369</v>
      </c>
      <c r="I5" t="s">
        <v>1372</v>
      </c>
      <c r="K5" t="s">
        <v>1358</v>
      </c>
      <c r="L5" t="s">
        <v>1377</v>
      </c>
    </row>
    <row r="6" spans="1:12" x14ac:dyDescent="0.35">
      <c r="A6" t="s">
        <v>1311</v>
      </c>
      <c r="C6" t="s">
        <v>2209</v>
      </c>
      <c r="E6" t="s">
        <v>1213</v>
      </c>
      <c r="F6" t="s">
        <v>1364</v>
      </c>
      <c r="H6" t="s">
        <v>1370</v>
      </c>
      <c r="I6" t="s">
        <v>1371</v>
      </c>
      <c r="K6" t="s">
        <v>1375</v>
      </c>
      <c r="L6" t="s">
        <v>2795</v>
      </c>
    </row>
    <row r="7" spans="1:12" x14ac:dyDescent="0.35">
      <c r="A7" t="s">
        <v>2201</v>
      </c>
      <c r="C7" t="s">
        <v>2205</v>
      </c>
      <c r="E7" t="s">
        <v>1214</v>
      </c>
      <c r="F7" t="s">
        <v>1365</v>
      </c>
      <c r="H7" t="s">
        <v>1872</v>
      </c>
      <c r="I7" t="s">
        <v>1873</v>
      </c>
      <c r="K7" t="s">
        <v>1355</v>
      </c>
      <c r="L7" t="s">
        <v>2794</v>
      </c>
    </row>
    <row r="8" spans="1:12" x14ac:dyDescent="0.35">
      <c r="A8" t="s">
        <v>2202</v>
      </c>
      <c r="C8" t="s">
        <v>2206</v>
      </c>
      <c r="E8" t="s">
        <v>1219</v>
      </c>
      <c r="F8" t="s">
        <v>1366</v>
      </c>
      <c r="K8" t="s">
        <v>1356</v>
      </c>
      <c r="L8" t="s">
        <v>1376</v>
      </c>
    </row>
    <row r="9" spans="1:12" x14ac:dyDescent="0.35">
      <c r="A9" t="s">
        <v>2186</v>
      </c>
      <c r="B9" t="s">
        <v>2197</v>
      </c>
      <c r="C9" t="s">
        <v>2207</v>
      </c>
      <c r="K9" t="s">
        <v>1378</v>
      </c>
      <c r="L9" t="s">
        <v>1379</v>
      </c>
    </row>
    <row r="10" spans="1:12" x14ac:dyDescent="0.35">
      <c r="A10" t="s">
        <v>2203</v>
      </c>
      <c r="B10" t="s">
        <v>2215</v>
      </c>
      <c r="C10" t="s">
        <v>2204</v>
      </c>
    </row>
    <row r="11" spans="1:12" x14ac:dyDescent="0.35">
      <c r="A11" t="s">
        <v>1120</v>
      </c>
      <c r="B11" t="s">
        <v>146</v>
      </c>
      <c r="C11" t="s">
        <v>2210</v>
      </c>
    </row>
    <row r="12" spans="1:12" x14ac:dyDescent="0.35">
      <c r="A12" t="s">
        <v>123</v>
      </c>
      <c r="B12" t="s">
        <v>149</v>
      </c>
      <c r="C12" t="s">
        <v>2211</v>
      </c>
    </row>
    <row r="13" spans="1:12" x14ac:dyDescent="0.35">
      <c r="A13" t="s">
        <v>2212</v>
      </c>
      <c r="C13" t="s">
        <v>2213</v>
      </c>
    </row>
    <row r="14" spans="1:12" x14ac:dyDescent="0.35">
      <c r="A14" t="s">
        <v>104</v>
      </c>
      <c r="C14" t="s">
        <v>2243</v>
      </c>
    </row>
  </sheetData>
  <mergeCells count="8">
    <mergeCell ref="K1:L1"/>
    <mergeCell ref="K2:L2"/>
    <mergeCell ref="A1:C1"/>
    <mergeCell ref="A2:C2"/>
    <mergeCell ref="E2:F2"/>
    <mergeCell ref="H2:I2"/>
    <mergeCell ref="E1:F1"/>
    <mergeCell ref="H1:I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49C9-3A2F-42C8-98B3-9DBA5EC3A42A}">
  <dimension ref="A1:AA21"/>
  <sheetViews>
    <sheetView topLeftCell="F1" workbookViewId="0">
      <selection activeCell="F3" sqref="F3"/>
    </sheetView>
    <sheetView workbookViewId="1"/>
  </sheetViews>
  <sheetFormatPr defaultRowHeight="14.5" x14ac:dyDescent="0.35"/>
  <cols>
    <col min="1" max="1" width="25.6328125" customWidth="1"/>
    <col min="2" max="2" width="5.6328125" customWidth="1"/>
    <col min="3" max="3" width="20.6328125" customWidth="1"/>
    <col min="4" max="4" width="30.6328125" customWidth="1"/>
    <col min="5" max="5" width="5.6328125" customWidth="1"/>
    <col min="6" max="6" width="13.81640625" bestFit="1" customWidth="1"/>
    <col min="7" max="7" width="13.54296875" bestFit="1" customWidth="1"/>
    <col min="8" max="8" width="9.453125" bestFit="1" customWidth="1"/>
    <col min="26" max="26" width="5.6328125" customWidth="1"/>
    <col min="27" max="27" width="25.6328125" customWidth="1"/>
  </cols>
  <sheetData>
    <row r="1" spans="1:27" x14ac:dyDescent="0.35">
      <c r="A1" t="s">
        <v>1080</v>
      </c>
      <c r="C1" t="s">
        <v>1089</v>
      </c>
      <c r="D1" t="s">
        <v>1090</v>
      </c>
      <c r="F1" s="4" t="str" cm="1">
        <f t="array" ref="F1:I1">TRANSPOSE(_xlfn.UNIQUE(__val_NodeTypeAttrs[NodeType]))</f>
        <v>ControllingOrg</v>
      </c>
      <c r="G1" s="4" t="str">
        <v>Authority</v>
      </c>
      <c r="H1" s="4" t="str">
        <v>AuthorityGroup</v>
      </c>
      <c r="I1" s="4" t="str">
        <v>Format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AA1" t="s">
        <v>1187</v>
      </c>
    </row>
    <row r="2" spans="1:27" x14ac:dyDescent="0.35">
      <c r="A2" t="s">
        <v>1081</v>
      </c>
      <c r="C2" t="s">
        <v>1081</v>
      </c>
      <c r="D2" t="s">
        <v>955</v>
      </c>
      <c r="F2" s="5" t="str" cm="1">
        <f t="array" ref="F2:F4">IFERROR(
  _xlfn._xlws.FILTER(
    __val_NodeTypeAttrs[[NodeTypeAttr]:[NodeTypeAttr]], (__val_NodeTypeAttrs[[NodeType]:[NodeType]] = F$1)
  ),""
)</f>
        <v>controllingOrgId</v>
      </c>
      <c r="G2" s="5" t="str" cm="1">
        <f t="array" ref="G2:G4">IFERROR(
  _xlfn._xlws.FILTER(
    __val_NodeTypeAttrs[[NodeTypeAttr]:[NodeTypeAttr]], (__val_NodeTypeAttrs[[NodeType]:[NodeType]] = G$1)
  ),""
)</f>
        <v>authorityId</v>
      </c>
      <c r="H2" s="5" t="str" cm="1">
        <f t="array" ref="H2:H4">IFERROR(
  _xlfn._xlws.FILTER(
    __val_NodeTypeAttrs[[NodeTypeAttr]:[NodeTypeAttr]], (__val_NodeTypeAttrs[[NodeType]:[NodeType]] = H$1)
  ),""
)</f>
        <v>authorityGroupId</v>
      </c>
      <c r="I2" s="5" t="str" cm="1">
        <f t="array" ref="I2:I4">IFERROR(
  _xlfn._xlws.FILTER(
    __val_NodeTypeAttrs[[NodeTypeAttr]:[NodeTypeAttr]], (__val_NodeTypeAttrs[[NodeType]:[NodeType]] = I$1)
  ),""
)</f>
        <v>formatId</v>
      </c>
      <c r="J2" s="5" t="str" cm="1">
        <f t="array" ref="J2">IFERROR(
  _xlfn._xlws.FILTER(
    __val_NodeTypeAttrs[[NodeTypeAttr]:[NodeTypeAttr]], (__val_NodeTypeAttrs[[NodeType]:[NodeType]] = J$1)
  ),""
)</f>
        <v/>
      </c>
      <c r="K2" s="5" t="str" cm="1">
        <f t="array" ref="K2">IFERROR(
  _xlfn._xlws.FILTER(
    __val_NodeTypeAttrs[[NodeTypeAttr]:[NodeTypeAttr]], (__val_NodeTypeAttrs[[NodeType]:[NodeType]] = K$1)
  ),""
)</f>
        <v/>
      </c>
      <c r="L2" s="5" t="str" cm="1">
        <f t="array" ref="L2">IFERROR(
  _xlfn._xlws.FILTER(
    __val_NodeTypeAttrs[[NodeTypeAttr]:[NodeTypeAttr]], (__val_NodeTypeAttrs[[NodeType]:[NodeType]] = L$1)
  ),""
)</f>
        <v/>
      </c>
      <c r="M2" s="5" t="str" cm="1">
        <f t="array" ref="M2">IFERROR(
  _xlfn._xlws.FILTER(
    __val_NodeTypeAttrs[[NodeTypeAttr]:[NodeTypeAttr]], (__val_NodeTypeAttrs[[NodeType]:[NodeType]] = M$1)
  ),""
)</f>
        <v/>
      </c>
      <c r="N2" s="5" t="str" cm="1">
        <f t="array" ref="N2">IFERROR(
  _xlfn._xlws.FILTER(
    __val_NodeTypeAttrs[[NodeTypeAttr]:[NodeTypeAttr]], (__val_NodeTypeAttrs[[NodeType]:[NodeType]] = N$1)
  ),""
)</f>
        <v/>
      </c>
      <c r="O2" s="5" t="str" cm="1">
        <f t="array" ref="O2">IFERROR(
  _xlfn._xlws.FILTER(
    __val_NodeTypeAttrs[[NodeTypeAttr]:[NodeTypeAttr]], (__val_NodeTypeAttrs[[NodeType]:[NodeType]] = O$1)
  ),""
)</f>
        <v/>
      </c>
      <c r="P2" s="5" t="str" cm="1">
        <f t="array" ref="P2">IFERROR(
  _xlfn._xlws.FILTER(
    __val_NodeTypeAttrs[[NodeTypeAttr]:[NodeTypeAttr]], (__val_NodeTypeAttrs[[NodeType]:[NodeType]] = P$1)
  ),""
)</f>
        <v/>
      </c>
      <c r="Q2" s="5" t="str" cm="1">
        <f t="array" ref="Q2">IFERROR(
  _xlfn._xlws.FILTER(
    __val_NodeTypeAttrs[[NodeTypeAttr]:[NodeTypeAttr]], (__val_NodeTypeAttrs[[NodeType]:[NodeType]] = Q$1)
  ),""
)</f>
        <v/>
      </c>
      <c r="R2" s="5" t="str" cm="1">
        <f t="array" ref="R2">IFERROR(
  _xlfn._xlws.FILTER(
    __val_NodeTypeAttrs[[NodeTypeAttr]:[NodeTypeAttr]], (__val_NodeTypeAttrs[[NodeType]:[NodeType]] = R$1)
  ),""
)</f>
        <v/>
      </c>
      <c r="S2" s="5" t="str" cm="1">
        <f t="array" ref="S2">IFERROR(
  _xlfn._xlws.FILTER(
    __val_NodeTypeAttrs[[NodeTypeAttr]:[NodeTypeAttr]], (__val_NodeTypeAttrs[[NodeType]:[NodeType]] = S$1)
  ),""
)</f>
        <v/>
      </c>
      <c r="T2" s="5" t="str" cm="1">
        <f t="array" ref="T2">IFERROR(
  _xlfn._xlws.FILTER(
    __val_NodeTypeAttrs[[NodeTypeAttr]:[NodeTypeAttr]], (__val_NodeTypeAttrs[[NodeType]:[NodeType]] = T$1)
  ),""
)</f>
        <v/>
      </c>
      <c r="U2" s="5" t="str" cm="1">
        <f t="array" ref="U2">IFERROR(
  _xlfn._xlws.FILTER(
    __val_NodeTypeAttrs[[NodeTypeAttr]:[NodeTypeAttr]], (__val_NodeTypeAttrs[[NodeType]:[NodeType]] = U$1)
  ),""
)</f>
        <v/>
      </c>
      <c r="V2" s="5" t="str" cm="1">
        <f t="array" ref="V2">IFERROR(
  _xlfn._xlws.FILTER(
    __val_NodeTypeAttrs[[NodeTypeAttr]:[NodeTypeAttr]], (__val_NodeTypeAttrs[[NodeType]:[NodeType]] = V$1)
  ),""
)</f>
        <v/>
      </c>
      <c r="W2" s="5" t="str" cm="1">
        <f t="array" ref="W2">IFERROR(
  _xlfn._xlws.FILTER(
    __val_NodeTypeAttrs[[NodeTypeAttr]:[NodeTypeAttr]], (__val_NodeTypeAttrs[[NodeType]:[NodeType]] = W$1)
  ),""
)</f>
        <v/>
      </c>
      <c r="X2" s="5" t="str" cm="1">
        <f t="array" ref="X2">IFERROR(
  _xlfn._xlws.FILTER(
    __val_NodeTypeAttrs[[NodeTypeAttr]:[NodeTypeAttr]], (__val_NodeTypeAttrs[[NodeType]:[NodeType]] = X$1)
  ),""
)</f>
        <v/>
      </c>
      <c r="Y2" s="5" t="str" cm="1">
        <f t="array" ref="Y2">IFERROR(
  _xlfn._xlws.FILTER(
    __val_NodeTypeAttrs[[NodeTypeAttr]:[NodeTypeAttr]], (__val_NodeTypeAttrs[[NodeType]:[NodeType]] = Y$1)
  ),""
)</f>
        <v/>
      </c>
      <c r="AA2" t="s">
        <v>176</v>
      </c>
    </row>
    <row r="3" spans="1:27" x14ac:dyDescent="0.35">
      <c r="A3" t="s">
        <v>1082</v>
      </c>
      <c r="C3" t="s">
        <v>1081</v>
      </c>
      <c r="D3" t="s">
        <v>956</v>
      </c>
      <c r="F3" s="5" t="str">
        <v>shortName</v>
      </c>
      <c r="G3" s="5" t="str">
        <v>reference</v>
      </c>
      <c r="H3" s="5" t="str">
        <v>reference</v>
      </c>
      <c r="I3" s="5" t="str">
        <v>shortName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AA3" t="s">
        <v>1188</v>
      </c>
    </row>
    <row r="4" spans="1:27" x14ac:dyDescent="0.35">
      <c r="A4" t="s">
        <v>1308</v>
      </c>
      <c r="C4" t="s">
        <v>1081</v>
      </c>
      <c r="D4" t="s">
        <v>957</v>
      </c>
      <c r="F4" s="5" t="str">
        <v>fullName</v>
      </c>
      <c r="G4" s="5" t="str">
        <v>title</v>
      </c>
      <c r="H4" s="5" t="str">
        <v>title</v>
      </c>
      <c r="I4" s="5" t="str">
        <v>fullName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AA4" t="s">
        <v>1181</v>
      </c>
    </row>
    <row r="5" spans="1:27" x14ac:dyDescent="0.35">
      <c r="A5" t="s">
        <v>2776</v>
      </c>
      <c r="C5" t="s">
        <v>1082</v>
      </c>
      <c r="D5" t="s">
        <v>934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A5" t="s">
        <v>1182</v>
      </c>
    </row>
    <row r="6" spans="1:27" x14ac:dyDescent="0.35">
      <c r="A6" t="s">
        <v>1083</v>
      </c>
      <c r="C6" t="s">
        <v>1082</v>
      </c>
      <c r="D6" t="s">
        <v>938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t="s">
        <v>177</v>
      </c>
    </row>
    <row r="7" spans="1:27" x14ac:dyDescent="0.35">
      <c r="A7" t="s">
        <v>1084</v>
      </c>
      <c r="C7" t="s">
        <v>1082</v>
      </c>
      <c r="D7" t="s">
        <v>939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AA7" t="s">
        <v>27</v>
      </c>
    </row>
    <row r="8" spans="1:27" x14ac:dyDescent="0.35">
      <c r="A8" t="s">
        <v>1085</v>
      </c>
      <c r="C8" t="s">
        <v>1308</v>
      </c>
      <c r="D8" t="s">
        <v>1305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A8" t="s">
        <v>149</v>
      </c>
    </row>
    <row r="9" spans="1:27" x14ac:dyDescent="0.35">
      <c r="A9" t="s">
        <v>1086</v>
      </c>
      <c r="C9" t="s">
        <v>1308</v>
      </c>
      <c r="D9" t="s">
        <v>938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AA9" t="s">
        <v>569</v>
      </c>
    </row>
    <row r="10" spans="1:27" x14ac:dyDescent="0.35">
      <c r="A10" t="s">
        <v>1087</v>
      </c>
      <c r="C10" t="s">
        <v>1308</v>
      </c>
      <c r="D10" t="s">
        <v>939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AA10" t="s">
        <v>146</v>
      </c>
    </row>
    <row r="11" spans="1:27" x14ac:dyDescent="0.35">
      <c r="C11" t="s">
        <v>2776</v>
      </c>
      <c r="D11" t="s">
        <v>2717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AA11" t="s">
        <v>2215</v>
      </c>
    </row>
    <row r="12" spans="1:27" x14ac:dyDescent="0.35">
      <c r="C12" t="s">
        <v>2776</v>
      </c>
      <c r="D12" t="s">
        <v>956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AA12" t="s">
        <v>2197</v>
      </c>
    </row>
    <row r="13" spans="1:27" x14ac:dyDescent="0.35">
      <c r="C13" t="s">
        <v>2776</v>
      </c>
      <c r="D13" t="s">
        <v>957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A13" t="s">
        <v>1314</v>
      </c>
    </row>
    <row r="14" spans="1:27" x14ac:dyDescent="0.3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AA14" t="s">
        <v>26</v>
      </c>
    </row>
    <row r="15" spans="1:27" x14ac:dyDescent="0.3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AA15" t="s">
        <v>1315</v>
      </c>
    </row>
    <row r="16" spans="1:27" x14ac:dyDescent="0.3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AA16" t="s">
        <v>181</v>
      </c>
    </row>
    <row r="17" spans="6:25" x14ac:dyDescent="0.3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6:25" x14ac:dyDescent="0.3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6:25" x14ac:dyDescent="0.3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6:25" x14ac:dyDescent="0.3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6:25" x14ac:dyDescent="0.3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7F63-EFFB-4AD1-95E0-B75A79162522}">
  <dimension ref="A1:Z922"/>
  <sheetViews>
    <sheetView workbookViewId="0">
      <selection activeCell="N53" sqref="N53"/>
    </sheetView>
    <sheetView workbookViewId="1"/>
  </sheetViews>
  <sheetFormatPr defaultRowHeight="14.5" x14ac:dyDescent="0.35"/>
  <cols>
    <col min="20" max="20" width="13.90625" style="1" customWidth="1"/>
    <col min="21" max="21" width="14.453125" customWidth="1"/>
    <col min="26" max="26" width="11.54296875" bestFit="1" customWidth="1"/>
  </cols>
  <sheetData>
    <row r="1" spans="1:26" x14ac:dyDescent="0.35">
      <c r="A1" t="str" cm="1">
        <f t="array" ref="A1:A922">_xlfn.VSTACK(
  "---- Authority ----",
    _xlfn._xlws.SORT(Authority[reference],,1),
  "---- AuthorityDraft ----",
    _xlfn._xlws.SORT(AuthorityDraft[reference:ID:string],,1),
  "---- Revision ----",
    _xlfn._xlws.SORT(Revision[reference:ID:string],,1),
  "---- ControllingOrg ----",
    _xlfn._xlws.SORT(ControllingOrg[shortName],,1),
  "---- Protocol ----",
    _xlfn._xlws.SORT(Protocol[name:ID:string],,1),
  "---- ProtocolVersion ----",
    _xlfn._xlws.SORT(ProtocolVersion[versionedName:ID:string],,1),
  "---- ProtocolFeature ----",
    _xlfn._xlws.SORT(ProtocolFeature[name:ID:string],,1)
)</f>
        <v>---- Authority ----</v>
      </c>
      <c r="N1" t="str" cm="1">
        <f t="array" aca="1" ref="N1:N3" ca="1">__fn_val_nodeAttr("ControllingOrg")</f>
        <v>controllingOrgId</v>
      </c>
      <c r="P1" t="str" cm="1">
        <f t="array" aca="1" ref="P1:P3" ca="1">_xlfn.LET(_xlpm.comment,"nodeTypeAttrRow = 2; nodeTypeColStart = E(5); addrType = relative(4); matchType = exact(0)",_xlpm.nodeTypeAttrRow,2,_xlpm.nodeTypeColStart,5,_xlpm.nodeTypeValRef,"ControllingOrg",_xlpm.nodeTypeLookupRange,_xlfn.ANCHORARRAY(_Validation!$F$1),_xlpm.matchType,0,_xlpm.addrType,4,_xlpm.addrSheet,"_Validation",INDIRECT(ADDRESS(_xlpm.nodeTypeAttrRow,_xlpm.nodeTypeColStart+MATCH(_xlpm.nodeTypeValRef,_xlpm.nodeTypeLookupRange,_xlpm.matchType),_xlpm.addrType,,_xlpm.addrSheet)&amp;"#"))</f>
        <v>controllingOrgId</v>
      </c>
    </row>
    <row r="2" spans="1:26" x14ac:dyDescent="0.35">
      <c r="A2" t="str">
        <v>BCP212</v>
      </c>
      <c r="N2" t="str">
        <f ca="1"/>
        <v>shortName</v>
      </c>
      <c r="P2" t="str">
        <f ca="1"/>
        <v>shortName</v>
      </c>
    </row>
    <row r="3" spans="1:26" x14ac:dyDescent="0.35">
      <c r="A3" t="str">
        <v>BCP240</v>
      </c>
      <c r="N3" t="str">
        <f ca="1"/>
        <v>fullName</v>
      </c>
      <c r="P3" t="str">
        <f ca="1"/>
        <v>fullName</v>
      </c>
    </row>
    <row r="4" spans="1:26" x14ac:dyDescent="0.35">
      <c r="A4" t="str">
        <v>CCITT Rec. S.61 (11/1980)</v>
      </c>
      <c r="T4" s="2" t="s">
        <v>1128</v>
      </c>
      <c r="U4" t="b" cm="1">
        <f t="array" aca="1" ref="U4" ca="1">__fn_val_dateFormat2(T4)</f>
        <v>1</v>
      </c>
      <c r="V4" cm="1">
        <f t="array" aca="1" ref="V4" ca="1">DATEVALUE(CELL("contents",T4))</f>
        <v>1</v>
      </c>
      <c r="W4" t="str" cm="1">
        <f t="array" ref="W4:Y4">_xlfn.TEXTSPLIT(T4,"-")</f>
        <v>1900</v>
      </c>
      <c r="X4" t="str">
        <v>01</v>
      </c>
      <c r="Y4" t="str">
        <v>01</v>
      </c>
      <c r="Z4" t="s">
        <v>1131</v>
      </c>
    </row>
    <row r="5" spans="1:26" x14ac:dyDescent="0.35">
      <c r="A5" t="str">
        <v>CCITT Rec. T.50 (10/1984)</v>
      </c>
      <c r="T5" s="2" t="s">
        <v>1123</v>
      </c>
      <c r="U5" t="b" cm="1">
        <f t="array" aca="1" ref="U5" ca="1">__fn_val_dateFormat2(T5)</f>
        <v>1</v>
      </c>
      <c r="V5" cm="1">
        <f t="array" aca="1" ref="V5" ca="1">DATEVALUE(CELL("contents",T5))</f>
        <v>29576</v>
      </c>
      <c r="Z5">
        <f>FIND("YYYY",Z4)</f>
        <v>1</v>
      </c>
    </row>
    <row r="6" spans="1:26" x14ac:dyDescent="0.35">
      <c r="A6" t="str">
        <v>CCITT Rec. T.50 (11/1988)</v>
      </c>
      <c r="T6" s="2" t="s">
        <v>1132</v>
      </c>
      <c r="U6" t="b" cm="1">
        <f t="array" aca="1" ref="U6" ca="1">__fn_val_dateFormat2(T6)</f>
        <v>0</v>
      </c>
      <c r="V6" t="e" cm="1">
        <f t="array" aca="1" ref="V6" ca="1">DATEVALUE(CELL("contents",T6))</f>
        <v>#VALUE!</v>
      </c>
      <c r="W6" t="e">
        <f ca="1">OR(V6,TRUE)</f>
        <v>#VALUE!</v>
      </c>
      <c r="Z6" t="e">
        <f>FIND("MM",Z4)</f>
        <v>#VALUE!</v>
      </c>
    </row>
    <row r="7" spans="1:26" x14ac:dyDescent="0.35">
      <c r="A7" t="str">
        <v>CCITT Rec. T.51 (10/1984)</v>
      </c>
      <c r="T7" s="2" t="s">
        <v>1124</v>
      </c>
      <c r="U7" t="b" cm="1">
        <f t="array" aca="1" ref="U7" ca="1">__fn_val_dateFormat2(T7)</f>
        <v>1</v>
      </c>
      <c r="V7" t="e" cm="1">
        <f t="array" aca="1" ref="V7" ca="1">DATEVALUE(CELL("contents",T7))</f>
        <v>#VALUE!</v>
      </c>
    </row>
    <row r="8" spans="1:26" x14ac:dyDescent="0.35">
      <c r="A8" t="str">
        <v>CCITT Rec. T.51 (11/1988)</v>
      </c>
      <c r="T8" s="2" t="s">
        <v>1125</v>
      </c>
      <c r="U8" t="b" cm="1">
        <f t="array" aca="1" ref="U8" ca="1">__fn_val_dateFormat2(T8)</f>
        <v>1</v>
      </c>
      <c r="V8" t="e" cm="1">
        <f t="array" aca="1" ref="V8" ca="1">DATEVALUE(CELL("contents",T8))</f>
        <v>#VALUE!</v>
      </c>
    </row>
    <row r="9" spans="1:26" x14ac:dyDescent="0.35">
      <c r="A9" t="str">
        <v>CCITT Rec. T.61 (10/1984)</v>
      </c>
      <c r="T9" s="2" t="s">
        <v>1126</v>
      </c>
      <c r="U9" t="b" cm="1">
        <f t="array" aca="1" ref="U9" ca="1">__fn_val_dateFormat2(T9)</f>
        <v>0</v>
      </c>
      <c r="V9" t="e" cm="1">
        <f t="array" aca="1" ref="V9" ca="1">DATEVALUE(CELL("contents",T9))</f>
        <v>#VALUE!</v>
      </c>
    </row>
    <row r="10" spans="1:26" x14ac:dyDescent="0.35">
      <c r="A10" t="str">
        <v>CCITT Rec. T.61 (11/1988)</v>
      </c>
      <c r="T10" s="2" t="s">
        <v>1129</v>
      </c>
      <c r="U10" t="b" cm="1">
        <f t="array" aca="1" ref="U10" ca="1">__fn_val_dateFormat2(T10)</f>
        <v>0</v>
      </c>
      <c r="V10" cm="1">
        <f t="array" aca="1" ref="V10" ca="1">DATEVALUE(CELL("contents",T10))</f>
        <v>36585</v>
      </c>
    </row>
    <row r="11" spans="1:26" x14ac:dyDescent="0.35">
      <c r="A11" t="str">
        <v>CCITT Rec. V.3 (10/1976)</v>
      </c>
      <c r="T11" s="2" t="s">
        <v>1127</v>
      </c>
      <c r="U11" t="b" cm="1">
        <f t="array" aca="1" ref="U11" ca="1">__fn_val_dateFormat2(T11)</f>
        <v>0</v>
      </c>
      <c r="V11" cm="1">
        <f t="array" aca="1" ref="V11" ca="1">DATEVALUE(CELL("contents",T11))</f>
        <v>36373</v>
      </c>
    </row>
    <row r="12" spans="1:26" x14ac:dyDescent="0.35">
      <c r="A12" t="str">
        <v>CCITT Rec. V.3 (11/1980)</v>
      </c>
      <c r="T12" s="1" t="s">
        <v>1130</v>
      </c>
      <c r="U12" t="b" cm="1">
        <f t="array" aca="1" ref="U12" ca="1">__fn_val_dateFormat2(T12)</f>
        <v>0</v>
      </c>
      <c r="V12" t="e" cm="1">
        <f t="array" aca="1" ref="V12" ca="1">DATEVALUE(CELL("contents",T12))</f>
        <v>#VALUE!</v>
      </c>
    </row>
    <row r="13" spans="1:26" x14ac:dyDescent="0.35">
      <c r="A13" t="str">
        <v>CCITT Rec. V.3 (1968)</v>
      </c>
      <c r="U13" t="b" cm="1">
        <f t="array" aca="1" ref="U13" ca="1">__fn_val_dateFormat2(T13)</f>
        <v>0</v>
      </c>
    </row>
    <row r="14" spans="1:26" x14ac:dyDescent="0.35">
      <c r="A14" t="str">
        <v>CCITT Rec. V.3 (1972)</v>
      </c>
    </row>
    <row r="15" spans="1:26" x14ac:dyDescent="0.35">
      <c r="A15" t="str">
        <v>CCITT Rec. X.121 (09/1978)</v>
      </c>
    </row>
    <row r="16" spans="1:26" x14ac:dyDescent="0.35">
      <c r="A16" t="str">
        <v>CCITT Rec. X.121 (09/1992)</v>
      </c>
      <c r="V16" t="str" cm="1">
        <f t="array" ref="V16">_xlfn.LET(_xlpm.date1,T4,_xlpm.dateParts,_xlfn.TEXTSPLIT(_xlpm.date1,"-"),COUNTA(_xlpm.dateParts) &amp; " --- " &amp; INDEX(_xlpm.dateParts,1))</f>
        <v>3 --- 1900</v>
      </c>
    </row>
    <row r="17" spans="1:1" x14ac:dyDescent="0.35">
      <c r="A17" t="str">
        <v>CCITT Rec. X.121 (10/1984)</v>
      </c>
    </row>
    <row r="18" spans="1:1" x14ac:dyDescent="0.35">
      <c r="A18" t="str">
        <v>CCITT Rec. X.121 (11/1980)</v>
      </c>
    </row>
    <row r="19" spans="1:1" x14ac:dyDescent="0.35">
      <c r="A19" t="str">
        <v>CCITT Rec. X.121 (11/1988)</v>
      </c>
    </row>
    <row r="20" spans="1:1" x14ac:dyDescent="0.35">
      <c r="A20" t="str">
        <v>CCITT Rec. X.200</v>
      </c>
    </row>
    <row r="21" spans="1:1" x14ac:dyDescent="0.35">
      <c r="A21" t="str">
        <v>CCITT Rec. X.208 (1988)</v>
      </c>
    </row>
    <row r="22" spans="1:1" x14ac:dyDescent="0.35">
      <c r="A22" t="str">
        <v>CCITT Rec. X.209 (1988)</v>
      </c>
    </row>
    <row r="23" spans="1:1" x14ac:dyDescent="0.35">
      <c r="A23" t="str">
        <v>CCITT Rec. X.216</v>
      </c>
    </row>
    <row r="24" spans="1:1" x14ac:dyDescent="0.35">
      <c r="A24" t="str">
        <v>CCITT Rec. X.226</v>
      </c>
    </row>
    <row r="25" spans="1:1" x14ac:dyDescent="0.35">
      <c r="A25" t="str">
        <v>CCITT Rec. X.409 (1984)</v>
      </c>
    </row>
    <row r="26" spans="1:1" x14ac:dyDescent="0.35">
      <c r="A26" t="str">
        <v>draft-hickman-netscape-ssl-00</v>
      </c>
    </row>
    <row r="27" spans="1:1" x14ac:dyDescent="0.35">
      <c r="A27" t="str">
        <v>ECMA-35 (01/1980)</v>
      </c>
    </row>
    <row r="28" spans="1:1" x14ac:dyDescent="0.35">
      <c r="A28" t="str">
        <v>ECMA-35 (01/1982)</v>
      </c>
    </row>
    <row r="29" spans="1:1" x14ac:dyDescent="0.35">
      <c r="A29" t="str">
        <v>ECMA-35 (03/1985)</v>
      </c>
    </row>
    <row r="30" spans="1:1" x14ac:dyDescent="0.35">
      <c r="A30" t="str">
        <v>ECMA-35 (06/1993)</v>
      </c>
    </row>
    <row r="31" spans="1:1" x14ac:dyDescent="0.35">
      <c r="A31" t="str">
        <v>ECMA-35 (12/1971)</v>
      </c>
    </row>
    <row r="32" spans="1:1" x14ac:dyDescent="0.35">
      <c r="A32" t="str">
        <v>ECMA-35 (12/1994)</v>
      </c>
    </row>
    <row r="33" spans="1:17" x14ac:dyDescent="0.35">
      <c r="A33" t="str">
        <v>ECMA-43 (12/1974)</v>
      </c>
    </row>
    <row r="34" spans="1:17" x14ac:dyDescent="0.35">
      <c r="A34" t="str">
        <v>ECMA-43 (12/1985)</v>
      </c>
      <c r="N34" t="str" cm="1">
        <f t="array" ref="N34:Q34">_xlfn.ANCHORARRAY(_Validation!$F$1)</f>
        <v>ControllingOrg</v>
      </c>
      <c r="O34" t="str">
        <v>Authority</v>
      </c>
      <c r="P34" t="str">
        <v>AuthorityGroup</v>
      </c>
      <c r="Q34" t="str">
        <v>Format</v>
      </c>
    </row>
    <row r="35" spans="1:17" x14ac:dyDescent="0.35">
      <c r="A35" t="str">
        <v>ECMA-43 (12/1991)</v>
      </c>
      <c r="N35" t="str" cm="1">
        <f t="array" ref="N35:N37">_xlfn.ANCHORARRAY(_Validation!F2)</f>
        <v>controllingOrgId</v>
      </c>
    </row>
    <row r="36" spans="1:17" x14ac:dyDescent="0.35">
      <c r="A36" t="str">
        <v>ECMA-48 (03/1976)</v>
      </c>
      <c r="N36" t="str">
        <v>shortName</v>
      </c>
    </row>
    <row r="37" spans="1:17" x14ac:dyDescent="0.35">
      <c r="A37" t="str">
        <v>ECMA-48 (03/1984)</v>
      </c>
      <c r="N37" t="str">
        <v>fullName</v>
      </c>
    </row>
    <row r="38" spans="1:17" x14ac:dyDescent="0.35">
      <c r="A38" t="str">
        <v>ECMA-48 (06/1991)</v>
      </c>
      <c r="N38" t="str" cm="1">
        <f t="array" ref="N38:N40">_xlfn.ANCHORARRAY(_Validation!$F2)</f>
        <v>controllingOrgId</v>
      </c>
    </row>
    <row r="39" spans="1:17" x14ac:dyDescent="0.35">
      <c r="A39" t="str">
        <v>ECMA-48 (08/1979)</v>
      </c>
      <c r="N39" t="str">
        <v>shortName</v>
      </c>
    </row>
    <row r="40" spans="1:17" x14ac:dyDescent="0.35">
      <c r="A40" t="str">
        <v>ECMA-48 (12/1986)</v>
      </c>
      <c r="N40" t="str">
        <v>fullName</v>
      </c>
    </row>
    <row r="41" spans="1:17" x14ac:dyDescent="0.35">
      <c r="A41" t="str">
        <v>ECMA-6 (03/1985)</v>
      </c>
      <c r="N41" t="str" cm="1">
        <f t="array" ref="N41:N43">_xlfn.ANCHORARRAY(_Validation!$F$2)</f>
        <v>controllingOrgId</v>
      </c>
    </row>
    <row r="42" spans="1:17" x14ac:dyDescent="0.35">
      <c r="A42" t="str">
        <v>ECMA-6 (04/1965)</v>
      </c>
      <c r="N42" t="str">
        <v>shortName</v>
      </c>
    </row>
    <row r="43" spans="1:17" x14ac:dyDescent="0.35">
      <c r="A43" t="str">
        <v>ECMA-6 (06/1967)</v>
      </c>
      <c r="N43" t="str">
        <v>fullName</v>
      </c>
    </row>
    <row r="44" spans="1:17" x14ac:dyDescent="0.35">
      <c r="A44" t="str">
        <v>ECMA-6 (07/1970)</v>
      </c>
    </row>
    <row r="45" spans="1:17" x14ac:dyDescent="0.35">
      <c r="A45" t="str">
        <v>ECMA-6 (08/1973)</v>
      </c>
    </row>
    <row r="46" spans="1:17" x14ac:dyDescent="0.35">
      <c r="A46" t="str">
        <v>ECMA-6 (12/1991)</v>
      </c>
    </row>
    <row r="47" spans="1:17" x14ac:dyDescent="0.35">
      <c r="A47" t="str">
        <v>FYI36</v>
      </c>
    </row>
    <row r="48" spans="1:17" x14ac:dyDescent="0.35">
      <c r="A48" t="str">
        <v>iana.oauth-param-endpoint-response-types</v>
      </c>
    </row>
    <row r="49" spans="1:14" x14ac:dyDescent="0.35">
      <c r="A49" t="str">
        <v>iana.oauth-param-extensions-error</v>
      </c>
    </row>
    <row r="50" spans="1:14" x14ac:dyDescent="0.35">
      <c r="A50" t="str">
        <v>iana.oauth-param-parameters</v>
      </c>
    </row>
    <row r="51" spans="1:14" x14ac:dyDescent="0.35">
      <c r="A51" t="str">
        <v>iana.oauth-param-token-types</v>
      </c>
    </row>
    <row r="52" spans="1:14" x14ac:dyDescent="0.35">
      <c r="A52" t="str">
        <v>ISO 2014:1976</v>
      </c>
      <c r="N52" s="1" t="s">
        <v>3201</v>
      </c>
    </row>
    <row r="53" spans="1:14" x14ac:dyDescent="0.35">
      <c r="A53" t="str">
        <v>ISO 2015:1976</v>
      </c>
      <c r="N53" t="b" cm="1">
        <f t="array" aca="1" ref="N53" ca="1">__fn_val_dateFormat(N52)</f>
        <v>1</v>
      </c>
    </row>
    <row r="54" spans="1:14" x14ac:dyDescent="0.35">
      <c r="A54" t="str">
        <v>ISO 2022:1973</v>
      </c>
    </row>
    <row r="55" spans="1:14" x14ac:dyDescent="0.35">
      <c r="A55" t="str">
        <v>ISO 2022:1982</v>
      </c>
    </row>
    <row r="56" spans="1:14" x14ac:dyDescent="0.35">
      <c r="A56" t="str">
        <v>ISO 2022:1986</v>
      </c>
    </row>
    <row r="57" spans="1:14" x14ac:dyDescent="0.35">
      <c r="A57" t="str">
        <v>ISO 2375:1974</v>
      </c>
    </row>
    <row r="58" spans="1:14" x14ac:dyDescent="0.35">
      <c r="A58" t="str">
        <v>ISO 2375:1980</v>
      </c>
    </row>
    <row r="59" spans="1:14" x14ac:dyDescent="0.35">
      <c r="A59" t="str">
        <v>ISO 2375:1985</v>
      </c>
    </row>
    <row r="60" spans="1:14" x14ac:dyDescent="0.35">
      <c r="A60" t="str">
        <v>ISO 2711:1973</v>
      </c>
    </row>
    <row r="61" spans="1:14" x14ac:dyDescent="0.35">
      <c r="A61" t="str">
        <v>ISO 3166:1974</v>
      </c>
    </row>
    <row r="62" spans="1:14" x14ac:dyDescent="0.35">
      <c r="A62" t="str">
        <v>ISO 3166:1981</v>
      </c>
    </row>
    <row r="63" spans="1:14" x14ac:dyDescent="0.35">
      <c r="A63" t="str">
        <v>ISO 3166:1988</v>
      </c>
    </row>
    <row r="64" spans="1:14" x14ac:dyDescent="0.35">
      <c r="A64" t="str">
        <v>ISO 3166:1993</v>
      </c>
    </row>
    <row r="65" spans="1:1" x14ac:dyDescent="0.35">
      <c r="A65" t="str">
        <v>ISO 3166-1:1997</v>
      </c>
    </row>
    <row r="66" spans="1:1" x14ac:dyDescent="0.35">
      <c r="A66" t="str">
        <v>ISO 3166-1:2006</v>
      </c>
    </row>
    <row r="67" spans="1:1" x14ac:dyDescent="0.35">
      <c r="A67" t="str">
        <v>ISO 3166-1:2006/Cor 1:2007</v>
      </c>
    </row>
    <row r="68" spans="1:1" x14ac:dyDescent="0.35">
      <c r="A68" t="str">
        <v>ISO 3166-1:2013</v>
      </c>
    </row>
    <row r="69" spans="1:1" x14ac:dyDescent="0.35">
      <c r="A69" t="str">
        <v>ISO 3166-1:2020</v>
      </c>
    </row>
    <row r="70" spans="1:1" x14ac:dyDescent="0.35">
      <c r="A70" t="str">
        <v>ISO 3166-2:1998</v>
      </c>
    </row>
    <row r="71" spans="1:1" x14ac:dyDescent="0.35">
      <c r="A71" t="str">
        <v>ISO 3166-2:2007</v>
      </c>
    </row>
    <row r="72" spans="1:1" x14ac:dyDescent="0.35">
      <c r="A72" t="str">
        <v>ISO 3166-2:2013</v>
      </c>
    </row>
    <row r="73" spans="1:1" x14ac:dyDescent="0.35">
      <c r="A73" t="str">
        <v>ISO 3166-2:2020</v>
      </c>
    </row>
    <row r="74" spans="1:1" x14ac:dyDescent="0.35">
      <c r="A74" t="str">
        <v>ISO 3166-3:1999</v>
      </c>
    </row>
    <row r="75" spans="1:1" x14ac:dyDescent="0.35">
      <c r="A75" t="str">
        <v>ISO 3166-3:2013</v>
      </c>
    </row>
    <row r="76" spans="1:1" x14ac:dyDescent="0.35">
      <c r="A76" t="str">
        <v>ISO 3166-3:2020</v>
      </c>
    </row>
    <row r="77" spans="1:1" x14ac:dyDescent="0.35">
      <c r="A77" t="str">
        <v>ISO 3307:1975</v>
      </c>
    </row>
    <row r="78" spans="1:1" x14ac:dyDescent="0.35">
      <c r="A78" t="str">
        <v>ISO 4031:1978</v>
      </c>
    </row>
    <row r="79" spans="1:1" x14ac:dyDescent="0.35">
      <c r="A79" t="str">
        <v>ISO 4873:1979</v>
      </c>
    </row>
    <row r="80" spans="1:1" x14ac:dyDescent="0.35">
      <c r="A80" t="str">
        <v>ISO 4873:1979/Amd 1:1980</v>
      </c>
    </row>
    <row r="81" spans="1:1" x14ac:dyDescent="0.35">
      <c r="A81" t="str">
        <v>ISO 4873:1986</v>
      </c>
    </row>
    <row r="82" spans="1:1" x14ac:dyDescent="0.35">
      <c r="A82" t="str">
        <v>ISO 6429:1983</v>
      </c>
    </row>
    <row r="83" spans="1:1" x14ac:dyDescent="0.35">
      <c r="A83" t="str">
        <v>ISO 6429:1988</v>
      </c>
    </row>
    <row r="84" spans="1:1" x14ac:dyDescent="0.35">
      <c r="A84" t="str">
        <v>ISO 646:1973</v>
      </c>
    </row>
    <row r="85" spans="1:1" x14ac:dyDescent="0.35">
      <c r="A85" t="str">
        <v>ISO 646:1983</v>
      </c>
    </row>
    <row r="86" spans="1:1" x14ac:dyDescent="0.35">
      <c r="A86" t="str">
        <v>ISO 6523:1984</v>
      </c>
    </row>
    <row r="87" spans="1:1" x14ac:dyDescent="0.35">
      <c r="A87" t="str">
        <v>ISO 6523:1984/Amd 1:1994</v>
      </c>
    </row>
    <row r="88" spans="1:1" x14ac:dyDescent="0.35">
      <c r="A88" t="str">
        <v>ISO 6937-1:1983</v>
      </c>
    </row>
    <row r="89" spans="1:1" x14ac:dyDescent="0.35">
      <c r="A89" t="str">
        <v>ISO 6937-2:1983</v>
      </c>
    </row>
    <row r="90" spans="1:1" x14ac:dyDescent="0.35">
      <c r="A90" t="str">
        <v>ISO 6937-2:1983/Add 1:1989</v>
      </c>
    </row>
    <row r="91" spans="1:1" x14ac:dyDescent="0.35">
      <c r="A91" t="str">
        <v>ISO 7498</v>
      </c>
    </row>
    <row r="92" spans="1:1" x14ac:dyDescent="0.35">
      <c r="A92" t="str">
        <v>ISO 8601:1988</v>
      </c>
    </row>
    <row r="93" spans="1:1" x14ac:dyDescent="0.35">
      <c r="A93" t="str">
        <v>ISO 8601:1988/Cor 1:1991</v>
      </c>
    </row>
    <row r="94" spans="1:1" x14ac:dyDescent="0.35">
      <c r="A94" t="str">
        <v>ISO 8601:2000</v>
      </c>
    </row>
    <row r="95" spans="1:1" x14ac:dyDescent="0.35">
      <c r="A95" t="str">
        <v>ISO 8601:2004</v>
      </c>
    </row>
    <row r="96" spans="1:1" x14ac:dyDescent="0.35">
      <c r="A96" t="str">
        <v>ISO 8601-1:2019</v>
      </c>
    </row>
    <row r="97" spans="1:1" x14ac:dyDescent="0.35">
      <c r="A97" t="str">
        <v>ISO 8601-1:2019/Amd 1:2022</v>
      </c>
    </row>
    <row r="98" spans="1:1" x14ac:dyDescent="0.35">
      <c r="A98" t="str">
        <v>ISO 8601-2:2019</v>
      </c>
    </row>
    <row r="99" spans="1:1" x14ac:dyDescent="0.35">
      <c r="A99" t="str">
        <v>ISO 8601-2:2019/Amd 1:2025</v>
      </c>
    </row>
    <row r="100" spans="1:1" x14ac:dyDescent="0.35">
      <c r="A100" t="str">
        <v>ISO 8822</v>
      </c>
    </row>
    <row r="101" spans="1:1" x14ac:dyDescent="0.35">
      <c r="A101" t="str">
        <v>ISO 8823</v>
      </c>
    </row>
    <row r="102" spans="1:1" x14ac:dyDescent="0.35">
      <c r="A102" t="str">
        <v>ISO 8824:1987</v>
      </c>
    </row>
    <row r="103" spans="1:1" x14ac:dyDescent="0.35">
      <c r="A103" t="str">
        <v>ISO 8824:1987</v>
      </c>
    </row>
    <row r="104" spans="1:1" x14ac:dyDescent="0.35">
      <c r="A104" t="str">
        <v>ISO 8825:1987</v>
      </c>
    </row>
    <row r="105" spans="1:1" x14ac:dyDescent="0.35">
      <c r="A105" t="str">
        <v>ISO 8825:1987</v>
      </c>
    </row>
    <row r="106" spans="1:1" x14ac:dyDescent="0.35">
      <c r="A106" t="str">
        <v>ISO 8859-1:1987</v>
      </c>
    </row>
    <row r="107" spans="1:1" x14ac:dyDescent="0.35">
      <c r="A107" t="str">
        <v>ISO 8859-2:1987</v>
      </c>
    </row>
    <row r="108" spans="1:1" x14ac:dyDescent="0.35">
      <c r="A108" t="str">
        <v>ISO 8859-3:1988</v>
      </c>
    </row>
    <row r="109" spans="1:1" x14ac:dyDescent="0.35">
      <c r="A109" t="str">
        <v>ISO 8859-4:1988</v>
      </c>
    </row>
    <row r="110" spans="1:1" x14ac:dyDescent="0.35">
      <c r="A110" t="str">
        <v>ISO 8859-6:1987</v>
      </c>
    </row>
    <row r="111" spans="1:1" x14ac:dyDescent="0.35">
      <c r="A111" t="str">
        <v>ISO 8859-7:1987</v>
      </c>
    </row>
    <row r="112" spans="1:1" x14ac:dyDescent="0.35">
      <c r="A112" t="str">
        <v>ISO 8859-8:1988</v>
      </c>
    </row>
    <row r="113" spans="1:1" x14ac:dyDescent="0.35">
      <c r="A113" t="str">
        <v>ISO/IEC 10367:1991</v>
      </c>
    </row>
    <row r="114" spans="1:1" x14ac:dyDescent="0.35">
      <c r="A114" t="str">
        <v>ISO/IEC 10367:1991/Cor 1:2001</v>
      </c>
    </row>
    <row r="115" spans="1:1" x14ac:dyDescent="0.35">
      <c r="A115" t="str">
        <v>ISO/IEC 10646:2003</v>
      </c>
    </row>
    <row r="116" spans="1:1" x14ac:dyDescent="0.35">
      <c r="A116" t="str">
        <v>ISO/IEC 10646:2003/Amd 1:2005</v>
      </c>
    </row>
    <row r="117" spans="1:1" x14ac:dyDescent="0.35">
      <c r="A117" t="str">
        <v>ISO/IEC 10646:2003/Amd 2:2006</v>
      </c>
    </row>
    <row r="118" spans="1:1" x14ac:dyDescent="0.35">
      <c r="A118" t="str">
        <v>ISO/IEC 10646:2003/Amd 3:2008</v>
      </c>
    </row>
    <row r="119" spans="1:1" x14ac:dyDescent="0.35">
      <c r="A119" t="str">
        <v>ISO/IEC 10646:2003/Amd 4:2008</v>
      </c>
    </row>
    <row r="120" spans="1:1" x14ac:dyDescent="0.35">
      <c r="A120" t="str">
        <v>ISO/IEC 10646:2003/Amd 5:2008</v>
      </c>
    </row>
    <row r="121" spans="1:1" x14ac:dyDescent="0.35">
      <c r="A121" t="str">
        <v>ISO/IEC 10646:2003/Amd 6:2009</v>
      </c>
    </row>
    <row r="122" spans="1:1" x14ac:dyDescent="0.35">
      <c r="A122" t="str">
        <v>ISO/IEC 10646:2003/Amd 7:2010</v>
      </c>
    </row>
    <row r="123" spans="1:1" x14ac:dyDescent="0.35">
      <c r="A123" t="str">
        <v>ISO/IEC 10646:2011</v>
      </c>
    </row>
    <row r="124" spans="1:1" x14ac:dyDescent="0.35">
      <c r="A124" t="str">
        <v>ISO/IEC 10646:2012</v>
      </c>
    </row>
    <row r="125" spans="1:1" x14ac:dyDescent="0.35">
      <c r="A125" t="str">
        <v>ISO/IEC 10646:2012/Amd 1:2013</v>
      </c>
    </row>
    <row r="126" spans="1:1" x14ac:dyDescent="0.35">
      <c r="A126" t="str">
        <v>ISO/IEC 10646:2014</v>
      </c>
    </row>
    <row r="127" spans="1:1" x14ac:dyDescent="0.35">
      <c r="A127" t="str">
        <v>ISO/IEC 10646:2014/Amd 1:2015</v>
      </c>
    </row>
    <row r="128" spans="1:1" x14ac:dyDescent="0.35">
      <c r="A128" t="str">
        <v>ISO/IEC 10646:2014/Amd 2:2016</v>
      </c>
    </row>
    <row r="129" spans="1:1" x14ac:dyDescent="0.35">
      <c r="A129" t="str">
        <v>ISO/IEC 10646:2017</v>
      </c>
    </row>
    <row r="130" spans="1:1" x14ac:dyDescent="0.35">
      <c r="A130" t="str">
        <v>ISO/IEC 10646:2017/Amd 1:2019</v>
      </c>
    </row>
    <row r="131" spans="1:1" x14ac:dyDescent="0.35">
      <c r="A131" t="str">
        <v>ISO/IEC 10646:2017/Amd 2:2019</v>
      </c>
    </row>
    <row r="132" spans="1:1" x14ac:dyDescent="0.35">
      <c r="A132" t="str">
        <v>ISO/IEC 10646:2020</v>
      </c>
    </row>
    <row r="133" spans="1:1" x14ac:dyDescent="0.35">
      <c r="A133" t="str">
        <v>ISO/IEC 10646:2020/Amd 1:2023</v>
      </c>
    </row>
    <row r="134" spans="1:1" x14ac:dyDescent="0.35">
      <c r="A134" t="str">
        <v>ISO/IEC 10646:2020/Amd 2:2025</v>
      </c>
    </row>
    <row r="135" spans="1:1" x14ac:dyDescent="0.35">
      <c r="A135" t="str">
        <v>ISO/IEC 10646-1:1993</v>
      </c>
    </row>
    <row r="136" spans="1:1" x14ac:dyDescent="0.35">
      <c r="A136" t="str">
        <v>ISO/IEC 10646-1:1993/Amd 1:1996</v>
      </c>
    </row>
    <row r="137" spans="1:1" x14ac:dyDescent="0.35">
      <c r="A137" t="str">
        <v>ISO/IEC 10646-1:1993/Amd 10:1998</v>
      </c>
    </row>
    <row r="138" spans="1:1" x14ac:dyDescent="0.35">
      <c r="A138" t="str">
        <v>ISO/IEC 10646-1:1993/Amd 11:1998</v>
      </c>
    </row>
    <row r="139" spans="1:1" x14ac:dyDescent="0.35">
      <c r="A139" t="str">
        <v>ISO/IEC 10646-1:1993/Amd 12:1998</v>
      </c>
    </row>
    <row r="140" spans="1:1" x14ac:dyDescent="0.35">
      <c r="A140" t="str">
        <v>ISO/IEC 10646-1:1993/Amd 13:1998</v>
      </c>
    </row>
    <row r="141" spans="1:1" x14ac:dyDescent="0.35">
      <c r="A141" t="str">
        <v>ISO/IEC 10646-1:1993/Amd 16:1998</v>
      </c>
    </row>
    <row r="142" spans="1:1" x14ac:dyDescent="0.35">
      <c r="A142" t="str">
        <v>ISO/IEC 10646-1:1993/Amd 17:1999</v>
      </c>
    </row>
    <row r="143" spans="1:1" x14ac:dyDescent="0.35">
      <c r="A143" t="str">
        <v>ISO/IEC 10646-1:1993/Amd 18:1999</v>
      </c>
    </row>
    <row r="144" spans="1:1" x14ac:dyDescent="0.35">
      <c r="A144" t="str">
        <v>ISO/IEC 10646-1:1993/Amd 19:1998</v>
      </c>
    </row>
    <row r="145" spans="1:1" x14ac:dyDescent="0.35">
      <c r="A145" t="str">
        <v>ISO/IEC 10646-1:1993/Amd 2:1996</v>
      </c>
    </row>
    <row r="146" spans="1:1" x14ac:dyDescent="0.35">
      <c r="A146" t="str">
        <v>ISO/IEC 10646-1:1993/Amd 20:1998</v>
      </c>
    </row>
    <row r="147" spans="1:1" x14ac:dyDescent="0.35">
      <c r="A147" t="str">
        <v>ISO/IEC 10646-1:1993/Amd 21:1999</v>
      </c>
    </row>
    <row r="148" spans="1:1" x14ac:dyDescent="0.35">
      <c r="A148" t="str">
        <v>ISO/IEC 10646-1:1993/Amd 23:1999</v>
      </c>
    </row>
    <row r="149" spans="1:1" x14ac:dyDescent="0.35">
      <c r="A149" t="str">
        <v>ISO/IEC 10646-1:1993/Amd 3:1996</v>
      </c>
    </row>
    <row r="150" spans="1:1" x14ac:dyDescent="0.35">
      <c r="A150" t="str">
        <v>ISO/IEC 10646-1:1993/Amd 4:1996</v>
      </c>
    </row>
    <row r="151" spans="1:1" x14ac:dyDescent="0.35">
      <c r="A151" t="str">
        <v>ISO/IEC 10646-1:1993/Amd 5:1998</v>
      </c>
    </row>
    <row r="152" spans="1:1" x14ac:dyDescent="0.35">
      <c r="A152" t="str">
        <v>ISO/IEC 10646-1:1993/Amd 6:1997</v>
      </c>
    </row>
    <row r="153" spans="1:1" x14ac:dyDescent="0.35">
      <c r="A153" t="str">
        <v>ISO/IEC 10646-1:1993/Amd 7:1997</v>
      </c>
    </row>
    <row r="154" spans="1:1" x14ac:dyDescent="0.35">
      <c r="A154" t="str">
        <v>ISO/IEC 10646-1:1993/Amd 8:1997</v>
      </c>
    </row>
    <row r="155" spans="1:1" x14ac:dyDescent="0.35">
      <c r="A155" t="str">
        <v>ISO/IEC 10646-1:1993/Amd 9:1997</v>
      </c>
    </row>
    <row r="156" spans="1:1" x14ac:dyDescent="0.35">
      <c r="A156" t="str">
        <v>ISO/IEC 10646-1:1993/Cor 1:1996</v>
      </c>
    </row>
    <row r="157" spans="1:1" x14ac:dyDescent="0.35">
      <c r="A157" t="str">
        <v>ISO/IEC 10646-1:1993/Cor 2:1998</v>
      </c>
    </row>
    <row r="158" spans="1:1" x14ac:dyDescent="0.35">
      <c r="A158" t="str">
        <v>ISO/IEC 10646-1:2000</v>
      </c>
    </row>
    <row r="159" spans="1:1" x14ac:dyDescent="0.35">
      <c r="A159" t="str">
        <v>ISO/IEC 10646-1:2000/Amd 1:2002</v>
      </c>
    </row>
    <row r="160" spans="1:1" x14ac:dyDescent="0.35">
      <c r="A160" t="str">
        <v>ISO/IEC 10646-2:2001</v>
      </c>
    </row>
    <row r="161" spans="1:1" x14ac:dyDescent="0.35">
      <c r="A161" t="str">
        <v>ISO/IEC 2022:1994</v>
      </c>
    </row>
    <row r="162" spans="1:1" x14ac:dyDescent="0.35">
      <c r="A162" t="str">
        <v>ISO/IEC 2022:1994/Cor 1:1999</v>
      </c>
    </row>
    <row r="163" spans="1:1" x14ac:dyDescent="0.35">
      <c r="A163" t="str">
        <v>ISO/IEC 2375:2003</v>
      </c>
    </row>
    <row r="164" spans="1:1" x14ac:dyDescent="0.35">
      <c r="A164" t="str">
        <v>ISO/IEC 4873:1991</v>
      </c>
    </row>
    <row r="165" spans="1:1" x14ac:dyDescent="0.35">
      <c r="A165" t="str">
        <v>ISO/IEC 6429:1992</v>
      </c>
    </row>
    <row r="166" spans="1:1" x14ac:dyDescent="0.35">
      <c r="A166" t="str">
        <v>ISO/IEC 646:1991</v>
      </c>
    </row>
    <row r="167" spans="1:1" x14ac:dyDescent="0.35">
      <c r="A167" t="str">
        <v>ISO/IEC 6523-1:1998</v>
      </c>
    </row>
    <row r="168" spans="1:1" x14ac:dyDescent="0.35">
      <c r="A168" t="str">
        <v>ISO/IEC 6523-1:2023</v>
      </c>
    </row>
    <row r="169" spans="1:1" x14ac:dyDescent="0.35">
      <c r="A169" t="str">
        <v>ISO/IEC 6523-2:1998</v>
      </c>
    </row>
    <row r="170" spans="1:1" x14ac:dyDescent="0.35">
      <c r="A170" t="str">
        <v>ISO/IEC 6523-2:2025</v>
      </c>
    </row>
    <row r="171" spans="1:1" x14ac:dyDescent="0.35">
      <c r="A171" t="str">
        <v>ISO/IEC 6937:1994</v>
      </c>
    </row>
    <row r="172" spans="1:1" x14ac:dyDescent="0.35">
      <c r="A172" t="str">
        <v>ISO/IEC 6937:2001</v>
      </c>
    </row>
    <row r="173" spans="1:1" x14ac:dyDescent="0.35">
      <c r="A173" t="str">
        <v>ISO/IEC 8859-1:1998</v>
      </c>
    </row>
    <row r="174" spans="1:1" x14ac:dyDescent="0.35">
      <c r="A174" t="str">
        <v>ISO/IEC 8859-10:1992</v>
      </c>
    </row>
    <row r="175" spans="1:1" x14ac:dyDescent="0.35">
      <c r="A175" t="str">
        <v>ISO/IEC 8859-10:1998</v>
      </c>
    </row>
    <row r="176" spans="1:1" x14ac:dyDescent="0.35">
      <c r="A176" t="str">
        <v>ISO/IEC 8859-11:2001</v>
      </c>
    </row>
    <row r="177" spans="1:1" x14ac:dyDescent="0.35">
      <c r="A177" t="str">
        <v>ISO/IEC 8859-13:1998</v>
      </c>
    </row>
    <row r="178" spans="1:1" x14ac:dyDescent="0.35">
      <c r="A178" t="str">
        <v>ISO/IEC 8859-14:1998</v>
      </c>
    </row>
    <row r="179" spans="1:1" x14ac:dyDescent="0.35">
      <c r="A179" t="str">
        <v>ISO/IEC 8859-15:1999</v>
      </c>
    </row>
    <row r="180" spans="1:1" x14ac:dyDescent="0.35">
      <c r="A180" t="str">
        <v>ISO/IEC 8859-16:2001</v>
      </c>
    </row>
    <row r="181" spans="1:1" x14ac:dyDescent="0.35">
      <c r="A181" t="str">
        <v>ISO/IEC 8859-2:1999</v>
      </c>
    </row>
    <row r="182" spans="1:1" x14ac:dyDescent="0.35">
      <c r="A182" t="str">
        <v>ISO/IEC 8859-3:1999</v>
      </c>
    </row>
    <row r="183" spans="1:1" x14ac:dyDescent="0.35">
      <c r="A183" t="str">
        <v>ISO/IEC 8859-4:1998</v>
      </c>
    </row>
    <row r="184" spans="1:1" x14ac:dyDescent="0.35">
      <c r="A184" t="str">
        <v>ISO/IEC 8859-5:1988</v>
      </c>
    </row>
    <row r="185" spans="1:1" x14ac:dyDescent="0.35">
      <c r="A185" t="str">
        <v>ISO/IEC 8859-5:1999</v>
      </c>
    </row>
    <row r="186" spans="1:1" x14ac:dyDescent="0.35">
      <c r="A186" t="str">
        <v>ISO/IEC 8859-6:1999</v>
      </c>
    </row>
    <row r="187" spans="1:1" x14ac:dyDescent="0.35">
      <c r="A187" t="str">
        <v>ISO/IEC 8859-7:2003</v>
      </c>
    </row>
    <row r="188" spans="1:1" x14ac:dyDescent="0.35">
      <c r="A188" t="str">
        <v>ISO/IEC 8859-8:1999</v>
      </c>
    </row>
    <row r="189" spans="1:1" x14ac:dyDescent="0.35">
      <c r="A189" t="str">
        <v>ISO/IEC 8859-9:1989</v>
      </c>
    </row>
    <row r="190" spans="1:1" x14ac:dyDescent="0.35">
      <c r="A190" t="str">
        <v>ISO/IEC 8859-9:1999</v>
      </c>
    </row>
    <row r="191" spans="1:1" x14ac:dyDescent="0.35">
      <c r="A191" t="str">
        <v>ISO/IEC TR 2375:2024</v>
      </c>
    </row>
    <row r="192" spans="1:1" x14ac:dyDescent="0.35">
      <c r="A192" t="str">
        <v>ISO/R 2014:1971</v>
      </c>
    </row>
    <row r="193" spans="1:1" x14ac:dyDescent="0.35">
      <c r="A193" t="str">
        <v>ISO/R 2015:1971</v>
      </c>
    </row>
    <row r="194" spans="1:1" x14ac:dyDescent="0.35">
      <c r="A194" t="str">
        <v>ISO/R 646:1967</v>
      </c>
    </row>
    <row r="195" spans="1:1" x14ac:dyDescent="0.35">
      <c r="A195" t="str">
        <v>ITU-T Rec. T.50 (09/1992)</v>
      </c>
    </row>
    <row r="196" spans="1:1" x14ac:dyDescent="0.35">
      <c r="A196" t="str">
        <v>ITU-T Rec. T.51 (09/1992)</v>
      </c>
    </row>
    <row r="197" spans="1:1" x14ac:dyDescent="0.35">
      <c r="A197" t="str">
        <v>ITU-T Rec. T.51 (09/1992)/Amd 1 (08/1995)</v>
      </c>
    </row>
    <row r="198" spans="1:1" x14ac:dyDescent="0.35">
      <c r="A198" t="str">
        <v>ITU-T Rec. T.61 (03/1993)</v>
      </c>
    </row>
    <row r="199" spans="1:1" x14ac:dyDescent="0.35">
      <c r="A199" t="str">
        <v>ITU-T Rec. X.121 (10/1996)</v>
      </c>
    </row>
    <row r="200" spans="1:1" x14ac:dyDescent="0.35">
      <c r="A200" t="str">
        <v>ITU-T Rec. X.121 (10/2000)</v>
      </c>
    </row>
    <row r="201" spans="1:1" x14ac:dyDescent="0.35">
      <c r="A201" t="str">
        <v>ITU-T Rec. X.680 (07/1994)</v>
      </c>
    </row>
    <row r="202" spans="1:1" x14ac:dyDescent="0.35">
      <c r="A202" t="str">
        <v>ITU-T Rec. X.680 (07/1994)/Amd 1 (04/1995)</v>
      </c>
    </row>
    <row r="203" spans="1:1" x14ac:dyDescent="0.35">
      <c r="A203" t="str">
        <v>ITU-T.REC-X.1141</v>
      </c>
    </row>
    <row r="204" spans="1:1" x14ac:dyDescent="0.35">
      <c r="A204" t="str">
        <v>JTC1.26131:2024</v>
      </c>
    </row>
    <row r="205" spans="1:1" x14ac:dyDescent="0.35">
      <c r="A205" t="str">
        <v>JTC1.26132:2024</v>
      </c>
    </row>
    <row r="206" spans="1:1" x14ac:dyDescent="0.35">
      <c r="A206" t="str">
        <v>JTC1.26133:2024</v>
      </c>
    </row>
    <row r="207" spans="1:1" x14ac:dyDescent="0.35">
      <c r="A207" t="str">
        <v>JTC1.26134:2024</v>
      </c>
    </row>
    <row r="208" spans="1:1" x14ac:dyDescent="0.35">
      <c r="A208" t="str">
        <v>JTC1.26135:2024</v>
      </c>
    </row>
    <row r="209" spans="1:1" x14ac:dyDescent="0.35">
      <c r="A209" t="str">
        <v>JTC1.26136:2024</v>
      </c>
    </row>
    <row r="210" spans="1:1" x14ac:dyDescent="0.35">
      <c r="A210" t="str">
        <v>JTC1.26137:2024</v>
      </c>
    </row>
    <row r="211" spans="1:1" x14ac:dyDescent="0.35">
      <c r="A211" t="str">
        <v>JTC1.26138:2024</v>
      </c>
    </row>
    <row r="212" spans="1:1" x14ac:dyDescent="0.35">
      <c r="A212" t="str">
        <v>JTC1.26139:2024</v>
      </c>
    </row>
    <row r="213" spans="1:1" x14ac:dyDescent="0.35">
      <c r="A213" t="str">
        <v>Netscape SSL2</v>
      </c>
    </row>
    <row r="214" spans="1:1" x14ac:dyDescent="0.35">
      <c r="A214" t="str">
        <v>Netscape SSL3</v>
      </c>
    </row>
    <row r="215" spans="1:1" x14ac:dyDescent="0.35">
      <c r="A215" t="str">
        <v>NIST.SP800-63</v>
      </c>
    </row>
    <row r="216" spans="1:1" x14ac:dyDescent="0.35">
      <c r="A216" t="str">
        <v>NIST.SP800-63-1</v>
      </c>
    </row>
    <row r="217" spans="1:1" x14ac:dyDescent="0.35">
      <c r="A217" t="str">
        <v>NIST.SP800-63-2</v>
      </c>
    </row>
    <row r="218" spans="1:1" x14ac:dyDescent="0.35">
      <c r="A218" t="str">
        <v>NIST.SP800-63-3</v>
      </c>
    </row>
    <row r="219" spans="1:1" x14ac:dyDescent="0.35">
      <c r="A219" t="str">
        <v>NIST.SP800-63A</v>
      </c>
    </row>
    <row r="220" spans="1:1" x14ac:dyDescent="0.35">
      <c r="A220" t="str">
        <v>NIST.SP800-63B</v>
      </c>
    </row>
    <row r="221" spans="1:1" x14ac:dyDescent="0.35">
      <c r="A221" t="str">
        <v>NIST.SP800-63Bsup1</v>
      </c>
    </row>
    <row r="222" spans="1:1" x14ac:dyDescent="0.35">
      <c r="A222" t="str">
        <v>NIST.SP800-63C</v>
      </c>
    </row>
    <row r="223" spans="1:1" x14ac:dyDescent="0.35">
      <c r="A223" t="str">
        <v>OASIS.SAML-AuthnContext-2.0</v>
      </c>
    </row>
    <row r="224" spans="1:1" x14ac:dyDescent="0.35">
      <c r="A224" t="str">
        <v>OASIS.SAML-Bindings-2.0</v>
      </c>
    </row>
    <row r="225" spans="1:1" x14ac:dyDescent="0.35">
      <c r="A225" t="str">
        <v>OASIS.SAML-Conformance-2.0</v>
      </c>
    </row>
    <row r="226" spans="1:1" x14ac:dyDescent="0.35">
      <c r="A226" t="str">
        <v>OASIS.SAML-Core-2.0</v>
      </c>
    </row>
    <row r="227" spans="1:1" x14ac:dyDescent="0.35">
      <c r="A227" t="str">
        <v>OASIS.SAML-Glossary-2.0</v>
      </c>
    </row>
    <row r="228" spans="1:1" x14ac:dyDescent="0.35">
      <c r="A228" t="str">
        <v>OASIS.SAML-Metadata-2.0</v>
      </c>
    </row>
    <row r="229" spans="1:1" x14ac:dyDescent="0.35">
      <c r="A229" t="str">
        <v>OASIS.SAML-Profiles-2.0</v>
      </c>
    </row>
    <row r="230" spans="1:1" x14ac:dyDescent="0.35">
      <c r="A230" t="str">
        <v>OASIS.SAML-Schema-Assertion-2.0</v>
      </c>
    </row>
    <row r="231" spans="1:1" x14ac:dyDescent="0.35">
      <c r="A231" t="str">
        <v>OASIS.SAML-Schema-AuthnContext-2.0</v>
      </c>
    </row>
    <row r="232" spans="1:1" x14ac:dyDescent="0.35">
      <c r="A232" t="str">
        <v>OASIS.SAML-Schema-AuthnContext-AuthTelephony-2.0</v>
      </c>
    </row>
    <row r="233" spans="1:1" x14ac:dyDescent="0.35">
      <c r="A233" t="str">
        <v>OASIS.SAML-Schema-AuthnContext-IP-2.0</v>
      </c>
    </row>
    <row r="234" spans="1:1" x14ac:dyDescent="0.35">
      <c r="A234" t="str">
        <v>OASIS.SAML-Schema-AuthnContext-IP-Pwd-2.0</v>
      </c>
    </row>
    <row r="235" spans="1:1" x14ac:dyDescent="0.35">
      <c r="A235" t="str">
        <v>OASIS.SAML-Schema-AuthnContext-Kerberos-2.0</v>
      </c>
    </row>
    <row r="236" spans="1:1" x14ac:dyDescent="0.35">
      <c r="A236" t="str">
        <v>OASIS.SAML-Schema-AuthnContext-Mobile1Factor-Reg-2.0</v>
      </c>
    </row>
    <row r="237" spans="1:1" x14ac:dyDescent="0.35">
      <c r="A237" t="str">
        <v>OASIS.SAML-Schema-AuthnContext-Mobile1Factor-UnReg-2.0</v>
      </c>
    </row>
    <row r="238" spans="1:1" x14ac:dyDescent="0.35">
      <c r="A238" t="str">
        <v>OASIS.SAML-Schema-AuthnContext-Mobile2Factor-Reg-2.0</v>
      </c>
    </row>
    <row r="239" spans="1:1" x14ac:dyDescent="0.35">
      <c r="A239" t="str">
        <v>OASIS.SAML-Schema-AuthnContext-Mobile2Factor-UnReg-2.0</v>
      </c>
    </row>
    <row r="240" spans="1:1" x14ac:dyDescent="0.35">
      <c r="A240" t="str">
        <v>OASIS.SAML-Schema-AuthnContext-NomadTelephony-2.0</v>
      </c>
    </row>
    <row r="241" spans="1:1" x14ac:dyDescent="0.35">
      <c r="A241" t="str">
        <v>OASIS.SAML-Schema-AuthnContext-Password-2.0</v>
      </c>
    </row>
    <row r="242" spans="1:1" x14ac:dyDescent="0.35">
      <c r="A242" t="str">
        <v>OASIS.SAML-Schema-AuthnContext-PersonalTelephony-2.0</v>
      </c>
    </row>
    <row r="243" spans="1:1" x14ac:dyDescent="0.35">
      <c r="A243" t="str">
        <v>OASIS.SAML-Schema-AuthnContext-PGP-2.0</v>
      </c>
    </row>
    <row r="244" spans="1:1" x14ac:dyDescent="0.35">
      <c r="A244" t="str">
        <v>OASIS.SAML-Schema-AuthnContext-PPT-2.0</v>
      </c>
    </row>
    <row r="245" spans="1:1" x14ac:dyDescent="0.35">
      <c r="A245" t="str">
        <v>OASIS.SAML-Schema-AuthnContext-PrevSession-2.0</v>
      </c>
    </row>
    <row r="246" spans="1:1" x14ac:dyDescent="0.35">
      <c r="A246" t="str">
        <v>OASIS.SAML-Schema-AuthnContext-Smartcard-2.0</v>
      </c>
    </row>
    <row r="247" spans="1:1" x14ac:dyDescent="0.35">
      <c r="A247" t="str">
        <v>OASIS.SAML-Schema-AuthnContext-SmartcardPKI-2.0</v>
      </c>
    </row>
    <row r="248" spans="1:1" x14ac:dyDescent="0.35">
      <c r="A248" t="str">
        <v>OASIS.SAML-Schema-AuthnContext-SoftwarePKI-2.0</v>
      </c>
    </row>
    <row r="249" spans="1:1" x14ac:dyDescent="0.35">
      <c r="A249" t="str">
        <v>OASIS.SAML-Schema-AuthnContext-SPKI-2.0</v>
      </c>
    </row>
    <row r="250" spans="1:1" x14ac:dyDescent="0.35">
      <c r="A250" t="str">
        <v>OASIS.SAML-Schema-AuthnContext-SRP-2.0</v>
      </c>
    </row>
    <row r="251" spans="1:1" x14ac:dyDescent="0.35">
      <c r="A251" t="str">
        <v>OASIS.SAML-Schema-AuthnContext-Telephony-2.0</v>
      </c>
    </row>
    <row r="252" spans="1:1" x14ac:dyDescent="0.35">
      <c r="A252" t="str">
        <v>OASIS.SAML-Schema-AuthnContext-TimeSyncToken-2.0</v>
      </c>
    </row>
    <row r="253" spans="1:1" x14ac:dyDescent="0.35">
      <c r="A253" t="str">
        <v>OASIS.SAML-Schema-AuthnContext-TLSClient-2.0</v>
      </c>
    </row>
    <row r="254" spans="1:1" x14ac:dyDescent="0.35">
      <c r="A254" t="str">
        <v>OASIS.SAML-Schema-AuthnContext-Types-2.0</v>
      </c>
    </row>
    <row r="255" spans="1:1" x14ac:dyDescent="0.35">
      <c r="A255" t="str">
        <v>OASIS.SAML-Schema-AuthnContext-X509-2.0</v>
      </c>
    </row>
    <row r="256" spans="1:1" x14ac:dyDescent="0.35">
      <c r="A256" t="str">
        <v>OASIS.SAML-Schema-AuthnContext-XMLDSig-2.0</v>
      </c>
    </row>
    <row r="257" spans="1:1" x14ac:dyDescent="0.35">
      <c r="A257" t="str">
        <v>OASIS.SAML-Schema-DCE-2.0</v>
      </c>
    </row>
    <row r="258" spans="1:1" x14ac:dyDescent="0.35">
      <c r="A258" t="str">
        <v>OASIS.SAML-Schema-ECP-2.0</v>
      </c>
    </row>
    <row r="259" spans="1:1" x14ac:dyDescent="0.35">
      <c r="A259" t="str">
        <v>OASIS.SAML-Schema-Metadata-2.0</v>
      </c>
    </row>
    <row r="260" spans="1:1" x14ac:dyDescent="0.35">
      <c r="A260" t="str">
        <v>OASIS.SAML-Schema-Protocol-2.0</v>
      </c>
    </row>
    <row r="261" spans="1:1" x14ac:dyDescent="0.35">
      <c r="A261" t="str">
        <v>OASIS.SAML-Schema-X500-2.0</v>
      </c>
    </row>
    <row r="262" spans="1:1" x14ac:dyDescent="0.35">
      <c r="A262" t="str">
        <v>OASIS.SAML-Schema-XACLML-2.0</v>
      </c>
    </row>
    <row r="263" spans="1:1" x14ac:dyDescent="0.35">
      <c r="A263" t="str">
        <v>OASIS.SAML-SecConsider-2.0</v>
      </c>
    </row>
    <row r="264" spans="1:1" x14ac:dyDescent="0.35">
      <c r="A264" t="str">
        <v>OATC.OMAP</v>
      </c>
    </row>
    <row r="265" spans="1:1" x14ac:dyDescent="0.35">
      <c r="A265" t="str">
        <v>OpenID.Attribute-Exchange-1.0</v>
      </c>
    </row>
    <row r="266" spans="1:1" x14ac:dyDescent="0.35">
      <c r="A266" t="str">
        <v>OpenID.AuthN-1.0</v>
      </c>
    </row>
    <row r="267" spans="1:1" x14ac:dyDescent="0.35">
      <c r="A267" t="str">
        <v>OpenID.AuthN-1.1</v>
      </c>
    </row>
    <row r="268" spans="1:1" x14ac:dyDescent="0.35">
      <c r="A268" t="str">
        <v>OpenID.AuthN-2.0</v>
      </c>
    </row>
    <row r="269" spans="1:1" x14ac:dyDescent="0.35">
      <c r="A269" t="str">
        <v>OpenID.AuthnPolicy-Ext-1.0</v>
      </c>
    </row>
    <row r="270" spans="1:1" x14ac:dyDescent="0.35">
      <c r="A270" t="str">
        <v>OpenID.CIBA-1.0</v>
      </c>
    </row>
    <row r="271" spans="1:1" x14ac:dyDescent="0.35">
      <c r="A271" t="str">
        <v>OpenID.Connect-BackChannel-1.0</v>
      </c>
    </row>
    <row r="272" spans="1:1" x14ac:dyDescent="0.35">
      <c r="A272" t="str">
        <v>OpenID.Connect-BackChannel-1.0-es1</v>
      </c>
    </row>
    <row r="273" spans="1:1" x14ac:dyDescent="0.35">
      <c r="A273" t="str">
        <v>OpenID.Connect-Core-1.0</v>
      </c>
    </row>
    <row r="274" spans="1:1" x14ac:dyDescent="0.35">
      <c r="A274" t="str">
        <v>OpenID.Connect-Core-1.0-es1</v>
      </c>
    </row>
    <row r="275" spans="1:1" x14ac:dyDescent="0.35">
      <c r="A275" t="str">
        <v>OpenID.Connect-Core-1.0-es2</v>
      </c>
    </row>
    <row r="276" spans="1:1" x14ac:dyDescent="0.35">
      <c r="A276" t="str">
        <v>OpenID.Connect-Discovery-1.0</v>
      </c>
    </row>
    <row r="277" spans="1:1" x14ac:dyDescent="0.35">
      <c r="A277" t="str">
        <v>OpenID.Connect-Discovery-1.0-es1</v>
      </c>
    </row>
    <row r="278" spans="1:1" x14ac:dyDescent="0.35">
      <c r="A278" t="str">
        <v>OpenID.Connect-Discovery-1.0-es2</v>
      </c>
    </row>
    <row r="279" spans="1:1" x14ac:dyDescent="0.35">
      <c r="A279" t="str">
        <v>OpenID.Connect-FrontChannel-1.0</v>
      </c>
    </row>
    <row r="280" spans="1:1" x14ac:dyDescent="0.35">
      <c r="A280" t="str">
        <v>OpenID.Connect-Migration-1.0</v>
      </c>
    </row>
    <row r="281" spans="1:1" x14ac:dyDescent="0.35">
      <c r="A281" t="str">
        <v>OpenID.Connect-Registration-1.0</v>
      </c>
    </row>
    <row r="282" spans="1:1" x14ac:dyDescent="0.35">
      <c r="A282" t="str">
        <v>OpenID.Connect-Registration-1.0-es1</v>
      </c>
    </row>
    <row r="283" spans="1:1" x14ac:dyDescent="0.35">
      <c r="A283" t="str">
        <v>OpenID.Connect-Registration-1.0-es2</v>
      </c>
    </row>
    <row r="284" spans="1:1" x14ac:dyDescent="0.35">
      <c r="A284" t="str">
        <v>OpenID.Connect-RPLogout-1.0</v>
      </c>
    </row>
    <row r="285" spans="1:1" x14ac:dyDescent="0.35">
      <c r="A285" t="str">
        <v>OpenID.Connect-Session-1.0</v>
      </c>
    </row>
    <row r="286" spans="1:1" x14ac:dyDescent="0.35">
      <c r="A286" t="str">
        <v>OpenID.Connect-UnmetAuthn-1.0</v>
      </c>
    </row>
    <row r="287" spans="1:1" x14ac:dyDescent="0.35">
      <c r="A287" t="str">
        <v>OpenID.Connect-UserRegistration-1.0</v>
      </c>
    </row>
    <row r="288" spans="1:1" x14ac:dyDescent="0.35">
      <c r="A288" t="str">
        <v>OpenID.FAPI-AttackerModel-2.0</v>
      </c>
    </row>
    <row r="289" spans="1:1" x14ac:dyDescent="0.35">
      <c r="A289" t="str">
        <v>OpenID.FAPI-Profile-Advanced-1.0</v>
      </c>
    </row>
    <row r="290" spans="1:1" x14ac:dyDescent="0.35">
      <c r="A290" t="str">
        <v>OpenID.FAPI-Profile-Baseline-1.0</v>
      </c>
    </row>
    <row r="291" spans="1:1" x14ac:dyDescent="0.35">
      <c r="A291" t="str">
        <v>OpenID.FAPI-Security-Profile-2.0</v>
      </c>
    </row>
    <row r="292" spans="1:1" x14ac:dyDescent="0.35">
      <c r="A292" t="str">
        <v>OpenID.JARM</v>
      </c>
    </row>
    <row r="293" spans="1:1" x14ac:dyDescent="0.35">
      <c r="A293" t="str">
        <v>OpenID.OAuth2-Form-Post-Response-1.0</v>
      </c>
    </row>
    <row r="294" spans="1:1" x14ac:dyDescent="0.35">
      <c r="A294" t="str">
        <v>OpenID.OAuth2-Multiple-Response-Types-1.0</v>
      </c>
    </row>
    <row r="295" spans="1:1" x14ac:dyDescent="0.35">
      <c r="A295" t="str">
        <v>OpenID.SimpleRegistration-1.0</v>
      </c>
    </row>
    <row r="296" spans="1:1" x14ac:dyDescent="0.35">
      <c r="A296" t="str">
        <v>RFC1041</v>
      </c>
    </row>
    <row r="297" spans="1:1" x14ac:dyDescent="0.35">
      <c r="A297" t="str">
        <v>RFC1738</v>
      </c>
    </row>
    <row r="298" spans="1:1" x14ac:dyDescent="0.35">
      <c r="A298" t="str">
        <v>RFC1808</v>
      </c>
    </row>
    <row r="299" spans="1:1" x14ac:dyDescent="0.35">
      <c r="A299" t="str">
        <v>RFC1945</v>
      </c>
    </row>
    <row r="300" spans="1:1" x14ac:dyDescent="0.35">
      <c r="A300" t="str">
        <v>RFC20</v>
      </c>
    </row>
    <row r="301" spans="1:1" x14ac:dyDescent="0.35">
      <c r="A301" t="str">
        <v>RFC2044</v>
      </c>
    </row>
    <row r="302" spans="1:1" x14ac:dyDescent="0.35">
      <c r="A302" t="str">
        <v>RFC2068</v>
      </c>
    </row>
    <row r="303" spans="1:1" x14ac:dyDescent="0.35">
      <c r="A303" t="str">
        <v>RFC2069</v>
      </c>
    </row>
    <row r="304" spans="1:1" x14ac:dyDescent="0.35">
      <c r="A304" t="str">
        <v>RFC2119</v>
      </c>
    </row>
    <row r="305" spans="1:1" x14ac:dyDescent="0.35">
      <c r="A305" t="str">
        <v>RFC2141</v>
      </c>
    </row>
    <row r="306" spans="1:1" x14ac:dyDescent="0.35">
      <c r="A306" t="str">
        <v>RFC2145</v>
      </c>
    </row>
    <row r="307" spans="1:1" x14ac:dyDescent="0.35">
      <c r="A307" t="str">
        <v>RFC2234</v>
      </c>
    </row>
    <row r="308" spans="1:1" x14ac:dyDescent="0.35">
      <c r="A308" t="str">
        <v>RFC2246</v>
      </c>
    </row>
    <row r="309" spans="1:1" x14ac:dyDescent="0.35">
      <c r="A309" t="str">
        <v>RFC2279</v>
      </c>
    </row>
    <row r="310" spans="1:1" x14ac:dyDescent="0.35">
      <c r="A310" t="str">
        <v>RFC2355</v>
      </c>
    </row>
    <row r="311" spans="1:1" x14ac:dyDescent="0.35">
      <c r="A311" t="str">
        <v>RFC2368</v>
      </c>
    </row>
    <row r="312" spans="1:1" x14ac:dyDescent="0.35">
      <c r="A312" t="str">
        <v>RFC2396</v>
      </c>
    </row>
    <row r="313" spans="1:1" x14ac:dyDescent="0.35">
      <c r="A313" t="str">
        <v>RFC2616</v>
      </c>
    </row>
    <row r="314" spans="1:1" x14ac:dyDescent="0.35">
      <c r="A314" t="str">
        <v>RFC2616</v>
      </c>
    </row>
    <row r="315" spans="1:1" x14ac:dyDescent="0.35">
      <c r="A315" t="str">
        <v>RFC2617</v>
      </c>
    </row>
    <row r="316" spans="1:1" x14ac:dyDescent="0.35">
      <c r="A316" t="str">
        <v>RFC2617</v>
      </c>
    </row>
    <row r="317" spans="1:1" x14ac:dyDescent="0.35">
      <c r="A317" t="str">
        <v>RFC2717</v>
      </c>
    </row>
    <row r="318" spans="1:1" x14ac:dyDescent="0.35">
      <c r="A318" t="str">
        <v>RFC2718</v>
      </c>
    </row>
    <row r="319" spans="1:1" x14ac:dyDescent="0.35">
      <c r="A319" t="str">
        <v>RFC2732</v>
      </c>
    </row>
    <row r="320" spans="1:1" x14ac:dyDescent="0.35">
      <c r="A320" t="str">
        <v>RFC2817</v>
      </c>
    </row>
    <row r="321" spans="1:1" x14ac:dyDescent="0.35">
      <c r="A321" t="str">
        <v>RFC2818</v>
      </c>
    </row>
    <row r="322" spans="1:1" x14ac:dyDescent="0.35">
      <c r="A322" t="str">
        <v>RFC2818</v>
      </c>
    </row>
    <row r="323" spans="1:1" x14ac:dyDescent="0.35">
      <c r="A323" t="str">
        <v>RFC2822</v>
      </c>
    </row>
    <row r="324" spans="1:1" x14ac:dyDescent="0.35">
      <c r="A324" t="str">
        <v>RFC3261</v>
      </c>
    </row>
    <row r="325" spans="1:1" x14ac:dyDescent="0.35">
      <c r="A325" t="str">
        <v>RFC3268</v>
      </c>
    </row>
    <row r="326" spans="1:1" x14ac:dyDescent="0.35">
      <c r="A326" t="str">
        <v>RFC3329</v>
      </c>
    </row>
    <row r="327" spans="1:1" x14ac:dyDescent="0.35">
      <c r="A327" t="str">
        <v>RFC3436</v>
      </c>
    </row>
    <row r="328" spans="1:1" x14ac:dyDescent="0.35">
      <c r="A328" t="str">
        <v>RFC3470</v>
      </c>
    </row>
    <row r="329" spans="1:1" x14ac:dyDescent="0.35">
      <c r="A329" t="str">
        <v>RFC3501</v>
      </c>
    </row>
    <row r="330" spans="1:1" x14ac:dyDescent="0.35">
      <c r="A330" t="str">
        <v>RFC3546</v>
      </c>
    </row>
    <row r="331" spans="1:1" x14ac:dyDescent="0.35">
      <c r="A331" t="str">
        <v>RFC3552</v>
      </c>
    </row>
    <row r="332" spans="1:1" x14ac:dyDescent="0.35">
      <c r="A332" t="str">
        <v>RFC3568</v>
      </c>
    </row>
    <row r="333" spans="1:1" x14ac:dyDescent="0.35">
      <c r="A333" t="str">
        <v>RFC3629</v>
      </c>
    </row>
    <row r="334" spans="1:1" x14ac:dyDescent="0.35">
      <c r="A334" t="str">
        <v>RFC3656</v>
      </c>
    </row>
    <row r="335" spans="1:1" x14ac:dyDescent="0.35">
      <c r="A335" t="str">
        <v>RFC3749</v>
      </c>
    </row>
    <row r="336" spans="1:1" x14ac:dyDescent="0.35">
      <c r="A336" t="str">
        <v>RFC3767</v>
      </c>
    </row>
    <row r="337" spans="1:1" x14ac:dyDescent="0.35">
      <c r="A337" t="str">
        <v>RFC3856</v>
      </c>
    </row>
    <row r="338" spans="1:1" x14ac:dyDescent="0.35">
      <c r="A338" t="str">
        <v>RFC3864</v>
      </c>
    </row>
    <row r="339" spans="1:1" x14ac:dyDescent="0.35">
      <c r="A339" t="str">
        <v>RFC3871</v>
      </c>
    </row>
    <row r="340" spans="1:1" x14ac:dyDescent="0.35">
      <c r="A340" t="str">
        <v>RFC3887</v>
      </c>
    </row>
    <row r="341" spans="1:1" x14ac:dyDescent="0.35">
      <c r="A341" t="str">
        <v>RFC3903</v>
      </c>
    </row>
    <row r="342" spans="1:1" x14ac:dyDescent="0.35">
      <c r="A342" t="str">
        <v>RFC3943</v>
      </c>
    </row>
    <row r="343" spans="1:1" x14ac:dyDescent="0.35">
      <c r="A343" t="str">
        <v>RFC3983</v>
      </c>
    </row>
    <row r="344" spans="1:1" x14ac:dyDescent="0.35">
      <c r="A344" t="str">
        <v>RFC3986</v>
      </c>
    </row>
    <row r="345" spans="1:1" x14ac:dyDescent="0.35">
      <c r="A345" t="str">
        <v>RFC3986</v>
      </c>
    </row>
    <row r="346" spans="1:1" x14ac:dyDescent="0.35">
      <c r="A346" t="str">
        <v>RFC4007</v>
      </c>
    </row>
    <row r="347" spans="1:1" x14ac:dyDescent="0.35">
      <c r="A347" t="str">
        <v>RFC4097</v>
      </c>
    </row>
    <row r="348" spans="1:1" x14ac:dyDescent="0.35">
      <c r="A348" t="str">
        <v>RFC4111</v>
      </c>
    </row>
    <row r="349" spans="1:1" x14ac:dyDescent="0.35">
      <c r="A349" t="str">
        <v>RFC4162</v>
      </c>
    </row>
    <row r="350" spans="1:1" x14ac:dyDescent="0.35">
      <c r="A350" t="str">
        <v>RFC4168</v>
      </c>
    </row>
    <row r="351" spans="1:1" x14ac:dyDescent="0.35">
      <c r="A351" t="str">
        <v>RFC4217</v>
      </c>
    </row>
    <row r="352" spans="1:1" x14ac:dyDescent="0.35">
      <c r="A352" t="str">
        <v>RFC4234</v>
      </c>
    </row>
    <row r="353" spans="1:1" x14ac:dyDescent="0.35">
      <c r="A353" t="str">
        <v>RFC4235</v>
      </c>
    </row>
    <row r="354" spans="1:1" x14ac:dyDescent="0.35">
      <c r="A354" t="str">
        <v>RFC4248</v>
      </c>
    </row>
    <row r="355" spans="1:1" x14ac:dyDescent="0.35">
      <c r="A355" t="str">
        <v>RFC4261</v>
      </c>
    </row>
    <row r="356" spans="1:1" x14ac:dyDescent="0.35">
      <c r="A356" t="str">
        <v>RFC4266</v>
      </c>
    </row>
    <row r="357" spans="1:1" x14ac:dyDescent="0.35">
      <c r="A357" t="str">
        <v>RFC4279</v>
      </c>
    </row>
    <row r="358" spans="1:1" x14ac:dyDescent="0.35">
      <c r="A358" t="str">
        <v>RFC4346</v>
      </c>
    </row>
    <row r="359" spans="1:1" x14ac:dyDescent="0.35">
      <c r="A359" t="str">
        <v>RFC4347</v>
      </c>
    </row>
    <row r="360" spans="1:1" x14ac:dyDescent="0.35">
      <c r="A360" t="str">
        <v>RFC4366</v>
      </c>
    </row>
    <row r="361" spans="1:1" x14ac:dyDescent="0.35">
      <c r="A361" t="str">
        <v>RFC4395</v>
      </c>
    </row>
    <row r="362" spans="1:1" x14ac:dyDescent="0.35">
      <c r="A362" t="str">
        <v>RFC4492</v>
      </c>
    </row>
    <row r="363" spans="1:1" x14ac:dyDescent="0.35">
      <c r="A363" t="str">
        <v>RFC4497</v>
      </c>
    </row>
    <row r="364" spans="1:1" x14ac:dyDescent="0.35">
      <c r="A364" t="str">
        <v>RFC4507</v>
      </c>
    </row>
    <row r="365" spans="1:1" x14ac:dyDescent="0.35">
      <c r="A365" t="str">
        <v>RFC4513</v>
      </c>
    </row>
    <row r="366" spans="1:1" x14ac:dyDescent="0.35">
      <c r="A366" t="str">
        <v>RFC4531</v>
      </c>
    </row>
    <row r="367" spans="1:1" x14ac:dyDescent="0.35">
      <c r="A367" t="str">
        <v>RFC4540</v>
      </c>
    </row>
    <row r="368" spans="1:1" x14ac:dyDescent="0.35">
      <c r="A368" t="str">
        <v>RFC4582</v>
      </c>
    </row>
    <row r="369" spans="1:1" x14ac:dyDescent="0.35">
      <c r="A369" t="str">
        <v>RFC4616</v>
      </c>
    </row>
    <row r="370" spans="1:1" x14ac:dyDescent="0.35">
      <c r="A370" t="str">
        <v>RFC4627</v>
      </c>
    </row>
    <row r="371" spans="1:1" x14ac:dyDescent="0.35">
      <c r="A371" t="str">
        <v>RFC4642</v>
      </c>
    </row>
    <row r="372" spans="1:1" x14ac:dyDescent="0.35">
      <c r="A372" t="str">
        <v>RFC4680</v>
      </c>
    </row>
    <row r="373" spans="1:1" x14ac:dyDescent="0.35">
      <c r="A373" t="str">
        <v>RFC4681</v>
      </c>
    </row>
    <row r="374" spans="1:1" x14ac:dyDescent="0.35">
      <c r="A374" t="str">
        <v>RFC4712</v>
      </c>
    </row>
    <row r="375" spans="1:1" x14ac:dyDescent="0.35">
      <c r="A375" t="str">
        <v>RFC4732</v>
      </c>
    </row>
    <row r="376" spans="1:1" x14ac:dyDescent="0.35">
      <c r="A376" t="str">
        <v>RFC4743</v>
      </c>
    </row>
    <row r="377" spans="1:1" x14ac:dyDescent="0.35">
      <c r="A377" t="str">
        <v>RFC4744</v>
      </c>
    </row>
    <row r="378" spans="1:1" x14ac:dyDescent="0.35">
      <c r="A378" t="str">
        <v>RFC4785</v>
      </c>
    </row>
    <row r="379" spans="1:1" x14ac:dyDescent="0.35">
      <c r="A379" t="str">
        <v>RFC4791</v>
      </c>
    </row>
    <row r="380" spans="1:1" x14ac:dyDescent="0.35">
      <c r="A380" t="str">
        <v>RFC4823</v>
      </c>
    </row>
    <row r="381" spans="1:1" x14ac:dyDescent="0.35">
      <c r="A381" t="str">
        <v>RFC4851</v>
      </c>
    </row>
    <row r="382" spans="1:1" x14ac:dyDescent="0.35">
      <c r="A382" t="str">
        <v>RFC4949</v>
      </c>
    </row>
    <row r="383" spans="1:1" x14ac:dyDescent="0.35">
      <c r="A383" t="str">
        <v>RFC4964</v>
      </c>
    </row>
    <row r="384" spans="1:1" x14ac:dyDescent="0.35">
      <c r="A384" t="str">
        <v>RFC4975</v>
      </c>
    </row>
    <row r="385" spans="1:1" x14ac:dyDescent="0.35">
      <c r="A385" t="str">
        <v>RFC4976</v>
      </c>
    </row>
    <row r="386" spans="1:1" x14ac:dyDescent="0.35">
      <c r="A386" t="str">
        <v>RFC4992</v>
      </c>
    </row>
    <row r="387" spans="1:1" x14ac:dyDescent="0.35">
      <c r="A387" t="str">
        <v>RFC5018</v>
      </c>
    </row>
    <row r="388" spans="1:1" x14ac:dyDescent="0.35">
      <c r="A388" t="str">
        <v>RFC5019</v>
      </c>
    </row>
    <row r="389" spans="1:1" x14ac:dyDescent="0.35">
      <c r="A389" t="str">
        <v>RFC5023</v>
      </c>
    </row>
    <row r="390" spans="1:1" x14ac:dyDescent="0.35">
      <c r="A390" t="str">
        <v>RFC5024</v>
      </c>
    </row>
    <row r="391" spans="1:1" x14ac:dyDescent="0.35">
      <c r="A391" t="str">
        <v>RFC5049</v>
      </c>
    </row>
    <row r="392" spans="1:1" x14ac:dyDescent="0.35">
      <c r="A392" t="str">
        <v>RFC5054</v>
      </c>
    </row>
    <row r="393" spans="1:1" x14ac:dyDescent="0.35">
      <c r="A393" t="str">
        <v>RFC5077</v>
      </c>
    </row>
    <row r="394" spans="1:1" x14ac:dyDescent="0.35">
      <c r="A394" t="str">
        <v>RFC5091</v>
      </c>
    </row>
    <row r="395" spans="1:1" x14ac:dyDescent="0.35">
      <c r="A395" t="str">
        <v>RFC5158</v>
      </c>
    </row>
    <row r="396" spans="1:1" x14ac:dyDescent="0.35">
      <c r="A396" t="str">
        <v>RFC5216</v>
      </c>
    </row>
    <row r="397" spans="1:1" x14ac:dyDescent="0.35">
      <c r="A397" t="str">
        <v>RFC5226</v>
      </c>
    </row>
    <row r="398" spans="1:1" x14ac:dyDescent="0.35">
      <c r="A398" t="str">
        <v>RFC5234</v>
      </c>
    </row>
    <row r="399" spans="1:1" x14ac:dyDescent="0.35">
      <c r="A399" t="str">
        <v>RFC5234</v>
      </c>
    </row>
    <row r="400" spans="1:1" x14ac:dyDescent="0.35">
      <c r="A400" t="str">
        <v>RFC5238</v>
      </c>
    </row>
    <row r="401" spans="1:1" x14ac:dyDescent="0.35">
      <c r="A401" t="str">
        <v>RFC5246</v>
      </c>
    </row>
    <row r="402" spans="1:1" x14ac:dyDescent="0.35">
      <c r="A402" t="str">
        <v>RFC5246</v>
      </c>
    </row>
    <row r="403" spans="1:1" x14ac:dyDescent="0.35">
      <c r="A403" t="str">
        <v>RFC5263</v>
      </c>
    </row>
    <row r="404" spans="1:1" x14ac:dyDescent="0.35">
      <c r="A404" t="str">
        <v>RFC5280</v>
      </c>
    </row>
    <row r="405" spans="1:1" x14ac:dyDescent="0.35">
      <c r="A405" t="str">
        <v>RFC5281</v>
      </c>
    </row>
    <row r="406" spans="1:1" x14ac:dyDescent="0.35">
      <c r="A406" t="str">
        <v>RFC5288</v>
      </c>
    </row>
    <row r="407" spans="1:1" x14ac:dyDescent="0.35">
      <c r="A407" t="str">
        <v>RFC5322</v>
      </c>
    </row>
    <row r="408" spans="1:1" x14ac:dyDescent="0.35">
      <c r="A408" t="str">
        <v>RFC5364</v>
      </c>
    </row>
    <row r="409" spans="1:1" x14ac:dyDescent="0.35">
      <c r="A409" t="str">
        <v>RFC5415</v>
      </c>
    </row>
    <row r="410" spans="1:1" x14ac:dyDescent="0.35">
      <c r="A410" t="str">
        <v>RFC5422</v>
      </c>
    </row>
    <row r="411" spans="1:1" x14ac:dyDescent="0.35">
      <c r="A411" t="str">
        <v>RFC5456</v>
      </c>
    </row>
    <row r="412" spans="1:1" x14ac:dyDescent="0.35">
      <c r="A412" t="str">
        <v>RFC5469</v>
      </c>
    </row>
    <row r="413" spans="1:1" x14ac:dyDescent="0.35">
      <c r="A413" t="str">
        <v>RFC5705</v>
      </c>
    </row>
    <row r="414" spans="1:1" x14ac:dyDescent="0.35">
      <c r="A414" t="str">
        <v>RFC5734</v>
      </c>
    </row>
    <row r="415" spans="1:1" x14ac:dyDescent="0.35">
      <c r="A415" t="str">
        <v>RFC5746</v>
      </c>
    </row>
    <row r="416" spans="1:1" x14ac:dyDescent="0.35">
      <c r="A416" t="str">
        <v>RFC5785</v>
      </c>
    </row>
    <row r="417" spans="1:1" x14ac:dyDescent="0.35">
      <c r="A417" t="str">
        <v>RFC5849</v>
      </c>
    </row>
    <row r="418" spans="1:1" x14ac:dyDescent="0.35">
      <c r="A418" t="str">
        <v>RFC5878</v>
      </c>
    </row>
    <row r="419" spans="1:1" x14ac:dyDescent="0.35">
      <c r="A419" t="str">
        <v>RFC5953</v>
      </c>
    </row>
    <row r="420" spans="1:1" x14ac:dyDescent="0.35">
      <c r="A420" t="str">
        <v>RFC6012</v>
      </c>
    </row>
    <row r="421" spans="1:1" x14ac:dyDescent="0.35">
      <c r="A421" t="str">
        <v>RFC6042</v>
      </c>
    </row>
    <row r="422" spans="1:1" x14ac:dyDescent="0.35">
      <c r="A422" t="str">
        <v>RFC6066</v>
      </c>
    </row>
    <row r="423" spans="1:1" x14ac:dyDescent="0.35">
      <c r="A423" t="str">
        <v>RFC6068</v>
      </c>
    </row>
    <row r="424" spans="1:1" x14ac:dyDescent="0.35">
      <c r="A424" t="str">
        <v>RFC6083</v>
      </c>
    </row>
    <row r="425" spans="1:1" x14ac:dyDescent="0.35">
      <c r="A425" t="str">
        <v>RFC6084</v>
      </c>
    </row>
    <row r="426" spans="1:1" x14ac:dyDescent="0.35">
      <c r="A426" t="str">
        <v>RFC6101</v>
      </c>
    </row>
    <row r="427" spans="1:1" x14ac:dyDescent="0.35">
      <c r="A427" t="str">
        <v>RFC6125</v>
      </c>
    </row>
    <row r="428" spans="1:1" x14ac:dyDescent="0.35">
      <c r="A428" t="str">
        <v>RFC6176</v>
      </c>
    </row>
    <row r="429" spans="1:1" x14ac:dyDescent="0.35">
      <c r="A429" t="str">
        <v>RFC6196</v>
      </c>
    </row>
    <row r="430" spans="1:1" x14ac:dyDescent="0.35">
      <c r="A430" t="str">
        <v>RFC6196</v>
      </c>
    </row>
    <row r="431" spans="1:1" x14ac:dyDescent="0.35">
      <c r="A431" t="str">
        <v>RFC6265</v>
      </c>
    </row>
    <row r="432" spans="1:1" x14ac:dyDescent="0.35">
      <c r="A432" t="str">
        <v>RFC6266</v>
      </c>
    </row>
    <row r="433" spans="1:1" x14ac:dyDescent="0.35">
      <c r="A433" t="str">
        <v>RFC6270</v>
      </c>
    </row>
    <row r="434" spans="1:1" x14ac:dyDescent="0.35">
      <c r="A434" t="str">
        <v>RFC6270</v>
      </c>
    </row>
    <row r="435" spans="1:1" x14ac:dyDescent="0.35">
      <c r="A435" t="str">
        <v>RFC6347</v>
      </c>
    </row>
    <row r="436" spans="1:1" x14ac:dyDescent="0.35">
      <c r="A436" t="str">
        <v>RFC6353</v>
      </c>
    </row>
    <row r="437" spans="1:1" x14ac:dyDescent="0.35">
      <c r="A437" t="str">
        <v>RFC6367</v>
      </c>
    </row>
    <row r="438" spans="1:1" x14ac:dyDescent="0.35">
      <c r="A438" t="str">
        <v>RFC6460</v>
      </c>
    </row>
    <row r="439" spans="1:1" x14ac:dyDescent="0.35">
      <c r="A439" t="str">
        <v>RFC6520</v>
      </c>
    </row>
    <row r="440" spans="1:1" x14ac:dyDescent="0.35">
      <c r="A440" t="str">
        <v>RFC6585</v>
      </c>
    </row>
    <row r="441" spans="1:1" x14ac:dyDescent="0.35">
      <c r="A441" t="str">
        <v>RFC6614</v>
      </c>
    </row>
    <row r="442" spans="1:1" x14ac:dyDescent="0.35">
      <c r="A442" t="str">
        <v>RFC6739</v>
      </c>
    </row>
    <row r="443" spans="1:1" x14ac:dyDescent="0.35">
      <c r="A443" t="str">
        <v>RFC6749</v>
      </c>
    </row>
    <row r="444" spans="1:1" x14ac:dyDescent="0.35">
      <c r="A444" t="str">
        <v>RFC6750</v>
      </c>
    </row>
    <row r="445" spans="1:1" x14ac:dyDescent="0.35">
      <c r="A445" t="str">
        <v>RFC6819</v>
      </c>
    </row>
    <row r="446" spans="1:1" x14ac:dyDescent="0.35">
      <c r="A446" t="str">
        <v>RFC6874</v>
      </c>
    </row>
    <row r="447" spans="1:1" x14ac:dyDescent="0.35">
      <c r="A447" t="str">
        <v>RFC6961</v>
      </c>
    </row>
    <row r="448" spans="1:1" x14ac:dyDescent="0.35">
      <c r="A448" t="str">
        <v>RFC7027</v>
      </c>
    </row>
    <row r="449" spans="1:1" x14ac:dyDescent="0.35">
      <c r="A449" t="str">
        <v>RFC7030</v>
      </c>
    </row>
    <row r="450" spans="1:1" x14ac:dyDescent="0.35">
      <c r="A450" t="str">
        <v>RFC7230</v>
      </c>
    </row>
    <row r="451" spans="1:1" x14ac:dyDescent="0.35">
      <c r="A451" t="str">
        <v>RFC7231</v>
      </c>
    </row>
    <row r="452" spans="1:1" x14ac:dyDescent="0.35">
      <c r="A452" t="str">
        <v>RFC7232</v>
      </c>
    </row>
    <row r="453" spans="1:1" x14ac:dyDescent="0.35">
      <c r="A453" t="str">
        <v>RFC7233</v>
      </c>
    </row>
    <row r="454" spans="1:1" x14ac:dyDescent="0.35">
      <c r="A454" t="str">
        <v>RFC7234</v>
      </c>
    </row>
    <row r="455" spans="1:1" x14ac:dyDescent="0.35">
      <c r="A455" t="str">
        <v>RFC7235</v>
      </c>
    </row>
    <row r="456" spans="1:1" x14ac:dyDescent="0.35">
      <c r="A456" t="str">
        <v>RFC7235</v>
      </c>
    </row>
    <row r="457" spans="1:1" x14ac:dyDescent="0.35">
      <c r="A457" t="str">
        <v>RFC7236</v>
      </c>
    </row>
    <row r="458" spans="1:1" x14ac:dyDescent="0.35">
      <c r="A458" t="str">
        <v>RFC7237</v>
      </c>
    </row>
    <row r="459" spans="1:1" x14ac:dyDescent="0.35">
      <c r="A459" t="str">
        <v>RFC7238</v>
      </c>
    </row>
    <row r="460" spans="1:1" x14ac:dyDescent="0.35">
      <c r="A460" t="str">
        <v>RFC724</v>
      </c>
    </row>
    <row r="461" spans="1:1" x14ac:dyDescent="0.35">
      <c r="A461" t="str">
        <v>RFC7301</v>
      </c>
    </row>
    <row r="462" spans="1:1" x14ac:dyDescent="0.35">
      <c r="A462" t="str">
        <v>RFC7320</v>
      </c>
    </row>
    <row r="463" spans="1:1" x14ac:dyDescent="0.35">
      <c r="A463" t="str">
        <v>RFC733</v>
      </c>
    </row>
    <row r="464" spans="1:1" x14ac:dyDescent="0.35">
      <c r="A464" t="str">
        <v>RFC7405</v>
      </c>
    </row>
    <row r="465" spans="1:1" x14ac:dyDescent="0.35">
      <c r="A465" t="str">
        <v>RFC7465</v>
      </c>
    </row>
    <row r="466" spans="1:1" x14ac:dyDescent="0.35">
      <c r="A466" t="str">
        <v>RFC7507</v>
      </c>
    </row>
    <row r="467" spans="1:1" x14ac:dyDescent="0.35">
      <c r="A467" t="str">
        <v>RFC7515</v>
      </c>
    </row>
    <row r="468" spans="1:1" x14ac:dyDescent="0.35">
      <c r="A468" t="str">
        <v>RFC7516</v>
      </c>
    </row>
    <row r="469" spans="1:1" x14ac:dyDescent="0.35">
      <c r="A469" t="str">
        <v>RFC7517</v>
      </c>
    </row>
    <row r="470" spans="1:1" x14ac:dyDescent="0.35">
      <c r="A470" t="str">
        <v>RFC7518</v>
      </c>
    </row>
    <row r="471" spans="1:1" x14ac:dyDescent="0.35">
      <c r="A471" t="str">
        <v>RFC7519</v>
      </c>
    </row>
    <row r="472" spans="1:1" x14ac:dyDescent="0.35">
      <c r="A472" t="str">
        <v>RFC7522</v>
      </c>
    </row>
    <row r="473" spans="1:1" x14ac:dyDescent="0.35">
      <c r="A473" t="str">
        <v>RFC7525</v>
      </c>
    </row>
    <row r="474" spans="1:1" x14ac:dyDescent="0.35">
      <c r="A474" t="str">
        <v>RFC7538</v>
      </c>
    </row>
    <row r="475" spans="1:1" x14ac:dyDescent="0.35">
      <c r="A475" t="str">
        <v>RFC7540</v>
      </c>
    </row>
    <row r="476" spans="1:1" x14ac:dyDescent="0.35">
      <c r="A476" t="str">
        <v>RFC7562</v>
      </c>
    </row>
    <row r="477" spans="1:1" x14ac:dyDescent="0.35">
      <c r="A477" t="str">
        <v>RFC7568</v>
      </c>
    </row>
    <row r="478" spans="1:1" x14ac:dyDescent="0.35">
      <c r="A478" t="str">
        <v>RFC7595</v>
      </c>
    </row>
    <row r="479" spans="1:1" x14ac:dyDescent="0.35">
      <c r="A479" t="str">
        <v>RFC7615</v>
      </c>
    </row>
    <row r="480" spans="1:1" x14ac:dyDescent="0.35">
      <c r="A480" t="str">
        <v>RFC7616</v>
      </c>
    </row>
    <row r="481" spans="1:1" x14ac:dyDescent="0.35">
      <c r="A481" t="str">
        <v>RFC7617</v>
      </c>
    </row>
    <row r="482" spans="1:1" x14ac:dyDescent="0.35">
      <c r="A482" t="str">
        <v>RFC7622</v>
      </c>
    </row>
    <row r="483" spans="1:1" x14ac:dyDescent="0.35">
      <c r="A483" t="str">
        <v>RFC7627</v>
      </c>
    </row>
    <row r="484" spans="1:1" x14ac:dyDescent="0.35">
      <c r="A484" t="str">
        <v>RFC7685</v>
      </c>
    </row>
    <row r="485" spans="1:1" x14ac:dyDescent="0.35">
      <c r="A485" t="str">
        <v>RFC7694</v>
      </c>
    </row>
    <row r="486" spans="1:1" x14ac:dyDescent="0.35">
      <c r="A486" t="str">
        <v>RFC7905</v>
      </c>
    </row>
    <row r="487" spans="1:1" x14ac:dyDescent="0.35">
      <c r="A487" t="str">
        <v>RFC7919</v>
      </c>
    </row>
    <row r="488" spans="1:1" x14ac:dyDescent="0.35">
      <c r="A488" t="str">
        <v>RFC8089</v>
      </c>
    </row>
    <row r="489" spans="1:1" x14ac:dyDescent="0.35">
      <c r="A489" t="str">
        <v>RFC8089</v>
      </c>
    </row>
    <row r="490" spans="1:1" x14ac:dyDescent="0.35">
      <c r="A490" t="str">
        <v>RFC8174</v>
      </c>
    </row>
    <row r="491" spans="1:1" x14ac:dyDescent="0.35">
      <c r="A491" t="str">
        <v>RFC822</v>
      </c>
    </row>
    <row r="492" spans="1:1" x14ac:dyDescent="0.35">
      <c r="A492" t="str">
        <v>RFC8252</v>
      </c>
    </row>
    <row r="493" spans="1:1" x14ac:dyDescent="0.35">
      <c r="A493" t="str">
        <v>RFC8261</v>
      </c>
    </row>
    <row r="494" spans="1:1" x14ac:dyDescent="0.35">
      <c r="A494" t="str">
        <v>RFC8422</v>
      </c>
    </row>
    <row r="495" spans="1:1" x14ac:dyDescent="0.35">
      <c r="A495" t="str">
        <v>RFC8446</v>
      </c>
    </row>
    <row r="496" spans="1:1" x14ac:dyDescent="0.35">
      <c r="A496" t="str">
        <v>RFC8447</v>
      </c>
    </row>
    <row r="497" spans="1:1" x14ac:dyDescent="0.35">
      <c r="A497" t="str">
        <v>RFC8449</v>
      </c>
    </row>
    <row r="498" spans="1:1" x14ac:dyDescent="0.35">
      <c r="A498" t="str">
        <v>RFC8615</v>
      </c>
    </row>
    <row r="499" spans="1:1" x14ac:dyDescent="0.35">
      <c r="A499" t="str">
        <v>RFC8740</v>
      </c>
    </row>
    <row r="500" spans="1:1" x14ac:dyDescent="0.35">
      <c r="A500" t="str">
        <v>RFC8820</v>
      </c>
    </row>
    <row r="501" spans="1:1" x14ac:dyDescent="0.35">
      <c r="A501" t="str">
        <v>RFC8996</v>
      </c>
    </row>
    <row r="502" spans="1:1" x14ac:dyDescent="0.35">
      <c r="A502" t="str">
        <v>RFC9110</v>
      </c>
    </row>
    <row r="503" spans="1:1" x14ac:dyDescent="0.35">
      <c r="A503" t="str">
        <v>RFC9111</v>
      </c>
    </row>
    <row r="504" spans="1:1" x14ac:dyDescent="0.35">
      <c r="A504" t="str">
        <v>RFC9112</v>
      </c>
    </row>
    <row r="505" spans="1:1" x14ac:dyDescent="0.35">
      <c r="A505" t="str">
        <v>RFC9113</v>
      </c>
    </row>
    <row r="506" spans="1:1" x14ac:dyDescent="0.35">
      <c r="A506" t="str">
        <v>RFC9114</v>
      </c>
    </row>
    <row r="507" spans="1:1" x14ac:dyDescent="0.35">
      <c r="A507" t="str">
        <v>RFC9146</v>
      </c>
    </row>
    <row r="508" spans="1:1" x14ac:dyDescent="0.35">
      <c r="A508" t="str">
        <v>RFC9147</v>
      </c>
    </row>
    <row r="509" spans="1:1" x14ac:dyDescent="0.35">
      <c r="A509" t="str">
        <v>RFC9155</v>
      </c>
    </row>
    <row r="510" spans="1:1" x14ac:dyDescent="0.35">
      <c r="A510" t="str">
        <v>RFC9325</v>
      </c>
    </row>
    <row r="511" spans="1:1" x14ac:dyDescent="0.35">
      <c r="A511" t="str">
        <v>RFC9700</v>
      </c>
    </row>
    <row r="512" spans="1:1" x14ac:dyDescent="0.35">
      <c r="A512" t="str">
        <v>RFC9844</v>
      </c>
    </row>
    <row r="513" spans="1:1" x14ac:dyDescent="0.35">
      <c r="A513" t="str">
        <v>STD66</v>
      </c>
    </row>
    <row r="514" spans="1:1" x14ac:dyDescent="0.35">
      <c r="A514" t="str">
        <v>STD68</v>
      </c>
    </row>
    <row r="515" spans="1:1" x14ac:dyDescent="0.35">
      <c r="A515" t="str">
        <v>Unicode 1.0</v>
      </c>
    </row>
    <row r="516" spans="1:1" x14ac:dyDescent="0.35">
      <c r="A516" t="str">
        <v>Unicode 1.0.1</v>
      </c>
    </row>
    <row r="517" spans="1:1" x14ac:dyDescent="0.35">
      <c r="A517" t="str">
        <v>Unicode 1.1</v>
      </c>
    </row>
    <row r="518" spans="1:1" x14ac:dyDescent="0.35">
      <c r="A518" t="str">
        <v>Unicode 10.0</v>
      </c>
    </row>
    <row r="519" spans="1:1" x14ac:dyDescent="0.35">
      <c r="A519" t="str">
        <v>Unicode 11.0</v>
      </c>
    </row>
    <row r="520" spans="1:1" x14ac:dyDescent="0.35">
      <c r="A520" t="str">
        <v>Unicode 12.0</v>
      </c>
    </row>
    <row r="521" spans="1:1" x14ac:dyDescent="0.35">
      <c r="A521" t="str">
        <v>Unicode 12.1</v>
      </c>
    </row>
    <row r="522" spans="1:1" x14ac:dyDescent="0.35">
      <c r="A522" t="str">
        <v>Unicode 13.0</v>
      </c>
    </row>
    <row r="523" spans="1:1" x14ac:dyDescent="0.35">
      <c r="A523" t="str">
        <v>Unicode 14.0</v>
      </c>
    </row>
    <row r="524" spans="1:1" x14ac:dyDescent="0.35">
      <c r="A524" t="str">
        <v>Unicode 15.0</v>
      </c>
    </row>
    <row r="525" spans="1:1" x14ac:dyDescent="0.35">
      <c r="A525" t="str">
        <v>Unicode 15.1</v>
      </c>
    </row>
    <row r="526" spans="1:1" x14ac:dyDescent="0.35">
      <c r="A526" t="str">
        <v>Unicode 16.0</v>
      </c>
    </row>
    <row r="527" spans="1:1" x14ac:dyDescent="0.35">
      <c r="A527" t="str">
        <v>Unicode 17.0</v>
      </c>
    </row>
    <row r="528" spans="1:1" x14ac:dyDescent="0.35">
      <c r="A528" t="str">
        <v>Unicode 2.0</v>
      </c>
    </row>
    <row r="529" spans="1:1" x14ac:dyDescent="0.35">
      <c r="A529" t="str">
        <v>Unicode 2.1</v>
      </c>
    </row>
    <row r="530" spans="1:1" x14ac:dyDescent="0.35">
      <c r="A530" t="str">
        <v>Unicode 3.0</v>
      </c>
    </row>
    <row r="531" spans="1:1" x14ac:dyDescent="0.35">
      <c r="A531" t="str">
        <v>Unicode 3.1</v>
      </c>
    </row>
    <row r="532" spans="1:1" x14ac:dyDescent="0.35">
      <c r="A532" t="str">
        <v>Unicode 3.2</v>
      </c>
    </row>
    <row r="533" spans="1:1" x14ac:dyDescent="0.35">
      <c r="A533" t="str">
        <v>Unicode 4.0</v>
      </c>
    </row>
    <row r="534" spans="1:1" x14ac:dyDescent="0.35">
      <c r="A534" t="str">
        <v>Unicode 4.1</v>
      </c>
    </row>
    <row r="535" spans="1:1" x14ac:dyDescent="0.35">
      <c r="A535" t="str">
        <v>Unicode 5.0</v>
      </c>
    </row>
    <row r="536" spans="1:1" x14ac:dyDescent="0.35">
      <c r="A536" t="str">
        <v>Unicode 5.1</v>
      </c>
    </row>
    <row r="537" spans="1:1" x14ac:dyDescent="0.35">
      <c r="A537" t="str">
        <v>Unicode 5.2</v>
      </c>
    </row>
    <row r="538" spans="1:1" x14ac:dyDescent="0.35">
      <c r="A538" t="str">
        <v>Unicode 6.0</v>
      </c>
    </row>
    <row r="539" spans="1:1" x14ac:dyDescent="0.35">
      <c r="A539" t="str">
        <v>Unicode 6.1</v>
      </c>
    </row>
    <row r="540" spans="1:1" x14ac:dyDescent="0.35">
      <c r="A540" t="str">
        <v>Unicode 6.2</v>
      </c>
    </row>
    <row r="541" spans="1:1" x14ac:dyDescent="0.35">
      <c r="A541" t="str">
        <v>Unicode 6.3</v>
      </c>
    </row>
    <row r="542" spans="1:1" x14ac:dyDescent="0.35">
      <c r="A542" t="str">
        <v>Unicode 7.0</v>
      </c>
    </row>
    <row r="543" spans="1:1" x14ac:dyDescent="0.35">
      <c r="A543" t="str">
        <v>Unicode 8.0</v>
      </c>
    </row>
    <row r="544" spans="1:1" x14ac:dyDescent="0.35">
      <c r="A544" t="str">
        <v>Unicode 9.0</v>
      </c>
    </row>
    <row r="545" spans="1:1" x14ac:dyDescent="0.35">
      <c r="A545" t="str">
        <v>USASCII</v>
      </c>
    </row>
    <row r="546" spans="1:1" x14ac:dyDescent="0.35">
      <c r="A546" t="str">
        <v>US-ASCII [ANSI INCITS 4-1986 (R2002)]</v>
      </c>
    </row>
    <row r="547" spans="1:1" x14ac:dyDescent="0.35">
      <c r="A547" t="str">
        <v>US-ASCII [ANSI INCITS 4-1986 (R2007)]</v>
      </c>
    </row>
    <row r="548" spans="1:1" x14ac:dyDescent="0.35">
      <c r="A548" t="str">
        <v>US-ASCII [ANSI X3.4-1977]</v>
      </c>
    </row>
    <row r="549" spans="1:1" x14ac:dyDescent="0.35">
      <c r="A549" t="str">
        <v>US-ASCII [ANSI X3.4-1986 (R1992)]</v>
      </c>
    </row>
    <row r="550" spans="1:1" x14ac:dyDescent="0.35">
      <c r="A550" t="str">
        <v>US-ASCII [ANSI X3.4-1986 (R1997)]</v>
      </c>
    </row>
    <row r="551" spans="1:1" x14ac:dyDescent="0.35">
      <c r="A551" t="str">
        <v>US-ASCII [ANSI X3.4-1986]</v>
      </c>
    </row>
    <row r="552" spans="1:1" x14ac:dyDescent="0.35">
      <c r="A552" t="str">
        <v>US-ASCII [ASA X3.4-1963]</v>
      </c>
    </row>
    <row r="553" spans="1:1" x14ac:dyDescent="0.35">
      <c r="A553" t="str">
        <v>US-ASCII [ASA X3.4-1965]</v>
      </c>
    </row>
    <row r="554" spans="1:1" x14ac:dyDescent="0.35">
      <c r="A554" t="str">
        <v>US-ASCII [INCITS 4-1986 (R2012)]</v>
      </c>
    </row>
    <row r="555" spans="1:1" x14ac:dyDescent="0.35">
      <c r="A555" t="str">
        <v>US-ASCII [INCITS 4-1986 (R2017)]</v>
      </c>
    </row>
    <row r="556" spans="1:1" x14ac:dyDescent="0.35">
      <c r="A556" t="str">
        <v>US-ASCII [INCITS 4-1986 (R2022)]</v>
      </c>
    </row>
    <row r="557" spans="1:1" x14ac:dyDescent="0.35">
      <c r="A557" t="str">
        <v>US-ASCII [USAS X3.4-1967]</v>
      </c>
    </row>
    <row r="558" spans="1:1" x14ac:dyDescent="0.35">
      <c r="A558" t="str">
        <v>US-ASCII [USAS X3.4-1968]</v>
      </c>
    </row>
    <row r="559" spans="1:1" x14ac:dyDescent="0.35">
      <c r="A559" t="str">
        <v>W3C HTTP/0.9</v>
      </c>
    </row>
    <row r="560" spans="1:1" x14ac:dyDescent="0.35">
      <c r="A560" t="str">
        <v>W3C.REC-html401-19991224</v>
      </c>
    </row>
    <row r="561" spans="1:1" x14ac:dyDescent="0.35">
      <c r="A561" t="str">
        <v>W3C.REC-webarch-20041215</v>
      </c>
    </row>
    <row r="562" spans="1:1" x14ac:dyDescent="0.35">
      <c r="A562" t="str">
        <v>W3C.REC-xml-20081126</v>
      </c>
    </row>
    <row r="563" spans="1:1" x14ac:dyDescent="0.35">
      <c r="A563" t="str">
        <v>X/Open FSS UTF</v>
      </c>
    </row>
    <row r="564" spans="1:1" x14ac:dyDescent="0.35">
      <c r="A564" t="str">
        <v>Yadis-1.0</v>
      </c>
    </row>
    <row r="565" spans="1:1" x14ac:dyDescent="0.35">
      <c r="A565">
        <v>0</v>
      </c>
    </row>
    <row r="566" spans="1:1" x14ac:dyDescent="0.35">
      <c r="A566">
        <v>0</v>
      </c>
    </row>
    <row r="567" spans="1:1" x14ac:dyDescent="0.35">
      <c r="A567">
        <v>0</v>
      </c>
    </row>
    <row r="568" spans="1:1" x14ac:dyDescent="0.35">
      <c r="A568">
        <v>0</v>
      </c>
    </row>
    <row r="569" spans="1:1" x14ac:dyDescent="0.35">
      <c r="A569">
        <v>0</v>
      </c>
    </row>
    <row r="570" spans="1:1" x14ac:dyDescent="0.35">
      <c r="A570">
        <v>0</v>
      </c>
    </row>
    <row r="571" spans="1:1" x14ac:dyDescent="0.35">
      <c r="A571">
        <v>0</v>
      </c>
    </row>
    <row r="572" spans="1:1" x14ac:dyDescent="0.35">
      <c r="A572">
        <v>0</v>
      </c>
    </row>
    <row r="573" spans="1:1" x14ac:dyDescent="0.35">
      <c r="A573">
        <v>0</v>
      </c>
    </row>
    <row r="574" spans="1:1" x14ac:dyDescent="0.35">
      <c r="A574">
        <v>0</v>
      </c>
    </row>
    <row r="575" spans="1:1" x14ac:dyDescent="0.35">
      <c r="A575">
        <v>0</v>
      </c>
    </row>
    <row r="576" spans="1:1" x14ac:dyDescent="0.35">
      <c r="A576">
        <v>0</v>
      </c>
    </row>
    <row r="577" spans="1:1" x14ac:dyDescent="0.35">
      <c r="A577">
        <v>0</v>
      </c>
    </row>
    <row r="578" spans="1:1" x14ac:dyDescent="0.35">
      <c r="A578">
        <v>0</v>
      </c>
    </row>
    <row r="579" spans="1:1" x14ac:dyDescent="0.35">
      <c r="A579">
        <v>0</v>
      </c>
    </row>
    <row r="580" spans="1:1" x14ac:dyDescent="0.35">
      <c r="A580">
        <v>0</v>
      </c>
    </row>
    <row r="581" spans="1:1" x14ac:dyDescent="0.35">
      <c r="A581">
        <v>0</v>
      </c>
    </row>
    <row r="582" spans="1:1" x14ac:dyDescent="0.35">
      <c r="A582">
        <v>0</v>
      </c>
    </row>
    <row r="583" spans="1:1" x14ac:dyDescent="0.35">
      <c r="A583">
        <v>0</v>
      </c>
    </row>
    <row r="584" spans="1:1" x14ac:dyDescent="0.35">
      <c r="A584">
        <v>0</v>
      </c>
    </row>
    <row r="585" spans="1:1" x14ac:dyDescent="0.35">
      <c r="A585">
        <v>0</v>
      </c>
    </row>
    <row r="586" spans="1:1" x14ac:dyDescent="0.35">
      <c r="A586">
        <v>0</v>
      </c>
    </row>
    <row r="587" spans="1:1" x14ac:dyDescent="0.35">
      <c r="A587">
        <v>0</v>
      </c>
    </row>
    <row r="588" spans="1:1" x14ac:dyDescent="0.35">
      <c r="A588">
        <v>0</v>
      </c>
    </row>
    <row r="589" spans="1:1" x14ac:dyDescent="0.35">
      <c r="A589">
        <v>0</v>
      </c>
    </row>
    <row r="590" spans="1:1" x14ac:dyDescent="0.35">
      <c r="A590">
        <v>0</v>
      </c>
    </row>
    <row r="591" spans="1:1" x14ac:dyDescent="0.35">
      <c r="A591">
        <v>0</v>
      </c>
    </row>
    <row r="592" spans="1:1" x14ac:dyDescent="0.35">
      <c r="A592">
        <v>0</v>
      </c>
    </row>
    <row r="593" spans="1:1" x14ac:dyDescent="0.35">
      <c r="A593">
        <v>0</v>
      </c>
    </row>
    <row r="594" spans="1:1" x14ac:dyDescent="0.35">
      <c r="A594">
        <v>0</v>
      </c>
    </row>
    <row r="595" spans="1:1" x14ac:dyDescent="0.35">
      <c r="A595" t="str">
        <v>---- AuthorityDraft ----</v>
      </c>
    </row>
    <row r="596" spans="1:1" x14ac:dyDescent="0.35">
      <c r="A596" t="str">
        <v>draft-hardt-oauth</v>
      </c>
    </row>
    <row r="597" spans="1:1" x14ac:dyDescent="0.35">
      <c r="A597" t="str">
        <v>draft-hickman-netscape-ssl</v>
      </c>
    </row>
    <row r="598" spans="1:1" x14ac:dyDescent="0.35">
      <c r="A598" t="str">
        <v>draft-ietf-httpbis-p7-auth</v>
      </c>
    </row>
    <row r="599" spans="1:1" x14ac:dyDescent="0.35">
      <c r="A599" t="str">
        <v>draft-ietf-jose-json-web-algorithms</v>
      </c>
    </row>
    <row r="600" spans="1:1" x14ac:dyDescent="0.35">
      <c r="A600" t="str">
        <v>draft-ietf-jose-json-web-encryption</v>
      </c>
    </row>
    <row r="601" spans="1:1" x14ac:dyDescent="0.35">
      <c r="A601" t="str">
        <v>draft-ietf-jose-json-web-key</v>
      </c>
    </row>
    <row r="602" spans="1:1" x14ac:dyDescent="0.35">
      <c r="A602" t="str">
        <v>draft-ietf-jose-json-web-signature</v>
      </c>
    </row>
    <row r="603" spans="1:1" x14ac:dyDescent="0.35">
      <c r="A603" t="str">
        <v>draft-ietf-oauth-json-web-token</v>
      </c>
    </row>
    <row r="604" spans="1:1" x14ac:dyDescent="0.35">
      <c r="A604" t="str">
        <v>draft-ietf-oauth-saml2-bearer</v>
      </c>
    </row>
    <row r="605" spans="1:1" x14ac:dyDescent="0.35">
      <c r="A605" t="str">
        <v>draft-ietf-oauth-v2</v>
      </c>
    </row>
    <row r="606" spans="1:1" x14ac:dyDescent="0.35">
      <c r="A606" t="str">
        <v>draft-ietf-oauth-v2-http-mac</v>
      </c>
    </row>
    <row r="607" spans="1:1" x14ac:dyDescent="0.35">
      <c r="A607" t="str">
        <v>draft-ietf-oauth-v2-threatmodel</v>
      </c>
    </row>
    <row r="608" spans="1:1" x14ac:dyDescent="0.35">
      <c r="A608" t="str">
        <v>draft-jones-simple-web-discovery</v>
      </c>
    </row>
    <row r="609" spans="1:1" x14ac:dyDescent="0.35">
      <c r="A609" t="str">
        <v>draft-recordon-oauth-v2-device</v>
      </c>
    </row>
    <row r="610" spans="1:1" x14ac:dyDescent="0.35">
      <c r="A610" t="str">
        <v>fapi-attacker-model-2_0</v>
      </c>
    </row>
    <row r="611" spans="1:1" x14ac:dyDescent="0.35">
      <c r="A611" t="str">
        <v>fapi-security-profile-2_0</v>
      </c>
    </row>
    <row r="612" spans="1:1" x14ac:dyDescent="0.35">
      <c r="A612" t="str">
        <v>oauth-v2-form-post-response-mode-1_0</v>
      </c>
    </row>
    <row r="613" spans="1:1" x14ac:dyDescent="0.35">
      <c r="A613" t="str">
        <v>oauth-v2-jarm</v>
      </c>
    </row>
    <row r="614" spans="1:1" x14ac:dyDescent="0.35">
      <c r="A614" t="str">
        <v>oauth-v2-multiple-response-types-1_0</v>
      </c>
    </row>
    <row r="615" spans="1:1" x14ac:dyDescent="0.35">
      <c r="A615" t="str">
        <v>openid-attribute-exchange-1_0</v>
      </c>
    </row>
    <row r="616" spans="1:1" x14ac:dyDescent="0.35">
      <c r="A616" t="str">
        <v>openid-authentication-2_0</v>
      </c>
    </row>
    <row r="617" spans="1:1" x14ac:dyDescent="0.35">
      <c r="A617" t="str">
        <v>openid-ciba-core-1_0</v>
      </c>
    </row>
    <row r="618" spans="1:1" x14ac:dyDescent="0.35">
      <c r="A618" t="str">
        <v>openid-connect-backchannel-1_0</v>
      </c>
    </row>
    <row r="619" spans="1:1" x14ac:dyDescent="0.35">
      <c r="A619" t="str">
        <v>openid-connect-core-1_0</v>
      </c>
    </row>
    <row r="620" spans="1:1" x14ac:dyDescent="0.35">
      <c r="A620" t="str">
        <v>openid-connect-discovery-1_0</v>
      </c>
    </row>
    <row r="621" spans="1:1" x14ac:dyDescent="0.35">
      <c r="A621" t="str">
        <v>openid-connect-frontchannel-1_0</v>
      </c>
    </row>
    <row r="622" spans="1:1" x14ac:dyDescent="0.35">
      <c r="A622" t="str">
        <v>openid-connect-messages-1_0</v>
      </c>
    </row>
    <row r="623" spans="1:1" x14ac:dyDescent="0.35">
      <c r="A623" t="str">
        <v>openid-connect-migration-1_0</v>
      </c>
    </row>
    <row r="624" spans="1:1" x14ac:dyDescent="0.35">
      <c r="A624" t="str">
        <v>openid-connect-prompt-create-1_0</v>
      </c>
    </row>
    <row r="625" spans="1:1" x14ac:dyDescent="0.35">
      <c r="A625" t="str">
        <v>openid-connect-registration-1_0</v>
      </c>
    </row>
    <row r="626" spans="1:1" x14ac:dyDescent="0.35">
      <c r="A626" t="str">
        <v>openid-connect-rpinitiated-1_0</v>
      </c>
    </row>
    <row r="627" spans="1:1" x14ac:dyDescent="0.35">
      <c r="A627" t="str">
        <v>openid-connect-session-1_0</v>
      </c>
    </row>
    <row r="628" spans="1:1" x14ac:dyDescent="0.35">
      <c r="A628" t="str">
        <v>openid-connect-standard-1_0</v>
      </c>
    </row>
    <row r="629" spans="1:1" x14ac:dyDescent="0.35">
      <c r="A629" t="str">
        <v>openid-connect-unmet-authentication-requirements-1_0</v>
      </c>
    </row>
    <row r="630" spans="1:1" x14ac:dyDescent="0.35">
      <c r="A630" t="str">
        <v>openid-financial-api-part-1-1_0</v>
      </c>
    </row>
    <row r="631" spans="1:1" x14ac:dyDescent="0.35">
      <c r="A631" t="str">
        <v>openid-financial-api-part-2-1_0</v>
      </c>
    </row>
    <row r="632" spans="1:1" x14ac:dyDescent="0.35">
      <c r="A632" t="str">
        <v>openid-provider-authentication-policy-extension-1_0</v>
      </c>
    </row>
    <row r="633" spans="1:1" x14ac:dyDescent="0.35">
      <c r="A633" t="str">
        <v>---- Revision ----</v>
      </c>
    </row>
    <row r="634" spans="1:1" x14ac:dyDescent="0.35">
      <c r="A634" t="str">
        <v>draft-hardt-oauth-00</v>
      </c>
    </row>
    <row r="635" spans="1:1" x14ac:dyDescent="0.35">
      <c r="A635" t="str">
        <v>draft-hickman-netscape-ssl-00</v>
      </c>
    </row>
    <row r="636" spans="1:1" x14ac:dyDescent="0.35">
      <c r="A636" t="str">
        <v>draft-ietf-httpbis-p7-auth-21</v>
      </c>
    </row>
    <row r="637" spans="1:1" x14ac:dyDescent="0.35">
      <c r="A637" t="str">
        <v>draft-ietf-jose-json-web-algorithms-40</v>
      </c>
    </row>
    <row r="638" spans="1:1" x14ac:dyDescent="0.35">
      <c r="A638" t="str">
        <v>draft-ietf-jose-json-web-encryption-40</v>
      </c>
    </row>
    <row r="639" spans="1:1" x14ac:dyDescent="0.35">
      <c r="A639" t="str">
        <v>draft-ietf-jose-json-web-key-41</v>
      </c>
    </row>
    <row r="640" spans="1:1" x14ac:dyDescent="0.35">
      <c r="A640" t="str">
        <v>draft-ietf-jose-json-web-signature-41</v>
      </c>
    </row>
    <row r="641" spans="1:1" x14ac:dyDescent="0.35">
      <c r="A641" t="str">
        <v>draft-ietf-oauth-json-web-token-32</v>
      </c>
    </row>
    <row r="642" spans="1:1" x14ac:dyDescent="0.35">
      <c r="A642" t="str">
        <v>draft-ietf-oauth-saml2-bearer-14</v>
      </c>
    </row>
    <row r="643" spans="1:1" x14ac:dyDescent="0.35">
      <c r="A643" t="str">
        <v>draft-ietf-oauth-v2-31</v>
      </c>
    </row>
    <row r="644" spans="1:1" x14ac:dyDescent="0.35">
      <c r="A644" t="str">
        <v>draft-ietf-oauth-v2-http-mac-01</v>
      </c>
    </row>
    <row r="645" spans="1:1" x14ac:dyDescent="0.35">
      <c r="A645" t="str">
        <v>draft-ietf-oauth-v2-threatmodel-08</v>
      </c>
    </row>
    <row r="646" spans="1:1" x14ac:dyDescent="0.35">
      <c r="A646" t="str">
        <v>draft-jones-simple-web-discovery-00</v>
      </c>
    </row>
    <row r="647" spans="1:1" x14ac:dyDescent="0.35">
      <c r="A647" t="str">
        <v>draft-jones-simple-web-discovery-04</v>
      </c>
    </row>
    <row r="648" spans="1:1" x14ac:dyDescent="0.35">
      <c r="A648" t="str">
        <v>draft-recordon-oauth-v2-device-00</v>
      </c>
    </row>
    <row r="649" spans="1:1" x14ac:dyDescent="0.35">
      <c r="A649" t="str">
        <v>fapi-attacker-model-2_0-05</v>
      </c>
    </row>
    <row r="650" spans="1:1" x14ac:dyDescent="0.35">
      <c r="A650" t="str">
        <v>fapi-security-profile-2_0-05</v>
      </c>
    </row>
    <row r="651" spans="1:1" x14ac:dyDescent="0.35">
      <c r="A651" t="str">
        <v>oauth-v2-form-post-response-mode-1_0-05</v>
      </c>
    </row>
    <row r="652" spans="1:1" x14ac:dyDescent="0.35">
      <c r="A652" t="str">
        <v>oauth-v2-jarm-04</v>
      </c>
    </row>
    <row r="653" spans="1:1" x14ac:dyDescent="0.35">
      <c r="A653" t="str">
        <v>oauth-v2-multiple-response-types-1_0-12</v>
      </c>
    </row>
    <row r="654" spans="1:1" x14ac:dyDescent="0.35">
      <c r="A654" t="str">
        <v>openid-attribute-exchange-1_0-08</v>
      </c>
    </row>
    <row r="655" spans="1:1" x14ac:dyDescent="0.35">
      <c r="A655" t="str">
        <v>openid-authentication-2_0-12</v>
      </c>
    </row>
    <row r="656" spans="1:1" x14ac:dyDescent="0.35">
      <c r="A656" t="str">
        <v>openid-ciba-core-1_0-04</v>
      </c>
    </row>
    <row r="657" spans="1:1" x14ac:dyDescent="0.35">
      <c r="A657" t="str">
        <v>openid-connect-backchannel-1_0-10</v>
      </c>
    </row>
    <row r="658" spans="1:1" x14ac:dyDescent="0.35">
      <c r="A658" t="str">
        <v>openid-connect-backchannel-1_0-13</v>
      </c>
    </row>
    <row r="659" spans="1:1" x14ac:dyDescent="0.35">
      <c r="A659" t="str">
        <v>openid-connect-core-1_0-12</v>
      </c>
    </row>
    <row r="660" spans="1:1" x14ac:dyDescent="0.35">
      <c r="A660" t="str">
        <v>openid-connect-core-1_0-18</v>
      </c>
    </row>
    <row r="661" spans="1:1" x14ac:dyDescent="0.35">
      <c r="A661" t="str">
        <v>openid-connect-core-1_0-22</v>
      </c>
    </row>
    <row r="662" spans="1:1" x14ac:dyDescent="0.35">
      <c r="A662" t="str">
        <v>openid-connect-core-1_0-35</v>
      </c>
    </row>
    <row r="663" spans="1:1" x14ac:dyDescent="0.35">
      <c r="A663" t="str">
        <v>openid-connect-discovery-1_0-22</v>
      </c>
    </row>
    <row r="664" spans="1:1" x14ac:dyDescent="0.35">
      <c r="A664" t="str">
        <v>openid-connect-discovery-1_0-25</v>
      </c>
    </row>
    <row r="665" spans="1:1" x14ac:dyDescent="0.35">
      <c r="A665" t="str">
        <v>openid-connect-discovery-1_0-37</v>
      </c>
    </row>
    <row r="666" spans="1:1" x14ac:dyDescent="0.35">
      <c r="A666" t="str">
        <v>openid-connect-frontchannel-1_0-07</v>
      </c>
    </row>
    <row r="667" spans="1:1" x14ac:dyDescent="0.35">
      <c r="A667" t="str">
        <v>openid-connect-messages-1_0-12</v>
      </c>
    </row>
    <row r="668" spans="1:1" x14ac:dyDescent="0.35">
      <c r="A668" t="str">
        <v>openid-connect-messages-1_0-20</v>
      </c>
    </row>
    <row r="669" spans="1:1" x14ac:dyDescent="0.35">
      <c r="A669" t="str">
        <v>openid-connect-migration-1_0-09</v>
      </c>
    </row>
    <row r="670" spans="1:1" x14ac:dyDescent="0.35">
      <c r="A670" t="str">
        <v xml:space="preserve">openid-connect-prompt-create-1_0-07 </v>
      </c>
    </row>
    <row r="671" spans="1:1" x14ac:dyDescent="0.35">
      <c r="A671" t="str">
        <v>openid-connect-registration-1_0-08</v>
      </c>
    </row>
    <row r="672" spans="1:1" x14ac:dyDescent="0.35">
      <c r="A672" t="str">
        <v>openid-connect-registration-1_0-24</v>
      </c>
    </row>
    <row r="673" spans="1:1" x14ac:dyDescent="0.35">
      <c r="A673" t="str">
        <v>openid-connect-registration-1_0-28</v>
      </c>
    </row>
    <row r="674" spans="1:1" x14ac:dyDescent="0.35">
      <c r="A674" t="str">
        <v>openid-connect-registration-1_0-39</v>
      </c>
    </row>
    <row r="675" spans="1:1" x14ac:dyDescent="0.35">
      <c r="A675" t="str">
        <v>openid-connect-rpinitiated-1_0-04</v>
      </c>
    </row>
    <row r="676" spans="1:1" x14ac:dyDescent="0.35">
      <c r="A676" t="str">
        <v>openid-connect-session-1_0-32</v>
      </c>
    </row>
    <row r="677" spans="1:1" x14ac:dyDescent="0.35">
      <c r="A677" t="str">
        <v>openid-connect-standard-1_0-21</v>
      </c>
    </row>
    <row r="678" spans="1:1" x14ac:dyDescent="0.35">
      <c r="A678" t="str">
        <v>openid-connect-unmet-authentication-requirements-1_0-02</v>
      </c>
    </row>
    <row r="679" spans="1:1" x14ac:dyDescent="0.35">
      <c r="A679" t="str">
        <v>openid-financial-api-part-1-1_0-wd-08</v>
      </c>
    </row>
    <row r="680" spans="1:1" x14ac:dyDescent="0.35">
      <c r="A680" t="str">
        <v>openid-financial-api-part-2-1_0-wd-08</v>
      </c>
    </row>
    <row r="681" spans="1:1" x14ac:dyDescent="0.35">
      <c r="A681" t="str">
        <v>openid-provider-authentication-policy-extension-1_0-07</v>
      </c>
    </row>
    <row r="682" spans="1:1" x14ac:dyDescent="0.35">
      <c r="A682" t="str">
        <v>---- ControllingOrg ----</v>
      </c>
    </row>
    <row r="683" spans="1:1" x14ac:dyDescent="0.35">
      <c r="A683" t="str">
        <v>6man WG</v>
      </c>
    </row>
    <row r="684" spans="1:1" x14ac:dyDescent="0.35">
      <c r="A684" t="str">
        <v>AB/Connect WG</v>
      </c>
    </row>
    <row r="685" spans="1:1" x14ac:dyDescent="0.35">
      <c r="A685" t="str">
        <v>ace WG</v>
      </c>
    </row>
    <row r="686" spans="1:1" x14ac:dyDescent="0.35">
      <c r="A686" t="str">
        <v>AESC (ANSI)</v>
      </c>
    </row>
    <row r="687" spans="1:1" x14ac:dyDescent="0.35">
      <c r="A687" t="str">
        <v>ANCR WG</v>
      </c>
    </row>
    <row r="688" spans="1:1" x14ac:dyDescent="0.35">
      <c r="A688" t="str">
        <v>ANSI</v>
      </c>
    </row>
    <row r="689" spans="1:1" x14ac:dyDescent="0.35">
      <c r="A689" t="str">
        <v>appsawg WG</v>
      </c>
    </row>
    <row r="690" spans="1:1" x14ac:dyDescent="0.35">
      <c r="A690" t="str">
        <v>ASA (ANSI)</v>
      </c>
    </row>
    <row r="691" spans="1:1" x14ac:dyDescent="0.35">
      <c r="A691" t="str">
        <v>AuthZEN WG</v>
      </c>
    </row>
    <row r="692" spans="1:1" x14ac:dyDescent="0.35">
      <c r="A692" t="str">
        <v>BEMA (ITI)</v>
      </c>
    </row>
    <row r="693" spans="1:1" x14ac:dyDescent="0.35">
      <c r="A693" t="str">
        <v>BISON (Open Group)</v>
      </c>
    </row>
    <row r="694" spans="1:1" x14ac:dyDescent="0.35">
      <c r="A694" t="str">
        <v>CBEMA (ITI)</v>
      </c>
    </row>
    <row r="695" spans="1:1" x14ac:dyDescent="0.35">
      <c r="A695" t="str">
        <v>CCITT (ITU-T)</v>
      </c>
    </row>
    <row r="696" spans="1:1" x14ac:dyDescent="0.35">
      <c r="A696" t="str">
        <v>CCITT JWP NRD (1972)</v>
      </c>
    </row>
    <row r="697" spans="1:1" x14ac:dyDescent="0.35">
      <c r="A697" t="str">
        <v>CCITT SG 10 (1960)</v>
      </c>
    </row>
    <row r="698" spans="1:1" x14ac:dyDescent="0.35">
      <c r="A698" t="str">
        <v>CCITT SG 10 (1964)</v>
      </c>
    </row>
    <row r="699" spans="1:1" x14ac:dyDescent="0.35">
      <c r="A699" t="str">
        <v>CCITT SG 10 (1968)</v>
      </c>
    </row>
    <row r="700" spans="1:1" x14ac:dyDescent="0.35">
      <c r="A700" t="str">
        <v>CCITT SG 10 (1972)</v>
      </c>
    </row>
    <row r="701" spans="1:1" x14ac:dyDescent="0.35">
      <c r="A701" t="str">
        <v>CCITT SG 10 (1976)</v>
      </c>
    </row>
    <row r="702" spans="1:1" x14ac:dyDescent="0.35">
      <c r="A702" t="str">
        <v>CCITT SG 10 (1980)</v>
      </c>
    </row>
    <row r="703" spans="1:1" x14ac:dyDescent="0.35">
      <c r="A703" t="str">
        <v>CCITT SG 10 (1988)</v>
      </c>
    </row>
    <row r="704" spans="1:1" x14ac:dyDescent="0.35">
      <c r="A704" t="str">
        <v>CCITT SG 10 (1992)</v>
      </c>
    </row>
    <row r="705" spans="1:1" x14ac:dyDescent="0.35">
      <c r="A705" t="str">
        <v>CCITT SG 11 (1960)</v>
      </c>
    </row>
    <row r="706" spans="1:1" x14ac:dyDescent="0.35">
      <c r="A706" t="str">
        <v>CCITT SG 11 (1964)</v>
      </c>
    </row>
    <row r="707" spans="1:1" x14ac:dyDescent="0.35">
      <c r="A707" t="str">
        <v>CCITT SG 11 (1968)</v>
      </c>
    </row>
    <row r="708" spans="1:1" x14ac:dyDescent="0.35">
      <c r="A708" t="str">
        <v>CCITT SG 11 (1972)</v>
      </c>
    </row>
    <row r="709" spans="1:1" x14ac:dyDescent="0.35">
      <c r="A709" t="str">
        <v>CCITT SG 11 (1976)</v>
      </c>
    </row>
    <row r="710" spans="1:1" x14ac:dyDescent="0.35">
      <c r="A710" t="str">
        <v>CCITT SG 11 (1980)</v>
      </c>
    </row>
    <row r="711" spans="1:1" x14ac:dyDescent="0.35">
      <c r="A711" t="str">
        <v>CCITT SG 11 (1984)</v>
      </c>
    </row>
    <row r="712" spans="1:1" x14ac:dyDescent="0.35">
      <c r="A712" t="str">
        <v>CCITT SG 11 (1988)</v>
      </c>
    </row>
    <row r="713" spans="1:1" x14ac:dyDescent="0.35">
      <c r="A713" t="str">
        <v>CCITT SG 11 (1992)</v>
      </c>
    </row>
    <row r="714" spans="1:1" x14ac:dyDescent="0.35">
      <c r="A714" t="str">
        <v>CCITT SG 14 (1964)</v>
      </c>
    </row>
    <row r="715" spans="1:1" x14ac:dyDescent="0.35">
      <c r="A715" t="str">
        <v>CCITT SG 14 (1968)</v>
      </c>
    </row>
    <row r="716" spans="1:1" x14ac:dyDescent="0.35">
      <c r="A716" t="str">
        <v>CCITT SG 14 (1972)</v>
      </c>
    </row>
    <row r="717" spans="1:1" x14ac:dyDescent="0.35">
      <c r="A717" t="str">
        <v>CCITT SG 14 (1976)</v>
      </c>
    </row>
    <row r="718" spans="1:1" x14ac:dyDescent="0.35">
      <c r="A718" t="str">
        <v>CCITT SG 14 (1980)</v>
      </c>
    </row>
    <row r="719" spans="1:1" x14ac:dyDescent="0.35">
      <c r="A719" t="str">
        <v>CCITT SG 17 (1980)</v>
      </c>
    </row>
    <row r="720" spans="1:1" x14ac:dyDescent="0.35">
      <c r="A720" t="str">
        <v>CCITT SG 17 (1984)</v>
      </c>
    </row>
    <row r="721" spans="1:1" x14ac:dyDescent="0.35">
      <c r="A721" t="str">
        <v>CCITT SG 17 (1988)</v>
      </c>
    </row>
    <row r="722" spans="1:1" x14ac:dyDescent="0.35">
      <c r="A722" t="str">
        <v>CCITT SG 17 (1992)</v>
      </c>
    </row>
    <row r="723" spans="1:1" x14ac:dyDescent="0.35">
      <c r="A723" t="str">
        <v>CCITT SG 7 (1976)</v>
      </c>
    </row>
    <row r="724" spans="1:1" x14ac:dyDescent="0.35">
      <c r="A724" t="str">
        <v>CCITT SG 7 (1980)</v>
      </c>
    </row>
    <row r="725" spans="1:1" x14ac:dyDescent="0.35">
      <c r="A725" t="str">
        <v>CCITT SG 7 (1984)</v>
      </c>
    </row>
    <row r="726" spans="1:1" x14ac:dyDescent="0.35">
      <c r="A726" t="str">
        <v>CCITT SG 7 (1988)</v>
      </c>
    </row>
    <row r="727" spans="1:1" x14ac:dyDescent="0.35">
      <c r="A727" t="str">
        <v>CCITT SG 7 (1992)</v>
      </c>
    </row>
    <row r="728" spans="1:1" x14ac:dyDescent="0.35">
      <c r="A728" t="str">
        <v>CCITT SG 8 (1960)</v>
      </c>
    </row>
    <row r="729" spans="1:1" x14ac:dyDescent="0.35">
      <c r="A729" t="str">
        <v>CCITT SG 8 (1964)</v>
      </c>
    </row>
    <row r="730" spans="1:1" x14ac:dyDescent="0.35">
      <c r="A730" t="str">
        <v>CCITT SG 8 (1968)</v>
      </c>
    </row>
    <row r="731" spans="1:1" x14ac:dyDescent="0.35">
      <c r="A731" t="str">
        <v>CCITT SG 8 (1972)</v>
      </c>
    </row>
    <row r="732" spans="1:1" x14ac:dyDescent="0.35">
      <c r="A732" t="str">
        <v>CCITT SG 8 (1976)</v>
      </c>
    </row>
    <row r="733" spans="1:1" x14ac:dyDescent="0.35">
      <c r="A733" t="str">
        <v>CCITT SG 8 (1980)</v>
      </c>
    </row>
    <row r="734" spans="1:1" x14ac:dyDescent="0.35">
      <c r="A734" t="str">
        <v>CCITT SG 8 (1984)</v>
      </c>
    </row>
    <row r="735" spans="1:1" x14ac:dyDescent="0.35">
      <c r="A735" t="str">
        <v>CCITT SG 8 (1988)</v>
      </c>
    </row>
    <row r="736" spans="1:1" x14ac:dyDescent="0.35">
      <c r="A736" t="str">
        <v>CCITT SG 8 (1992)</v>
      </c>
    </row>
    <row r="737" spans="1:1" x14ac:dyDescent="0.35">
      <c r="A737" t="str">
        <v>CCITT SG 9 (1960)</v>
      </c>
    </row>
    <row r="738" spans="1:1" x14ac:dyDescent="0.35">
      <c r="A738" t="str">
        <v>CCITT SG 9 (1964)</v>
      </c>
    </row>
    <row r="739" spans="1:1" x14ac:dyDescent="0.35">
      <c r="A739" t="str">
        <v>CCITT SG 9 (1968)</v>
      </c>
    </row>
    <row r="740" spans="1:1" x14ac:dyDescent="0.35">
      <c r="A740" t="str">
        <v>CCITT SG 9 (1972)</v>
      </c>
    </row>
    <row r="741" spans="1:1" x14ac:dyDescent="0.35">
      <c r="A741" t="str">
        <v>CCITT SG 9 (1976)</v>
      </c>
    </row>
    <row r="742" spans="1:1" x14ac:dyDescent="0.35">
      <c r="A742" t="str">
        <v>CCITT SG 9 (1980)</v>
      </c>
    </row>
    <row r="743" spans="1:1" x14ac:dyDescent="0.35">
      <c r="A743" t="str">
        <v>CCITT SG 9 (1984)</v>
      </c>
    </row>
    <row r="744" spans="1:1" x14ac:dyDescent="0.35">
      <c r="A744" t="str">
        <v>CCITT SG 9 (1988)</v>
      </c>
    </row>
    <row r="745" spans="1:1" x14ac:dyDescent="0.35">
      <c r="A745" t="str">
        <v>CCITT SG 9 (1992)</v>
      </c>
    </row>
    <row r="746" spans="1:1" x14ac:dyDescent="0.35">
      <c r="A746" t="str">
        <v>CCITT SSG A (1964)</v>
      </c>
    </row>
    <row r="747" spans="1:1" x14ac:dyDescent="0.35">
      <c r="A747" t="str">
        <v>CCITT SSG A (1968)</v>
      </c>
    </row>
    <row r="748" spans="1:1" x14ac:dyDescent="0.35">
      <c r="A748" t="str">
        <v>CCITT SSG A (1972)</v>
      </c>
    </row>
    <row r="749" spans="1:1" x14ac:dyDescent="0.35">
      <c r="A749" t="str">
        <v>CCITT SSG A (1976)</v>
      </c>
    </row>
    <row r="750" spans="1:1" x14ac:dyDescent="0.35">
      <c r="A750" t="str">
        <v>cose WG</v>
      </c>
    </row>
    <row r="751" spans="1:1" x14ac:dyDescent="0.35">
      <c r="A751" t="str">
        <v>DCP WG</v>
      </c>
    </row>
    <row r="752" spans="1:1" x14ac:dyDescent="0.35">
      <c r="A752" t="str">
        <v>did WG</v>
      </c>
    </row>
    <row r="753" spans="1:1" x14ac:dyDescent="0.35">
      <c r="A753" t="str">
        <v>DO TWG</v>
      </c>
    </row>
    <row r="754" spans="1:1" x14ac:dyDescent="0.35">
      <c r="A754" t="str">
        <v>drums WG</v>
      </c>
    </row>
    <row r="755" spans="1:1" x14ac:dyDescent="0.35">
      <c r="A755" t="str">
        <v>EAP WG</v>
      </c>
    </row>
    <row r="756" spans="1:1" x14ac:dyDescent="0.35">
      <c r="A756" t="str">
        <v>Ecma</v>
      </c>
    </row>
    <row r="757" spans="1:1" x14ac:dyDescent="0.35">
      <c r="A757" t="str">
        <v>ECMA (Ecma)</v>
      </c>
    </row>
    <row r="758" spans="1:1" x14ac:dyDescent="0.35">
      <c r="A758" t="str">
        <v>ECMA TC1</v>
      </c>
    </row>
    <row r="759" spans="1:1" x14ac:dyDescent="0.35">
      <c r="A759" t="str">
        <v>eKYC-IDA WG</v>
      </c>
    </row>
    <row r="760" spans="1:1" x14ac:dyDescent="0.35">
      <c r="A760" t="str">
        <v>ENISA</v>
      </c>
    </row>
    <row r="761" spans="1:1" x14ac:dyDescent="0.35">
      <c r="A761" t="str">
        <v>ETSI</v>
      </c>
    </row>
    <row r="762" spans="1:1" x14ac:dyDescent="0.35">
      <c r="A762" t="str">
        <v>FAPI WG</v>
      </c>
    </row>
    <row r="763" spans="1:1" x14ac:dyDescent="0.35">
      <c r="A763" t="str">
        <v>FastFed WG</v>
      </c>
    </row>
    <row r="764" spans="1:1" x14ac:dyDescent="0.35">
      <c r="A764" t="str">
        <v>fedid WG</v>
      </c>
    </row>
    <row r="765" spans="1:1" x14ac:dyDescent="0.35">
      <c r="A765" t="str">
        <v>FIDO Alliance</v>
      </c>
    </row>
    <row r="766" spans="1:1" x14ac:dyDescent="0.35">
      <c r="A766" t="str">
        <v>FIDO2 TWG</v>
      </c>
    </row>
    <row r="767" spans="1:1" x14ac:dyDescent="0.35">
      <c r="A767" t="str">
        <v>HEART WG</v>
      </c>
    </row>
    <row r="768" spans="1:1" x14ac:dyDescent="0.35">
      <c r="A768" t="str">
        <v>http WG</v>
      </c>
    </row>
    <row r="769" spans="1:1" x14ac:dyDescent="0.35">
      <c r="A769" t="str">
        <v>httpauth WG</v>
      </c>
    </row>
    <row r="770" spans="1:1" x14ac:dyDescent="0.35">
      <c r="A770" t="str">
        <v>httpbis WG</v>
      </c>
    </row>
    <row r="771" spans="1:1" x14ac:dyDescent="0.35">
      <c r="A771" t="str">
        <v>IA WG</v>
      </c>
    </row>
    <row r="772" spans="1:1" x14ac:dyDescent="0.35">
      <c r="A772" t="str">
        <v>IEC</v>
      </c>
    </row>
    <row r="773" spans="1:1" x14ac:dyDescent="0.35">
      <c r="A773" t="str">
        <v>IEC TC 83</v>
      </c>
    </row>
    <row r="774" spans="1:1" x14ac:dyDescent="0.35">
      <c r="A774" t="str">
        <v>IETF</v>
      </c>
    </row>
    <row r="775" spans="1:1" x14ac:dyDescent="0.35">
      <c r="A775" t="str">
        <v>IETF APP Area</v>
      </c>
    </row>
    <row r="776" spans="1:1" x14ac:dyDescent="0.35">
      <c r="A776" t="str">
        <v>IETF ART Area</v>
      </c>
    </row>
    <row r="777" spans="1:1" x14ac:dyDescent="0.35">
      <c r="A777" t="str">
        <v>IETF GEN Area</v>
      </c>
    </row>
    <row r="778" spans="1:1" x14ac:dyDescent="0.35">
      <c r="A778" t="str">
        <v>IETF INT Area</v>
      </c>
    </row>
    <row r="779" spans="1:1" x14ac:dyDescent="0.35">
      <c r="A779" t="str">
        <v>IETF SEC Area</v>
      </c>
    </row>
    <row r="780" spans="1:1" x14ac:dyDescent="0.35">
      <c r="A780" t="str">
        <v>IETF WIT Area</v>
      </c>
    </row>
    <row r="781" spans="1:1" x14ac:dyDescent="0.35">
      <c r="A781" t="str">
        <v>iGov WG</v>
      </c>
    </row>
    <row r="782" spans="1:1" x14ac:dyDescent="0.35">
      <c r="A782" t="str">
        <v>INCITS</v>
      </c>
    </row>
    <row r="783" spans="1:1" x14ac:dyDescent="0.35">
      <c r="A783" t="str">
        <v>INCITS/L2</v>
      </c>
    </row>
    <row r="784" spans="1:1" x14ac:dyDescent="0.35">
      <c r="A784" t="str">
        <v>ipngwg WG</v>
      </c>
    </row>
    <row r="785" spans="1:1" x14ac:dyDescent="0.35">
      <c r="A785" t="str">
        <v>IPSIE WG</v>
      </c>
    </row>
    <row r="786" spans="1:1" x14ac:dyDescent="0.35">
      <c r="A786" t="str">
        <v>ipv6 WG</v>
      </c>
    </row>
    <row r="787" spans="1:1" x14ac:dyDescent="0.35">
      <c r="A787" t="str">
        <v>ISO</v>
      </c>
    </row>
    <row r="788" spans="1:1" x14ac:dyDescent="0.35">
      <c r="A788" t="str">
        <v>ISO TC 154</v>
      </c>
    </row>
    <row r="789" spans="1:1" x14ac:dyDescent="0.35">
      <c r="A789" t="str">
        <v>ISO TC 46</v>
      </c>
    </row>
    <row r="790" spans="1:1" x14ac:dyDescent="0.35">
      <c r="A790" t="str">
        <v>ISO TC 97</v>
      </c>
    </row>
    <row r="791" spans="1:1" x14ac:dyDescent="0.35">
      <c r="A791" t="str">
        <v>ISO/IEC JTC 1</v>
      </c>
    </row>
    <row r="792" spans="1:1" x14ac:dyDescent="0.35">
      <c r="A792" t="str">
        <v>ITI</v>
      </c>
    </row>
    <row r="793" spans="1:1" x14ac:dyDescent="0.35">
      <c r="A793" t="str">
        <v>ITU</v>
      </c>
    </row>
    <row r="794" spans="1:1" x14ac:dyDescent="0.35">
      <c r="A794" t="str">
        <v>ITU-T</v>
      </c>
    </row>
    <row r="795" spans="1:1" x14ac:dyDescent="0.35">
      <c r="A795" t="str">
        <v>ITU-T SG 10 (1996)</v>
      </c>
    </row>
    <row r="796" spans="1:1" x14ac:dyDescent="0.35">
      <c r="A796" t="str">
        <v>ITU-T SG 10 (2000)</v>
      </c>
    </row>
    <row r="797" spans="1:1" x14ac:dyDescent="0.35">
      <c r="A797" t="str">
        <v>ITU-T SG 10 (2004)</v>
      </c>
    </row>
    <row r="798" spans="1:1" x14ac:dyDescent="0.35">
      <c r="A798" t="str">
        <v>ITU-T SG 13 (2008)</v>
      </c>
    </row>
    <row r="799" spans="1:1" x14ac:dyDescent="0.35">
      <c r="A799" t="str">
        <v>ITU-T SG 14 (1996)</v>
      </c>
    </row>
    <row r="800" spans="1:1" x14ac:dyDescent="0.35">
      <c r="A800" t="str">
        <v>ITU-T SG 16 (2000)</v>
      </c>
    </row>
    <row r="801" spans="1:1" x14ac:dyDescent="0.35">
      <c r="A801" t="str">
        <v>ITU-T SG 16 (2004)</v>
      </c>
    </row>
    <row r="802" spans="1:1" x14ac:dyDescent="0.35">
      <c r="A802" t="str">
        <v>ITU-T SG 16 (2008)</v>
      </c>
    </row>
    <row r="803" spans="1:1" x14ac:dyDescent="0.35">
      <c r="A803" t="str">
        <v>ITU-T SG 16 (2012)</v>
      </c>
    </row>
    <row r="804" spans="1:1" x14ac:dyDescent="0.35">
      <c r="A804" t="str">
        <v>ITU-T SG 16 (2016)</v>
      </c>
    </row>
    <row r="805" spans="1:1" x14ac:dyDescent="0.35">
      <c r="A805" t="str">
        <v>ITU-T SG 16 (2021)</v>
      </c>
    </row>
    <row r="806" spans="1:1" x14ac:dyDescent="0.35">
      <c r="A806" t="str">
        <v>ITU-T SG 16 (2024)</v>
      </c>
    </row>
    <row r="807" spans="1:1" x14ac:dyDescent="0.35">
      <c r="A807" t="str">
        <v>ITU-T SG 17 (2004)</v>
      </c>
    </row>
    <row r="808" spans="1:1" x14ac:dyDescent="0.35">
      <c r="A808" t="str">
        <v>ITU-T SG 17 (2008)</v>
      </c>
    </row>
    <row r="809" spans="1:1" x14ac:dyDescent="0.35">
      <c r="A809" t="str">
        <v>ITU-T SG 17 (2012)</v>
      </c>
    </row>
    <row r="810" spans="1:1" x14ac:dyDescent="0.35">
      <c r="A810" t="str">
        <v>ITU-T SG 17 (2016)</v>
      </c>
    </row>
    <row r="811" spans="1:1" x14ac:dyDescent="0.35">
      <c r="A811" t="str">
        <v>ITU-T SG 17 (2021)</v>
      </c>
    </row>
    <row r="812" spans="1:1" x14ac:dyDescent="0.35">
      <c r="A812" t="str">
        <v>ITU-T SG 17 (2024)</v>
      </c>
    </row>
    <row r="813" spans="1:1" x14ac:dyDescent="0.35">
      <c r="A813" t="str">
        <v>ITU-T SG 17 (2028)</v>
      </c>
    </row>
    <row r="814" spans="1:1" x14ac:dyDescent="0.35">
      <c r="A814" t="str">
        <v>ITU-T SG 4 (1996)</v>
      </c>
    </row>
    <row r="815" spans="1:1" x14ac:dyDescent="0.35">
      <c r="A815" t="str">
        <v>ITU-T SG 4 (2000)</v>
      </c>
    </row>
    <row r="816" spans="1:1" x14ac:dyDescent="0.35">
      <c r="A816" t="str">
        <v>ITU-T SG 4 (2004)</v>
      </c>
    </row>
    <row r="817" spans="1:1" x14ac:dyDescent="0.35">
      <c r="A817" t="str">
        <v>ITU-T SG 4 (2008)</v>
      </c>
    </row>
    <row r="818" spans="1:1" x14ac:dyDescent="0.35">
      <c r="A818" t="str">
        <v>ITU-T SG 7 (1996)</v>
      </c>
    </row>
    <row r="819" spans="1:1" x14ac:dyDescent="0.35">
      <c r="A819" t="str">
        <v>ITU-T SG 7 (2000)</v>
      </c>
    </row>
    <row r="820" spans="1:1" x14ac:dyDescent="0.35">
      <c r="A820" t="str">
        <v>ITU-T SG 7 (2004)</v>
      </c>
    </row>
    <row r="821" spans="1:1" x14ac:dyDescent="0.35">
      <c r="A821" t="str">
        <v>ITU-T SG 8 (1996)</v>
      </c>
    </row>
    <row r="822" spans="1:1" x14ac:dyDescent="0.35">
      <c r="A822" t="str">
        <v>ITU-T SG 8 (2000)</v>
      </c>
    </row>
    <row r="823" spans="1:1" x14ac:dyDescent="0.35">
      <c r="A823" t="str">
        <v>jose WG</v>
      </c>
    </row>
    <row r="824" spans="1:1" x14ac:dyDescent="0.35">
      <c r="A824" t="str">
        <v>JTC1 SC 14</v>
      </c>
    </row>
    <row r="825" spans="1:1" x14ac:dyDescent="0.35">
      <c r="A825" t="str">
        <v>JTC1 SC 17</v>
      </c>
    </row>
    <row r="826" spans="1:1" x14ac:dyDescent="0.35">
      <c r="A826" t="str">
        <v>JTC1 SC 2</v>
      </c>
    </row>
    <row r="827" spans="1:1" x14ac:dyDescent="0.35">
      <c r="A827" t="str">
        <v>JTC1 SC 21</v>
      </c>
    </row>
    <row r="828" spans="1:1" x14ac:dyDescent="0.35">
      <c r="A828" t="str">
        <v>JTC1 SC 27</v>
      </c>
    </row>
    <row r="829" spans="1:1" x14ac:dyDescent="0.35">
      <c r="A829" t="str">
        <v>JTC1 SC 30</v>
      </c>
    </row>
    <row r="830" spans="1:1" x14ac:dyDescent="0.35">
      <c r="A830" t="str">
        <v>JTC1 SC 32</v>
      </c>
    </row>
    <row r="831" spans="1:1" x14ac:dyDescent="0.35">
      <c r="A831" t="str">
        <v>JTC1 SC 37</v>
      </c>
    </row>
    <row r="832" spans="1:1" x14ac:dyDescent="0.35">
      <c r="A832" t="str">
        <v>Kantara</v>
      </c>
    </row>
    <row r="833" spans="1:1" x14ac:dyDescent="0.35">
      <c r="A833" t="str">
        <v>kitten WG</v>
      </c>
    </row>
    <row r="834" spans="1:1" x14ac:dyDescent="0.35">
      <c r="A834" t="str">
        <v>Metadata TWG</v>
      </c>
    </row>
    <row r="835" spans="1:1" x14ac:dyDescent="0.35">
      <c r="A835" t="str">
        <v>MODRNA WG</v>
      </c>
    </row>
    <row r="836" spans="1:1" x14ac:dyDescent="0.35">
      <c r="A836" t="str">
        <v>Mosaic (Netscape)</v>
      </c>
    </row>
    <row r="837" spans="1:1" x14ac:dyDescent="0.35">
      <c r="A837" t="str">
        <v>NAOAM (ITI)</v>
      </c>
    </row>
    <row r="838" spans="1:1" x14ac:dyDescent="0.35">
      <c r="A838" t="str">
        <v>NBS (NIST)</v>
      </c>
    </row>
    <row r="839" spans="1:1" x14ac:dyDescent="0.35">
      <c r="A839" t="str">
        <v>NCITS (INCITS)</v>
      </c>
    </row>
    <row r="840" spans="1:1" x14ac:dyDescent="0.35">
      <c r="A840" t="str">
        <v>Netscape</v>
      </c>
    </row>
    <row r="841" spans="1:1" x14ac:dyDescent="0.35">
      <c r="A841" t="str">
        <v>NIST</v>
      </c>
    </row>
    <row r="842" spans="1:1" x14ac:dyDescent="0.35">
      <c r="A842" t="str">
        <v>OASIS</v>
      </c>
    </row>
    <row r="843" spans="1:1" x14ac:dyDescent="0.35">
      <c r="A843" t="str">
        <v>OATC</v>
      </c>
    </row>
    <row r="844" spans="1:1" x14ac:dyDescent="0.35">
      <c r="A844" t="str">
        <v>oauth WG</v>
      </c>
    </row>
    <row r="845" spans="1:1" x14ac:dyDescent="0.35">
      <c r="A845" t="str">
        <v>OEMI (ITI)</v>
      </c>
    </row>
    <row r="846" spans="1:1" x14ac:dyDescent="0.35">
      <c r="A846" t="str">
        <v>OIDF</v>
      </c>
    </row>
    <row r="847" spans="1:1" x14ac:dyDescent="0.35">
      <c r="A847" t="str">
        <v>Open Group</v>
      </c>
    </row>
    <row r="848" spans="1:1" x14ac:dyDescent="0.35">
      <c r="A848" t="str">
        <v>OSF (Open Group)</v>
      </c>
    </row>
    <row r="849" spans="1:1" x14ac:dyDescent="0.35">
      <c r="A849" t="str">
        <v>PEMC WG</v>
      </c>
    </row>
    <row r="850" spans="1:1" x14ac:dyDescent="0.35">
      <c r="A850" t="str">
        <v>quic WG</v>
      </c>
    </row>
    <row r="851" spans="1:1" x14ac:dyDescent="0.35">
      <c r="A851" t="str">
        <v>R&amp;E WG</v>
      </c>
    </row>
    <row r="852" spans="1:1" x14ac:dyDescent="0.35">
      <c r="A852" t="str">
        <v>radext WG</v>
      </c>
    </row>
    <row r="853" spans="1:1" x14ac:dyDescent="0.35">
      <c r="A853" t="str">
        <v>rats WG</v>
      </c>
    </row>
    <row r="854" spans="1:1" x14ac:dyDescent="0.35">
      <c r="A854" t="str">
        <v>RIUP WG</v>
      </c>
    </row>
    <row r="855" spans="1:1" x14ac:dyDescent="0.35">
      <c r="A855" t="str">
        <v>scim WG</v>
      </c>
    </row>
    <row r="856" spans="1:1" x14ac:dyDescent="0.35">
      <c r="A856" t="str">
        <v>scitt WG</v>
      </c>
    </row>
    <row r="857" spans="1:1" x14ac:dyDescent="0.35">
      <c r="A857" t="str">
        <v>Security TC</v>
      </c>
    </row>
    <row r="858" spans="1:1" x14ac:dyDescent="0.35">
      <c r="A858" t="str">
        <v>Shared Signals WG</v>
      </c>
    </row>
    <row r="859" spans="1:1" x14ac:dyDescent="0.35">
      <c r="A859" t="str">
        <v>spice WG</v>
      </c>
    </row>
    <row r="860" spans="1:1" x14ac:dyDescent="0.35">
      <c r="A860" t="str">
        <v>SVTA</v>
      </c>
    </row>
    <row r="861" spans="1:1" x14ac:dyDescent="0.35">
      <c r="A861" t="str">
        <v>TC97 SC 2</v>
      </c>
    </row>
    <row r="862" spans="1:1" x14ac:dyDescent="0.35">
      <c r="A862" t="str">
        <v>tls WG</v>
      </c>
    </row>
    <row r="863" spans="1:1" x14ac:dyDescent="0.35">
      <c r="A863" t="str">
        <v>tn3270e WG</v>
      </c>
    </row>
    <row r="864" spans="1:1" x14ac:dyDescent="0.35">
      <c r="A864" t="str">
        <v>UAF TWG</v>
      </c>
    </row>
    <row r="865" spans="1:1" x14ac:dyDescent="0.35">
      <c r="A865" t="str">
        <v>UMA WG</v>
      </c>
    </row>
    <row r="866" spans="1:1" x14ac:dyDescent="0.35">
      <c r="A866" t="str">
        <v>Unicode</v>
      </c>
    </row>
    <row r="867" spans="1:1" x14ac:dyDescent="0.35">
      <c r="A867" t="str">
        <v>uribof WG</v>
      </c>
    </row>
    <row r="868" spans="1:1" x14ac:dyDescent="0.35">
      <c r="A868" t="str">
        <v>urlreg WG</v>
      </c>
    </row>
    <row r="869" spans="1:1" x14ac:dyDescent="0.35">
      <c r="A869" t="str">
        <v>USASI (ANSI)</v>
      </c>
    </row>
    <row r="870" spans="1:1" x14ac:dyDescent="0.35">
      <c r="A870" t="str">
        <v>USNC (ANSI)</v>
      </c>
    </row>
    <row r="871" spans="1:1" x14ac:dyDescent="0.35">
      <c r="A871" t="str">
        <v>uta WG</v>
      </c>
    </row>
    <row r="872" spans="1:1" x14ac:dyDescent="0.35">
      <c r="A872" t="str">
        <v>vc WG</v>
      </c>
    </row>
    <row r="873" spans="1:1" x14ac:dyDescent="0.35">
      <c r="A873" t="str">
        <v>W3C</v>
      </c>
    </row>
    <row r="874" spans="1:1" x14ac:dyDescent="0.35">
      <c r="A874" t="str">
        <v>webauthn WG</v>
      </c>
    </row>
    <row r="875" spans="1:1" x14ac:dyDescent="0.35">
      <c r="A875" t="str">
        <v>wimse WG</v>
      </c>
    </row>
    <row r="876" spans="1:1" x14ac:dyDescent="0.35">
      <c r="A876" t="str">
        <v>WSFed TC</v>
      </c>
    </row>
    <row r="877" spans="1:1" x14ac:dyDescent="0.35">
      <c r="A877" t="str">
        <v>WSS TC</v>
      </c>
    </row>
    <row r="878" spans="1:1" x14ac:dyDescent="0.35">
      <c r="A878" t="str">
        <v>WSS-M TC</v>
      </c>
    </row>
    <row r="879" spans="1:1" x14ac:dyDescent="0.35">
      <c r="A879" t="str">
        <v>WS-SX TC</v>
      </c>
    </row>
    <row r="880" spans="1:1" x14ac:dyDescent="0.35">
      <c r="A880" t="str">
        <v>X/Open (Open Group)</v>
      </c>
    </row>
    <row r="881" spans="1:1" x14ac:dyDescent="0.35">
      <c r="A881" t="str">
        <v>X3 (INCITS)</v>
      </c>
    </row>
    <row r="882" spans="1:1" x14ac:dyDescent="0.35">
      <c r="A882" t="str">
        <v>X3.2</v>
      </c>
    </row>
    <row r="883" spans="1:1" x14ac:dyDescent="0.35">
      <c r="A883" t="str">
        <v>X3L2</v>
      </c>
    </row>
    <row r="884" spans="1:1" x14ac:dyDescent="0.35">
      <c r="A884" t="str">
        <v>XACML TC</v>
      </c>
    </row>
    <row r="885" spans="1:1" x14ac:dyDescent="0.35">
      <c r="A885" t="str">
        <v>xmpp WG</v>
      </c>
    </row>
    <row r="886" spans="1:1" x14ac:dyDescent="0.35">
      <c r="A886" t="str">
        <v>---- Protocol ----</v>
      </c>
    </row>
    <row r="887" spans="1:1" x14ac:dyDescent="0.35">
      <c r="A887" t="str">
        <v>OAuth</v>
      </c>
    </row>
    <row r="888" spans="1:1" x14ac:dyDescent="0.35">
      <c r="A888" t="str">
        <v>OpenID</v>
      </c>
    </row>
    <row r="889" spans="1:1" x14ac:dyDescent="0.35">
      <c r="A889" t="str">
        <v>OpenID Connect</v>
      </c>
    </row>
    <row r="890" spans="1:1" x14ac:dyDescent="0.35">
      <c r="A890" t="str">
        <v>SAML</v>
      </c>
    </row>
    <row r="891" spans="1:1" x14ac:dyDescent="0.35">
      <c r="A891" t="str">
        <v>---- ProtocolVersion ----</v>
      </c>
    </row>
    <row r="892" spans="1:1" x14ac:dyDescent="0.35">
      <c r="A892" t="str">
        <v>OAuth 2.0</v>
      </c>
    </row>
    <row r="893" spans="1:1" x14ac:dyDescent="0.35">
      <c r="A893" t="str">
        <v>OpenID 1.0</v>
      </c>
    </row>
    <row r="894" spans="1:1" x14ac:dyDescent="0.35">
      <c r="A894" t="str">
        <v>OpenID 1.1</v>
      </c>
    </row>
    <row r="895" spans="1:1" x14ac:dyDescent="0.35">
      <c r="A895" t="str">
        <v>OpenID 2.0</v>
      </c>
    </row>
    <row r="896" spans="1:1" x14ac:dyDescent="0.35">
      <c r="A896" t="str">
        <v>OpenID Connect 1.0</v>
      </c>
    </row>
    <row r="897" spans="1:1" x14ac:dyDescent="0.35">
      <c r="A897" t="str">
        <v>SAML 1.0</v>
      </c>
    </row>
    <row r="898" spans="1:1" x14ac:dyDescent="0.35">
      <c r="A898" t="str">
        <v>SAML 1.1</v>
      </c>
    </row>
    <row r="899" spans="1:1" x14ac:dyDescent="0.35">
      <c r="A899" t="str">
        <v>SAML 2.0</v>
      </c>
    </row>
    <row r="900" spans="1:1" x14ac:dyDescent="0.35">
      <c r="A900" t="str">
        <v>---- ProtocolFeature ----</v>
      </c>
    </row>
    <row r="901" spans="1:1" x14ac:dyDescent="0.35">
      <c r="A901" t="str">
        <v>Access Token</v>
      </c>
    </row>
    <row r="902" spans="1:1" x14ac:dyDescent="0.35">
      <c r="A902" t="str">
        <v>Authorization Code</v>
      </c>
    </row>
    <row r="903" spans="1:1" x14ac:dyDescent="0.35">
      <c r="A903" t="str">
        <v>Authorization Code (data)</v>
      </c>
    </row>
    <row r="904" spans="1:1" x14ac:dyDescent="0.35">
      <c r="A904" t="str">
        <v>Authorization Endpoint</v>
      </c>
    </row>
    <row r="905" spans="1:1" x14ac:dyDescent="0.35">
      <c r="A905" t="str">
        <v>Authorization Server</v>
      </c>
    </row>
    <row r="906" spans="1:1" x14ac:dyDescent="0.35">
      <c r="A906" t="str">
        <v>Client</v>
      </c>
    </row>
    <row r="907" spans="1:1" x14ac:dyDescent="0.35">
      <c r="A907" t="str">
        <v>Client Authentication</v>
      </c>
    </row>
    <row r="908" spans="1:1" x14ac:dyDescent="0.35">
      <c r="A908" t="str">
        <v>Client Credentials</v>
      </c>
    </row>
    <row r="909" spans="1:1" x14ac:dyDescent="0.35">
      <c r="A909" t="str">
        <v>Client Identifier</v>
      </c>
    </row>
    <row r="910" spans="1:1" x14ac:dyDescent="0.35">
      <c r="A910" t="str">
        <v>Client Registration</v>
      </c>
    </row>
    <row r="911" spans="1:1" x14ac:dyDescent="0.35">
      <c r="A911" t="str">
        <v>Client Secret</v>
      </c>
    </row>
    <row r="912" spans="1:1" x14ac:dyDescent="0.35">
      <c r="A912" t="str">
        <v>Confidential Client</v>
      </c>
    </row>
    <row r="913" spans="1:1" x14ac:dyDescent="0.35">
      <c r="A913" t="str">
        <v>Extension Grants</v>
      </c>
    </row>
    <row r="914" spans="1:1" x14ac:dyDescent="0.35">
      <c r="A914" t="str">
        <v>Implicit</v>
      </c>
    </row>
    <row r="915" spans="1:1" x14ac:dyDescent="0.35">
      <c r="A915" t="str">
        <v>Public Client</v>
      </c>
    </row>
    <row r="916" spans="1:1" x14ac:dyDescent="0.35">
      <c r="A916" t="str">
        <v>Refresh Token</v>
      </c>
    </row>
    <row r="917" spans="1:1" x14ac:dyDescent="0.35">
      <c r="A917" t="str">
        <v>Resource Owner</v>
      </c>
    </row>
    <row r="918" spans="1:1" x14ac:dyDescent="0.35">
      <c r="A918" t="str">
        <v>Resource Owner Password Credentials</v>
      </c>
    </row>
    <row r="919" spans="1:1" x14ac:dyDescent="0.35">
      <c r="A919" t="str">
        <v>Resource Server</v>
      </c>
    </row>
    <row r="920" spans="1:1" x14ac:dyDescent="0.35">
      <c r="A920" t="str">
        <v>Scope</v>
      </c>
    </row>
    <row r="921" spans="1:1" x14ac:dyDescent="0.35">
      <c r="A921" t="str">
        <v>State</v>
      </c>
    </row>
    <row r="922" spans="1:1" x14ac:dyDescent="0.35">
      <c r="A922" t="str">
        <v>Token Endpoint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2.xml>��
</file>

<file path=customXml/itemProps1.xml><?xml version="1.0" encoding="utf-8"?>
<ds:datastoreItem xmlns:ds="http://schemas.openxmlformats.org/officeDocument/2006/customXml" ds:itemID="{27603135-6C08-410A-A33D-BAB111245E19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EFC97551-7152-4FFE-B40C-6B68D7232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RelationshipStats</vt:lpstr>
      <vt:lpstr>Relationships</vt:lpstr>
      <vt:lpstr>ControllingOrg</vt:lpstr>
      <vt:lpstr>AuthorityGroup</vt:lpstr>
      <vt:lpstr>Authority</vt:lpstr>
      <vt:lpstr>Format</vt:lpstr>
      <vt:lpstr>AuthorityDraft</vt:lpstr>
      <vt:lpstr>Revision</vt:lpstr>
      <vt:lpstr>Protocol</vt:lpstr>
      <vt:lpstr>ProtocolVersion</vt:lpstr>
      <vt:lpstr>ProtocolFeature</vt:lpstr>
      <vt:lpstr>Definitions</vt:lpstr>
      <vt:lpstr>_Validation</vt:lpstr>
      <vt:lpstr>Validation</vt:lpstr>
      <vt:lpstr>__Validation_Relationships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 Chalmers</dc:creator>
  <cp:lastModifiedBy>Alex B Chalmers</cp:lastModifiedBy>
  <dcterms:created xsi:type="dcterms:W3CDTF">2025-03-20T02:32:23Z</dcterms:created>
  <dcterms:modified xsi:type="dcterms:W3CDTF">2026-03-02T07:41:36Z</dcterms:modified>
</cp:coreProperties>
</file>